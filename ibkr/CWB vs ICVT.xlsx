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ibkr\"/>
    </mc:Choice>
  </mc:AlternateContent>
  <xr:revisionPtr revIDLastSave="0" documentId="13_ncr:9_{7DB3D8DB-1B6D-46C2-8EDB-2D2490FD05A4}" xr6:coauthVersionLast="47" xr6:coauthVersionMax="47" xr10:uidLastSave="{00000000-0000-0000-0000-000000000000}"/>
  <bookViews>
    <workbookView xWindow="-108" yWindow="-108" windowWidth="23256" windowHeight="12456" xr2:uid="{D19155F6-4F65-4ACD-B9C6-802E438C1B4E}"/>
  </bookViews>
  <sheets>
    <sheet name="SPY vs RSP" sheetId="1" r:id="rId1"/>
  </sheets>
  <calcPr calcId="0" iterate="1"/>
</workbook>
</file>

<file path=xl/calcChain.xml><?xml version="1.0" encoding="utf-8"?>
<calcChain xmlns="http://schemas.openxmlformats.org/spreadsheetml/2006/main">
  <c r="R2" i="1" l="1"/>
  <c r="V2" i="1" s="1"/>
  <c r="Z2" i="1" s="1"/>
  <c r="S2" i="1"/>
  <c r="W2" i="1" s="1"/>
  <c r="AA2" i="1" s="1"/>
  <c r="T2" i="1"/>
  <c r="X2" i="1" s="1"/>
  <c r="AB2" i="1" s="1"/>
  <c r="Q2" i="1"/>
  <c r="U2" i="1" s="1"/>
  <c r="Y2" i="1" s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F255" i="1"/>
  <c r="G255" i="1"/>
  <c r="F256" i="1"/>
  <c r="G256" i="1"/>
  <c r="F257" i="1"/>
  <c r="G257" i="1"/>
  <c r="F258" i="1"/>
  <c r="G258" i="1"/>
  <c r="F259" i="1"/>
  <c r="G259" i="1"/>
  <c r="F260" i="1"/>
  <c r="G260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F275" i="1"/>
  <c r="G275" i="1"/>
  <c r="F276" i="1"/>
  <c r="G276" i="1"/>
  <c r="F277" i="1"/>
  <c r="G277" i="1"/>
  <c r="F278" i="1"/>
  <c r="G278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F306" i="1"/>
  <c r="G30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F321" i="1"/>
  <c r="G321" i="1"/>
  <c r="F322" i="1"/>
  <c r="G322" i="1"/>
  <c r="F323" i="1"/>
  <c r="G323" i="1"/>
  <c r="F324" i="1"/>
  <c r="G324" i="1"/>
  <c r="F325" i="1"/>
  <c r="G325" i="1"/>
  <c r="F326" i="1"/>
  <c r="G326" i="1"/>
  <c r="F327" i="1"/>
  <c r="G327" i="1"/>
  <c r="F328" i="1"/>
  <c r="G328" i="1"/>
  <c r="F329" i="1"/>
  <c r="G329" i="1"/>
  <c r="F330" i="1"/>
  <c r="G330" i="1"/>
  <c r="F331" i="1"/>
  <c r="G331" i="1"/>
  <c r="F332" i="1"/>
  <c r="G332" i="1"/>
  <c r="F333" i="1"/>
  <c r="G333" i="1"/>
  <c r="F334" i="1"/>
  <c r="G334" i="1"/>
  <c r="F335" i="1"/>
  <c r="G335" i="1"/>
  <c r="F336" i="1"/>
  <c r="G336" i="1"/>
  <c r="F337" i="1"/>
  <c r="G337" i="1"/>
  <c r="F338" i="1"/>
  <c r="G338" i="1"/>
  <c r="F339" i="1"/>
  <c r="G339" i="1"/>
  <c r="F340" i="1"/>
  <c r="G340" i="1"/>
  <c r="F341" i="1"/>
  <c r="G341" i="1"/>
  <c r="F342" i="1"/>
  <c r="G342" i="1"/>
  <c r="F343" i="1"/>
  <c r="G343" i="1"/>
  <c r="F344" i="1"/>
  <c r="G344" i="1"/>
  <c r="F345" i="1"/>
  <c r="G345" i="1"/>
  <c r="F346" i="1"/>
  <c r="G346" i="1"/>
  <c r="F347" i="1"/>
  <c r="G347" i="1"/>
  <c r="F348" i="1"/>
  <c r="G348" i="1"/>
  <c r="F349" i="1"/>
  <c r="G349" i="1"/>
  <c r="F350" i="1"/>
  <c r="G350" i="1"/>
  <c r="F351" i="1"/>
  <c r="G351" i="1"/>
  <c r="F352" i="1"/>
  <c r="G352" i="1"/>
  <c r="F353" i="1"/>
  <c r="G353" i="1"/>
  <c r="F354" i="1"/>
  <c r="G354" i="1"/>
  <c r="F355" i="1"/>
  <c r="G355" i="1"/>
  <c r="F356" i="1"/>
  <c r="G356" i="1"/>
  <c r="F357" i="1"/>
  <c r="G357" i="1"/>
  <c r="F358" i="1"/>
  <c r="G358" i="1"/>
  <c r="F359" i="1"/>
  <c r="G359" i="1"/>
  <c r="F360" i="1"/>
  <c r="G360" i="1"/>
  <c r="F361" i="1"/>
  <c r="G361" i="1"/>
  <c r="F362" i="1"/>
  <c r="G362" i="1"/>
  <c r="F363" i="1"/>
  <c r="G363" i="1"/>
  <c r="F364" i="1"/>
  <c r="G364" i="1"/>
  <c r="F365" i="1"/>
  <c r="G365" i="1"/>
  <c r="F366" i="1"/>
  <c r="G366" i="1"/>
  <c r="F367" i="1"/>
  <c r="G367" i="1"/>
  <c r="F368" i="1"/>
  <c r="G368" i="1"/>
  <c r="F369" i="1"/>
  <c r="G369" i="1"/>
  <c r="F370" i="1"/>
  <c r="G370" i="1"/>
  <c r="F371" i="1"/>
  <c r="G371" i="1"/>
  <c r="F372" i="1"/>
  <c r="G372" i="1"/>
  <c r="F373" i="1"/>
  <c r="G373" i="1"/>
  <c r="F374" i="1"/>
  <c r="G374" i="1"/>
  <c r="F375" i="1"/>
  <c r="G375" i="1"/>
  <c r="F376" i="1"/>
  <c r="G376" i="1"/>
  <c r="F377" i="1"/>
  <c r="G377" i="1"/>
  <c r="F378" i="1"/>
  <c r="G378" i="1"/>
  <c r="F379" i="1"/>
  <c r="G379" i="1"/>
  <c r="F380" i="1"/>
  <c r="G380" i="1"/>
  <c r="F381" i="1"/>
  <c r="G381" i="1"/>
  <c r="F382" i="1"/>
  <c r="G382" i="1"/>
  <c r="F383" i="1"/>
  <c r="G383" i="1"/>
  <c r="F384" i="1"/>
  <c r="G384" i="1"/>
  <c r="F385" i="1"/>
  <c r="G385" i="1"/>
  <c r="F386" i="1"/>
  <c r="G386" i="1"/>
  <c r="F387" i="1"/>
  <c r="G387" i="1"/>
  <c r="F388" i="1"/>
  <c r="G388" i="1"/>
  <c r="F389" i="1"/>
  <c r="G389" i="1"/>
  <c r="F390" i="1"/>
  <c r="G390" i="1"/>
  <c r="F391" i="1"/>
  <c r="G391" i="1"/>
  <c r="F392" i="1"/>
  <c r="G392" i="1"/>
  <c r="F393" i="1"/>
  <c r="G393" i="1"/>
  <c r="F394" i="1"/>
  <c r="G394" i="1"/>
  <c r="F395" i="1"/>
  <c r="G395" i="1"/>
  <c r="F396" i="1"/>
  <c r="G396" i="1"/>
  <c r="F397" i="1"/>
  <c r="G397" i="1"/>
  <c r="F398" i="1"/>
  <c r="G398" i="1"/>
  <c r="F399" i="1"/>
  <c r="G399" i="1"/>
  <c r="F400" i="1"/>
  <c r="G400" i="1"/>
  <c r="F401" i="1"/>
  <c r="G401" i="1"/>
  <c r="F402" i="1"/>
  <c r="G402" i="1"/>
  <c r="F403" i="1"/>
  <c r="G403" i="1"/>
  <c r="F404" i="1"/>
  <c r="G404" i="1"/>
  <c r="F405" i="1"/>
  <c r="G405" i="1"/>
  <c r="F406" i="1"/>
  <c r="G406" i="1"/>
  <c r="F407" i="1"/>
  <c r="G407" i="1"/>
  <c r="F408" i="1"/>
  <c r="G408" i="1"/>
  <c r="F409" i="1"/>
  <c r="G409" i="1"/>
  <c r="F410" i="1"/>
  <c r="G410" i="1"/>
  <c r="F411" i="1"/>
  <c r="G411" i="1"/>
  <c r="F412" i="1"/>
  <c r="G412" i="1"/>
  <c r="F413" i="1"/>
  <c r="G413" i="1"/>
  <c r="F414" i="1"/>
  <c r="G414" i="1"/>
  <c r="F415" i="1"/>
  <c r="G415" i="1"/>
  <c r="F416" i="1"/>
  <c r="G416" i="1"/>
  <c r="F417" i="1"/>
  <c r="G417" i="1"/>
  <c r="F418" i="1"/>
  <c r="G418" i="1"/>
  <c r="F419" i="1"/>
  <c r="G419" i="1"/>
  <c r="F420" i="1"/>
  <c r="G420" i="1"/>
  <c r="F421" i="1"/>
  <c r="G421" i="1"/>
  <c r="F422" i="1"/>
  <c r="G422" i="1"/>
  <c r="F423" i="1"/>
  <c r="G423" i="1"/>
  <c r="F424" i="1"/>
  <c r="G424" i="1"/>
  <c r="F425" i="1"/>
  <c r="G425" i="1"/>
  <c r="F426" i="1"/>
  <c r="G426" i="1"/>
  <c r="F427" i="1"/>
  <c r="G427" i="1"/>
  <c r="F428" i="1"/>
  <c r="G428" i="1"/>
  <c r="F429" i="1"/>
  <c r="G429" i="1"/>
  <c r="F430" i="1"/>
  <c r="G430" i="1"/>
  <c r="F431" i="1"/>
  <c r="G431" i="1"/>
  <c r="F432" i="1"/>
  <c r="G432" i="1"/>
  <c r="F433" i="1"/>
  <c r="G433" i="1"/>
  <c r="F434" i="1"/>
  <c r="G434" i="1"/>
  <c r="F435" i="1"/>
  <c r="G435" i="1"/>
  <c r="F436" i="1"/>
  <c r="G436" i="1"/>
  <c r="F437" i="1"/>
  <c r="G437" i="1"/>
  <c r="F438" i="1"/>
  <c r="G438" i="1"/>
  <c r="F439" i="1"/>
  <c r="G439" i="1"/>
  <c r="F440" i="1"/>
  <c r="G440" i="1"/>
  <c r="F441" i="1"/>
  <c r="G441" i="1"/>
  <c r="F442" i="1"/>
  <c r="G442" i="1"/>
  <c r="F443" i="1"/>
  <c r="G443" i="1"/>
  <c r="F444" i="1"/>
  <c r="G444" i="1"/>
  <c r="F445" i="1"/>
  <c r="G445" i="1"/>
  <c r="F446" i="1"/>
  <c r="G446" i="1"/>
  <c r="F447" i="1"/>
  <c r="G447" i="1"/>
  <c r="F448" i="1"/>
  <c r="G448" i="1"/>
  <c r="F449" i="1"/>
  <c r="G449" i="1"/>
  <c r="F450" i="1"/>
  <c r="G450" i="1"/>
  <c r="F451" i="1"/>
  <c r="G451" i="1"/>
  <c r="F452" i="1"/>
  <c r="G452" i="1"/>
  <c r="F453" i="1"/>
  <c r="G453" i="1"/>
  <c r="F454" i="1"/>
  <c r="G454" i="1"/>
  <c r="F455" i="1"/>
  <c r="G455" i="1"/>
  <c r="F456" i="1"/>
  <c r="G456" i="1"/>
  <c r="F457" i="1"/>
  <c r="G457" i="1"/>
  <c r="F458" i="1"/>
  <c r="G458" i="1"/>
  <c r="F459" i="1"/>
  <c r="G459" i="1"/>
  <c r="F460" i="1"/>
  <c r="G460" i="1"/>
  <c r="F461" i="1"/>
  <c r="G461" i="1"/>
  <c r="F462" i="1"/>
  <c r="G462" i="1"/>
  <c r="F463" i="1"/>
  <c r="G463" i="1"/>
  <c r="F464" i="1"/>
  <c r="G464" i="1"/>
  <c r="F465" i="1"/>
  <c r="G465" i="1"/>
  <c r="F466" i="1"/>
  <c r="G466" i="1"/>
  <c r="F467" i="1"/>
  <c r="G467" i="1"/>
  <c r="F468" i="1"/>
  <c r="G468" i="1"/>
  <c r="F469" i="1"/>
  <c r="G469" i="1"/>
  <c r="F470" i="1"/>
  <c r="G470" i="1"/>
  <c r="F471" i="1"/>
  <c r="G471" i="1"/>
  <c r="F472" i="1"/>
  <c r="G472" i="1"/>
  <c r="F473" i="1"/>
  <c r="G473" i="1"/>
  <c r="F474" i="1"/>
  <c r="G474" i="1"/>
  <c r="F475" i="1"/>
  <c r="G475" i="1"/>
  <c r="F476" i="1"/>
  <c r="G476" i="1"/>
  <c r="F477" i="1"/>
  <c r="G477" i="1"/>
  <c r="F478" i="1"/>
  <c r="G478" i="1"/>
  <c r="F479" i="1"/>
  <c r="G479" i="1"/>
  <c r="F480" i="1"/>
  <c r="G480" i="1"/>
  <c r="F481" i="1"/>
  <c r="G481" i="1"/>
  <c r="F482" i="1"/>
  <c r="G482" i="1"/>
  <c r="F483" i="1"/>
  <c r="G483" i="1"/>
  <c r="F484" i="1"/>
  <c r="G484" i="1"/>
  <c r="F485" i="1"/>
  <c r="G485" i="1"/>
  <c r="F486" i="1"/>
  <c r="G486" i="1"/>
  <c r="F487" i="1"/>
  <c r="G487" i="1"/>
  <c r="F488" i="1"/>
  <c r="G488" i="1"/>
  <c r="F489" i="1"/>
  <c r="G489" i="1"/>
  <c r="F490" i="1"/>
  <c r="G490" i="1"/>
  <c r="F491" i="1"/>
  <c r="G491" i="1"/>
  <c r="F492" i="1"/>
  <c r="G492" i="1"/>
  <c r="F493" i="1"/>
  <c r="G493" i="1"/>
  <c r="F494" i="1"/>
  <c r="G494" i="1"/>
  <c r="F495" i="1"/>
  <c r="G495" i="1"/>
  <c r="F496" i="1"/>
  <c r="G496" i="1"/>
  <c r="F497" i="1"/>
  <c r="G497" i="1"/>
  <c r="F498" i="1"/>
  <c r="G498" i="1"/>
  <c r="F499" i="1"/>
  <c r="G499" i="1"/>
  <c r="F500" i="1"/>
  <c r="G500" i="1"/>
  <c r="F501" i="1"/>
  <c r="G501" i="1"/>
  <c r="F502" i="1"/>
  <c r="G502" i="1"/>
  <c r="F503" i="1"/>
  <c r="G503" i="1"/>
  <c r="F504" i="1"/>
  <c r="G504" i="1"/>
  <c r="F505" i="1"/>
  <c r="G505" i="1"/>
  <c r="F506" i="1"/>
  <c r="G506" i="1"/>
  <c r="F507" i="1"/>
  <c r="G507" i="1"/>
  <c r="F508" i="1"/>
  <c r="G508" i="1"/>
  <c r="F509" i="1"/>
  <c r="G509" i="1"/>
  <c r="F510" i="1"/>
  <c r="G510" i="1"/>
  <c r="F511" i="1"/>
  <c r="G511" i="1"/>
  <c r="F512" i="1"/>
  <c r="G512" i="1"/>
  <c r="F513" i="1"/>
  <c r="G513" i="1"/>
  <c r="F514" i="1"/>
  <c r="G514" i="1"/>
  <c r="F515" i="1"/>
  <c r="G515" i="1"/>
  <c r="F516" i="1"/>
  <c r="G516" i="1"/>
  <c r="F517" i="1"/>
  <c r="G517" i="1"/>
  <c r="F518" i="1"/>
  <c r="G518" i="1"/>
  <c r="F519" i="1"/>
  <c r="G519" i="1"/>
  <c r="F520" i="1"/>
  <c r="G520" i="1"/>
  <c r="F521" i="1"/>
  <c r="G521" i="1"/>
  <c r="F522" i="1"/>
  <c r="G522" i="1"/>
  <c r="F523" i="1"/>
  <c r="G523" i="1"/>
  <c r="F524" i="1"/>
  <c r="G524" i="1"/>
  <c r="F525" i="1"/>
  <c r="G525" i="1"/>
  <c r="F526" i="1"/>
  <c r="G526" i="1"/>
  <c r="F527" i="1"/>
  <c r="G527" i="1"/>
  <c r="F528" i="1"/>
  <c r="G528" i="1"/>
  <c r="F529" i="1"/>
  <c r="G529" i="1"/>
  <c r="F530" i="1"/>
  <c r="G530" i="1"/>
  <c r="F531" i="1"/>
  <c r="G531" i="1"/>
  <c r="F532" i="1"/>
  <c r="G532" i="1"/>
  <c r="F533" i="1"/>
  <c r="G533" i="1"/>
  <c r="F534" i="1"/>
  <c r="G534" i="1"/>
  <c r="F535" i="1"/>
  <c r="G535" i="1"/>
  <c r="F536" i="1"/>
  <c r="G536" i="1"/>
  <c r="F537" i="1"/>
  <c r="G537" i="1"/>
  <c r="F538" i="1"/>
  <c r="G538" i="1"/>
  <c r="F539" i="1"/>
  <c r="G539" i="1"/>
  <c r="F540" i="1"/>
  <c r="G540" i="1"/>
  <c r="F541" i="1"/>
  <c r="G541" i="1"/>
  <c r="F542" i="1"/>
  <c r="G542" i="1"/>
  <c r="F543" i="1"/>
  <c r="G543" i="1"/>
  <c r="F544" i="1"/>
  <c r="G544" i="1"/>
  <c r="F545" i="1"/>
  <c r="G545" i="1"/>
  <c r="F546" i="1"/>
  <c r="G546" i="1"/>
  <c r="F547" i="1"/>
  <c r="G547" i="1"/>
  <c r="F548" i="1"/>
  <c r="G548" i="1"/>
  <c r="F549" i="1"/>
  <c r="G549" i="1"/>
  <c r="F550" i="1"/>
  <c r="G550" i="1"/>
  <c r="F551" i="1"/>
  <c r="G551" i="1"/>
  <c r="F552" i="1"/>
  <c r="G552" i="1"/>
  <c r="F553" i="1"/>
  <c r="G553" i="1"/>
  <c r="F554" i="1"/>
  <c r="G554" i="1"/>
  <c r="F555" i="1"/>
  <c r="G555" i="1"/>
  <c r="F556" i="1"/>
  <c r="G556" i="1"/>
  <c r="F557" i="1"/>
  <c r="G557" i="1"/>
  <c r="F558" i="1"/>
  <c r="G558" i="1"/>
  <c r="F559" i="1"/>
  <c r="G559" i="1"/>
  <c r="F560" i="1"/>
  <c r="G560" i="1"/>
  <c r="F561" i="1"/>
  <c r="G561" i="1"/>
  <c r="F562" i="1"/>
  <c r="G562" i="1"/>
  <c r="F563" i="1"/>
  <c r="G563" i="1"/>
  <c r="F564" i="1"/>
  <c r="G564" i="1"/>
  <c r="F565" i="1"/>
  <c r="G565" i="1"/>
  <c r="F566" i="1"/>
  <c r="G566" i="1"/>
  <c r="F567" i="1"/>
  <c r="G567" i="1"/>
  <c r="F568" i="1"/>
  <c r="G568" i="1"/>
  <c r="F569" i="1"/>
  <c r="G569" i="1"/>
  <c r="F570" i="1"/>
  <c r="G570" i="1"/>
  <c r="F571" i="1"/>
  <c r="G571" i="1"/>
  <c r="F572" i="1"/>
  <c r="G572" i="1"/>
  <c r="F573" i="1"/>
  <c r="G573" i="1"/>
  <c r="F574" i="1"/>
  <c r="G574" i="1"/>
  <c r="F575" i="1"/>
  <c r="G575" i="1"/>
  <c r="F576" i="1"/>
  <c r="G576" i="1"/>
  <c r="F577" i="1"/>
  <c r="G577" i="1"/>
  <c r="F578" i="1"/>
  <c r="G578" i="1"/>
  <c r="F579" i="1"/>
  <c r="G579" i="1"/>
  <c r="F580" i="1"/>
  <c r="G580" i="1"/>
  <c r="F581" i="1"/>
  <c r="G581" i="1"/>
  <c r="F582" i="1"/>
  <c r="G582" i="1"/>
  <c r="F583" i="1"/>
  <c r="G583" i="1"/>
  <c r="F584" i="1"/>
  <c r="G584" i="1"/>
  <c r="F585" i="1"/>
  <c r="G585" i="1"/>
  <c r="F586" i="1"/>
  <c r="G586" i="1"/>
  <c r="F587" i="1"/>
  <c r="G587" i="1"/>
  <c r="F588" i="1"/>
  <c r="G588" i="1"/>
  <c r="F589" i="1"/>
  <c r="G589" i="1"/>
  <c r="F590" i="1"/>
  <c r="G590" i="1"/>
  <c r="F591" i="1"/>
  <c r="G591" i="1"/>
  <c r="F592" i="1"/>
  <c r="G592" i="1"/>
  <c r="F593" i="1"/>
  <c r="G593" i="1"/>
  <c r="F594" i="1"/>
  <c r="G594" i="1"/>
  <c r="F595" i="1"/>
  <c r="G595" i="1"/>
  <c r="F596" i="1"/>
  <c r="G596" i="1"/>
  <c r="F597" i="1"/>
  <c r="G597" i="1"/>
  <c r="F598" i="1"/>
  <c r="G598" i="1"/>
  <c r="F599" i="1"/>
  <c r="G599" i="1"/>
  <c r="F600" i="1"/>
  <c r="G600" i="1"/>
  <c r="F601" i="1"/>
  <c r="G601" i="1"/>
  <c r="F602" i="1"/>
  <c r="G602" i="1"/>
  <c r="F603" i="1"/>
  <c r="G603" i="1"/>
  <c r="F604" i="1"/>
  <c r="G604" i="1"/>
  <c r="F605" i="1"/>
  <c r="G605" i="1"/>
  <c r="F606" i="1"/>
  <c r="G606" i="1"/>
  <c r="F607" i="1"/>
  <c r="G607" i="1"/>
  <c r="F608" i="1"/>
  <c r="G608" i="1"/>
  <c r="F609" i="1"/>
  <c r="G609" i="1"/>
  <c r="F610" i="1"/>
  <c r="G610" i="1"/>
  <c r="F611" i="1"/>
  <c r="G611" i="1"/>
  <c r="F612" i="1"/>
  <c r="G612" i="1"/>
  <c r="F613" i="1"/>
  <c r="G613" i="1"/>
  <c r="F614" i="1"/>
  <c r="G614" i="1"/>
  <c r="F615" i="1"/>
  <c r="G615" i="1"/>
  <c r="F616" i="1"/>
  <c r="G616" i="1"/>
  <c r="F617" i="1"/>
  <c r="G617" i="1"/>
  <c r="F618" i="1"/>
  <c r="G618" i="1"/>
  <c r="F619" i="1"/>
  <c r="G619" i="1"/>
  <c r="F620" i="1"/>
  <c r="G620" i="1"/>
  <c r="F621" i="1"/>
  <c r="G621" i="1"/>
  <c r="F622" i="1"/>
  <c r="G622" i="1"/>
  <c r="F623" i="1"/>
  <c r="G623" i="1"/>
  <c r="F624" i="1"/>
  <c r="G624" i="1"/>
  <c r="F625" i="1"/>
  <c r="G625" i="1"/>
  <c r="F626" i="1"/>
  <c r="G626" i="1"/>
  <c r="F627" i="1"/>
  <c r="G627" i="1"/>
  <c r="F628" i="1"/>
  <c r="G628" i="1"/>
  <c r="F629" i="1"/>
  <c r="G629" i="1"/>
  <c r="F630" i="1"/>
  <c r="G630" i="1"/>
  <c r="F631" i="1"/>
  <c r="G631" i="1"/>
  <c r="F632" i="1"/>
  <c r="G632" i="1"/>
  <c r="F633" i="1"/>
  <c r="G633" i="1"/>
  <c r="F634" i="1"/>
  <c r="G634" i="1"/>
  <c r="F635" i="1"/>
  <c r="G635" i="1"/>
  <c r="F636" i="1"/>
  <c r="G636" i="1"/>
  <c r="F637" i="1"/>
  <c r="G637" i="1"/>
  <c r="F638" i="1"/>
  <c r="G638" i="1"/>
  <c r="F639" i="1"/>
  <c r="G639" i="1"/>
  <c r="F640" i="1"/>
  <c r="G640" i="1"/>
  <c r="F641" i="1"/>
  <c r="G641" i="1"/>
  <c r="F642" i="1"/>
  <c r="G642" i="1"/>
  <c r="F643" i="1"/>
  <c r="G643" i="1"/>
  <c r="F644" i="1"/>
  <c r="G644" i="1"/>
  <c r="F645" i="1"/>
  <c r="G645" i="1"/>
  <c r="F646" i="1"/>
  <c r="G646" i="1"/>
  <c r="F647" i="1"/>
  <c r="G647" i="1"/>
  <c r="F648" i="1"/>
  <c r="G648" i="1"/>
  <c r="F649" i="1"/>
  <c r="G649" i="1"/>
  <c r="F650" i="1"/>
  <c r="G650" i="1"/>
  <c r="F651" i="1"/>
  <c r="G651" i="1"/>
  <c r="F652" i="1"/>
  <c r="G652" i="1"/>
  <c r="F653" i="1"/>
  <c r="G653" i="1"/>
  <c r="F654" i="1"/>
  <c r="G654" i="1"/>
  <c r="F655" i="1"/>
  <c r="G655" i="1"/>
  <c r="F656" i="1"/>
  <c r="G656" i="1"/>
  <c r="F657" i="1"/>
  <c r="G657" i="1"/>
  <c r="F658" i="1"/>
  <c r="G658" i="1"/>
  <c r="F659" i="1"/>
  <c r="G659" i="1"/>
  <c r="F660" i="1"/>
  <c r="G660" i="1"/>
  <c r="F661" i="1"/>
  <c r="G661" i="1"/>
  <c r="F662" i="1"/>
  <c r="G662" i="1"/>
  <c r="F663" i="1"/>
  <c r="G663" i="1"/>
  <c r="F664" i="1"/>
  <c r="G664" i="1"/>
  <c r="F665" i="1"/>
  <c r="G665" i="1"/>
  <c r="F666" i="1"/>
  <c r="G666" i="1"/>
  <c r="F667" i="1"/>
  <c r="G667" i="1"/>
  <c r="F668" i="1"/>
  <c r="G668" i="1"/>
  <c r="F669" i="1"/>
  <c r="G669" i="1"/>
  <c r="F670" i="1"/>
  <c r="G670" i="1"/>
  <c r="F671" i="1"/>
  <c r="G671" i="1"/>
  <c r="F672" i="1"/>
  <c r="G672" i="1"/>
  <c r="F673" i="1"/>
  <c r="G673" i="1"/>
  <c r="F674" i="1"/>
  <c r="G674" i="1"/>
  <c r="F675" i="1"/>
  <c r="G675" i="1"/>
  <c r="F676" i="1"/>
  <c r="G676" i="1"/>
  <c r="F677" i="1"/>
  <c r="G677" i="1"/>
  <c r="F678" i="1"/>
  <c r="G678" i="1"/>
  <c r="F679" i="1"/>
  <c r="G679" i="1"/>
  <c r="F680" i="1"/>
  <c r="G680" i="1"/>
  <c r="F681" i="1"/>
  <c r="G681" i="1"/>
  <c r="F682" i="1"/>
  <c r="G682" i="1"/>
  <c r="F683" i="1"/>
  <c r="G683" i="1"/>
  <c r="F684" i="1"/>
  <c r="G684" i="1"/>
  <c r="F685" i="1"/>
  <c r="G685" i="1"/>
  <c r="F686" i="1"/>
  <c r="G686" i="1"/>
  <c r="F687" i="1"/>
  <c r="G687" i="1"/>
  <c r="F688" i="1"/>
  <c r="G688" i="1"/>
  <c r="F689" i="1"/>
  <c r="G689" i="1"/>
  <c r="F690" i="1"/>
  <c r="G690" i="1"/>
  <c r="F691" i="1"/>
  <c r="G691" i="1"/>
  <c r="F692" i="1"/>
  <c r="G692" i="1"/>
  <c r="F693" i="1"/>
  <c r="G693" i="1"/>
  <c r="F694" i="1"/>
  <c r="G694" i="1"/>
  <c r="F695" i="1"/>
  <c r="G695" i="1"/>
  <c r="F696" i="1"/>
  <c r="G696" i="1"/>
  <c r="F697" i="1"/>
  <c r="G697" i="1"/>
  <c r="F698" i="1"/>
  <c r="G698" i="1"/>
  <c r="F699" i="1"/>
  <c r="G699" i="1"/>
  <c r="F700" i="1"/>
  <c r="G700" i="1"/>
  <c r="F701" i="1"/>
  <c r="G701" i="1"/>
  <c r="F702" i="1"/>
  <c r="G702" i="1"/>
  <c r="F703" i="1"/>
  <c r="G703" i="1"/>
  <c r="F704" i="1"/>
  <c r="G704" i="1"/>
  <c r="F705" i="1"/>
  <c r="G705" i="1"/>
  <c r="F706" i="1"/>
  <c r="G706" i="1"/>
  <c r="F707" i="1"/>
  <c r="G707" i="1"/>
  <c r="F708" i="1"/>
  <c r="G708" i="1"/>
  <c r="F709" i="1"/>
  <c r="G709" i="1"/>
  <c r="F710" i="1"/>
  <c r="G710" i="1"/>
  <c r="F711" i="1"/>
  <c r="G711" i="1"/>
  <c r="F712" i="1"/>
  <c r="G712" i="1"/>
  <c r="F713" i="1"/>
  <c r="G713" i="1"/>
  <c r="F714" i="1"/>
  <c r="G714" i="1"/>
  <c r="F715" i="1"/>
  <c r="G715" i="1"/>
  <c r="F716" i="1"/>
  <c r="G716" i="1"/>
  <c r="F717" i="1"/>
  <c r="G717" i="1"/>
  <c r="F718" i="1"/>
  <c r="G718" i="1"/>
  <c r="F719" i="1"/>
  <c r="G719" i="1"/>
  <c r="F720" i="1"/>
  <c r="G720" i="1"/>
  <c r="F721" i="1"/>
  <c r="G721" i="1"/>
  <c r="F722" i="1"/>
  <c r="G722" i="1"/>
  <c r="F723" i="1"/>
  <c r="G723" i="1"/>
  <c r="F724" i="1"/>
  <c r="G724" i="1"/>
  <c r="F725" i="1"/>
  <c r="G725" i="1"/>
  <c r="F726" i="1"/>
  <c r="G726" i="1"/>
  <c r="F727" i="1"/>
  <c r="G727" i="1"/>
  <c r="F728" i="1"/>
  <c r="G728" i="1"/>
  <c r="F729" i="1"/>
  <c r="G729" i="1"/>
  <c r="F730" i="1"/>
  <c r="G730" i="1"/>
  <c r="F731" i="1"/>
  <c r="G731" i="1"/>
  <c r="F732" i="1"/>
  <c r="G732" i="1"/>
  <c r="F733" i="1"/>
  <c r="G733" i="1"/>
  <c r="F734" i="1"/>
  <c r="G734" i="1"/>
  <c r="F735" i="1"/>
  <c r="G735" i="1"/>
  <c r="F736" i="1"/>
  <c r="G736" i="1"/>
  <c r="F737" i="1"/>
  <c r="G737" i="1"/>
  <c r="F738" i="1"/>
  <c r="G738" i="1"/>
  <c r="F739" i="1"/>
  <c r="G739" i="1"/>
  <c r="F740" i="1"/>
  <c r="G740" i="1"/>
  <c r="F741" i="1"/>
  <c r="G741" i="1"/>
  <c r="F742" i="1"/>
  <c r="G742" i="1"/>
  <c r="F743" i="1"/>
  <c r="G743" i="1"/>
  <c r="F744" i="1"/>
  <c r="G744" i="1"/>
  <c r="F745" i="1"/>
  <c r="G745" i="1"/>
  <c r="F746" i="1"/>
  <c r="G746" i="1"/>
  <c r="F747" i="1"/>
  <c r="G747" i="1"/>
  <c r="F748" i="1"/>
  <c r="G748" i="1"/>
  <c r="F749" i="1"/>
  <c r="G749" i="1"/>
  <c r="F750" i="1"/>
  <c r="G750" i="1"/>
  <c r="F751" i="1"/>
  <c r="G751" i="1"/>
  <c r="F752" i="1"/>
  <c r="G752" i="1"/>
  <c r="F753" i="1"/>
  <c r="G753" i="1"/>
  <c r="F754" i="1"/>
  <c r="G754" i="1"/>
  <c r="F755" i="1"/>
  <c r="G755" i="1"/>
  <c r="F756" i="1"/>
  <c r="G756" i="1"/>
  <c r="F757" i="1"/>
  <c r="G757" i="1"/>
  <c r="F758" i="1"/>
  <c r="G758" i="1"/>
  <c r="F759" i="1"/>
  <c r="G759" i="1"/>
  <c r="F760" i="1"/>
  <c r="G760" i="1"/>
  <c r="F761" i="1"/>
  <c r="G761" i="1"/>
  <c r="F762" i="1"/>
  <c r="G762" i="1"/>
  <c r="F763" i="1"/>
  <c r="G763" i="1"/>
  <c r="F764" i="1"/>
  <c r="G764" i="1"/>
  <c r="F765" i="1"/>
  <c r="G765" i="1"/>
  <c r="F766" i="1"/>
  <c r="G766" i="1"/>
  <c r="F767" i="1"/>
  <c r="G767" i="1"/>
  <c r="F768" i="1"/>
  <c r="G768" i="1"/>
  <c r="F769" i="1"/>
  <c r="G769" i="1"/>
  <c r="F770" i="1"/>
  <c r="G770" i="1"/>
  <c r="F771" i="1"/>
  <c r="G771" i="1"/>
  <c r="F772" i="1"/>
  <c r="G772" i="1"/>
  <c r="F773" i="1"/>
  <c r="G773" i="1"/>
  <c r="F774" i="1"/>
  <c r="G774" i="1"/>
  <c r="F775" i="1"/>
  <c r="G775" i="1"/>
  <c r="F776" i="1"/>
  <c r="G776" i="1"/>
  <c r="F777" i="1"/>
  <c r="G777" i="1"/>
  <c r="F778" i="1"/>
  <c r="G778" i="1"/>
  <c r="F779" i="1"/>
  <c r="G779" i="1"/>
  <c r="F780" i="1"/>
  <c r="G780" i="1"/>
  <c r="F781" i="1"/>
  <c r="G781" i="1"/>
  <c r="F782" i="1"/>
  <c r="G782" i="1"/>
  <c r="F783" i="1"/>
  <c r="G783" i="1"/>
  <c r="F784" i="1"/>
  <c r="G784" i="1"/>
  <c r="F785" i="1"/>
  <c r="G785" i="1"/>
  <c r="F786" i="1"/>
  <c r="G786" i="1"/>
  <c r="F787" i="1"/>
  <c r="G787" i="1"/>
  <c r="F788" i="1"/>
  <c r="G788" i="1"/>
  <c r="F789" i="1"/>
  <c r="G789" i="1"/>
  <c r="F790" i="1"/>
  <c r="G790" i="1"/>
  <c r="F791" i="1"/>
  <c r="G791" i="1"/>
  <c r="F792" i="1"/>
  <c r="G792" i="1"/>
  <c r="F793" i="1"/>
  <c r="G793" i="1"/>
  <c r="F794" i="1"/>
  <c r="G794" i="1"/>
  <c r="F795" i="1"/>
  <c r="G795" i="1"/>
  <c r="F796" i="1"/>
  <c r="G796" i="1"/>
  <c r="F797" i="1"/>
  <c r="G797" i="1"/>
  <c r="F798" i="1"/>
  <c r="G798" i="1"/>
  <c r="F799" i="1"/>
  <c r="G799" i="1"/>
  <c r="F800" i="1"/>
  <c r="G800" i="1"/>
  <c r="F801" i="1"/>
  <c r="G801" i="1"/>
  <c r="F802" i="1"/>
  <c r="G802" i="1"/>
  <c r="F803" i="1"/>
  <c r="G803" i="1"/>
  <c r="F804" i="1"/>
  <c r="G804" i="1"/>
  <c r="F805" i="1"/>
  <c r="G805" i="1"/>
  <c r="F806" i="1"/>
  <c r="G806" i="1"/>
  <c r="F807" i="1"/>
  <c r="G807" i="1"/>
  <c r="F808" i="1"/>
  <c r="G808" i="1"/>
  <c r="F809" i="1"/>
  <c r="G809" i="1"/>
  <c r="F810" i="1"/>
  <c r="G810" i="1"/>
  <c r="F811" i="1"/>
  <c r="G811" i="1"/>
  <c r="F812" i="1"/>
  <c r="G812" i="1"/>
  <c r="F813" i="1"/>
  <c r="G813" i="1"/>
  <c r="F814" i="1"/>
  <c r="G814" i="1"/>
  <c r="F815" i="1"/>
  <c r="G815" i="1"/>
  <c r="F816" i="1"/>
  <c r="G816" i="1"/>
  <c r="F817" i="1"/>
  <c r="G817" i="1"/>
  <c r="F818" i="1"/>
  <c r="G818" i="1"/>
  <c r="F819" i="1"/>
  <c r="G819" i="1"/>
  <c r="F820" i="1"/>
  <c r="G820" i="1"/>
  <c r="F821" i="1"/>
  <c r="G821" i="1"/>
  <c r="F822" i="1"/>
  <c r="G822" i="1"/>
  <c r="F823" i="1"/>
  <c r="G823" i="1"/>
  <c r="F824" i="1"/>
  <c r="G824" i="1"/>
  <c r="F825" i="1"/>
  <c r="G825" i="1"/>
  <c r="F826" i="1"/>
  <c r="G826" i="1"/>
  <c r="F827" i="1"/>
  <c r="G827" i="1"/>
  <c r="F828" i="1"/>
  <c r="G828" i="1"/>
  <c r="F829" i="1"/>
  <c r="G829" i="1"/>
  <c r="F830" i="1"/>
  <c r="G830" i="1"/>
  <c r="F831" i="1"/>
  <c r="G831" i="1"/>
  <c r="F832" i="1"/>
  <c r="G832" i="1"/>
  <c r="F833" i="1"/>
  <c r="G833" i="1"/>
  <c r="F834" i="1"/>
  <c r="G834" i="1"/>
  <c r="F835" i="1"/>
  <c r="G835" i="1"/>
  <c r="F836" i="1"/>
  <c r="G836" i="1"/>
  <c r="F837" i="1"/>
  <c r="G837" i="1"/>
  <c r="F838" i="1"/>
  <c r="G838" i="1"/>
  <c r="F839" i="1"/>
  <c r="G839" i="1"/>
  <c r="F840" i="1"/>
  <c r="G840" i="1"/>
  <c r="F841" i="1"/>
  <c r="G841" i="1"/>
  <c r="F842" i="1"/>
  <c r="G842" i="1"/>
  <c r="F843" i="1"/>
  <c r="G843" i="1"/>
  <c r="F844" i="1"/>
  <c r="G844" i="1"/>
  <c r="F845" i="1"/>
  <c r="G845" i="1"/>
  <c r="F846" i="1"/>
  <c r="G846" i="1"/>
  <c r="F847" i="1"/>
  <c r="G847" i="1"/>
  <c r="F848" i="1"/>
  <c r="G848" i="1"/>
  <c r="F849" i="1"/>
  <c r="G849" i="1"/>
  <c r="F850" i="1"/>
  <c r="G850" i="1"/>
  <c r="F851" i="1"/>
  <c r="G851" i="1"/>
  <c r="F852" i="1"/>
  <c r="G852" i="1"/>
  <c r="F853" i="1"/>
  <c r="G853" i="1"/>
  <c r="F854" i="1"/>
  <c r="G854" i="1"/>
  <c r="F855" i="1"/>
  <c r="G855" i="1"/>
  <c r="F856" i="1"/>
  <c r="G856" i="1"/>
  <c r="F857" i="1"/>
  <c r="G857" i="1"/>
  <c r="F858" i="1"/>
  <c r="G858" i="1"/>
  <c r="F859" i="1"/>
  <c r="G859" i="1"/>
  <c r="F860" i="1"/>
  <c r="G860" i="1"/>
  <c r="F861" i="1"/>
  <c r="G861" i="1"/>
  <c r="F862" i="1"/>
  <c r="G862" i="1"/>
  <c r="F863" i="1"/>
  <c r="G863" i="1"/>
  <c r="F864" i="1"/>
  <c r="G864" i="1"/>
  <c r="F865" i="1"/>
  <c r="G865" i="1"/>
  <c r="F866" i="1"/>
  <c r="G866" i="1"/>
  <c r="F867" i="1"/>
  <c r="G867" i="1"/>
  <c r="F868" i="1"/>
  <c r="G868" i="1"/>
  <c r="F869" i="1"/>
  <c r="G869" i="1"/>
  <c r="F870" i="1"/>
  <c r="G870" i="1"/>
  <c r="F871" i="1"/>
  <c r="G871" i="1"/>
  <c r="F872" i="1"/>
  <c r="G872" i="1"/>
  <c r="F873" i="1"/>
  <c r="G873" i="1"/>
  <c r="F874" i="1"/>
  <c r="G874" i="1"/>
  <c r="F875" i="1"/>
  <c r="G875" i="1"/>
  <c r="F876" i="1"/>
  <c r="G876" i="1"/>
  <c r="F877" i="1"/>
  <c r="G877" i="1"/>
  <c r="F878" i="1"/>
  <c r="G878" i="1"/>
  <c r="F879" i="1"/>
  <c r="G879" i="1"/>
  <c r="F880" i="1"/>
  <c r="G880" i="1"/>
  <c r="F881" i="1"/>
  <c r="G881" i="1"/>
  <c r="F882" i="1"/>
  <c r="G882" i="1"/>
  <c r="F883" i="1"/>
  <c r="G883" i="1"/>
  <c r="F884" i="1"/>
  <c r="G884" i="1"/>
  <c r="F885" i="1"/>
  <c r="G885" i="1"/>
  <c r="F886" i="1"/>
  <c r="G886" i="1"/>
  <c r="F887" i="1"/>
  <c r="G887" i="1"/>
  <c r="F888" i="1"/>
  <c r="G888" i="1"/>
  <c r="F889" i="1"/>
  <c r="G889" i="1"/>
  <c r="F890" i="1"/>
  <c r="G890" i="1"/>
  <c r="F891" i="1"/>
  <c r="G891" i="1"/>
  <c r="F892" i="1"/>
  <c r="G892" i="1"/>
  <c r="F893" i="1"/>
  <c r="G893" i="1"/>
  <c r="F894" i="1"/>
  <c r="G894" i="1"/>
  <c r="F895" i="1"/>
  <c r="G895" i="1"/>
  <c r="F896" i="1"/>
  <c r="G896" i="1"/>
  <c r="F897" i="1"/>
  <c r="G897" i="1"/>
  <c r="F898" i="1"/>
  <c r="G898" i="1"/>
  <c r="F899" i="1"/>
  <c r="G899" i="1"/>
  <c r="F900" i="1"/>
  <c r="G900" i="1"/>
  <c r="F901" i="1"/>
  <c r="G901" i="1"/>
  <c r="F902" i="1"/>
  <c r="G902" i="1"/>
  <c r="F903" i="1"/>
  <c r="G903" i="1"/>
  <c r="F904" i="1"/>
  <c r="G904" i="1"/>
  <c r="F905" i="1"/>
  <c r="G905" i="1"/>
  <c r="F906" i="1"/>
  <c r="G906" i="1"/>
  <c r="F907" i="1"/>
  <c r="G907" i="1"/>
  <c r="F908" i="1"/>
  <c r="G908" i="1"/>
  <c r="F909" i="1"/>
  <c r="G909" i="1"/>
  <c r="F910" i="1"/>
  <c r="G910" i="1"/>
  <c r="F911" i="1"/>
  <c r="G911" i="1"/>
  <c r="F912" i="1"/>
  <c r="G912" i="1"/>
  <c r="F913" i="1"/>
  <c r="G913" i="1"/>
  <c r="F914" i="1"/>
  <c r="G914" i="1"/>
  <c r="F915" i="1"/>
  <c r="G915" i="1"/>
  <c r="F916" i="1"/>
  <c r="G916" i="1"/>
  <c r="F917" i="1"/>
  <c r="G917" i="1"/>
  <c r="F918" i="1"/>
  <c r="G918" i="1"/>
  <c r="F919" i="1"/>
  <c r="G919" i="1"/>
  <c r="F920" i="1"/>
  <c r="G920" i="1"/>
  <c r="F921" i="1"/>
  <c r="G921" i="1"/>
  <c r="F922" i="1"/>
  <c r="G922" i="1"/>
  <c r="F923" i="1"/>
  <c r="G923" i="1"/>
  <c r="F924" i="1"/>
  <c r="G924" i="1"/>
  <c r="F925" i="1"/>
  <c r="G925" i="1"/>
  <c r="F926" i="1"/>
  <c r="G926" i="1"/>
  <c r="F927" i="1"/>
  <c r="G927" i="1"/>
  <c r="F928" i="1"/>
  <c r="G928" i="1"/>
  <c r="F929" i="1"/>
  <c r="G929" i="1"/>
  <c r="F930" i="1"/>
  <c r="G930" i="1"/>
  <c r="F931" i="1"/>
  <c r="G931" i="1"/>
  <c r="F932" i="1"/>
  <c r="G932" i="1"/>
  <c r="F933" i="1"/>
  <c r="G933" i="1"/>
  <c r="F934" i="1"/>
  <c r="G934" i="1"/>
  <c r="F935" i="1"/>
  <c r="G935" i="1"/>
  <c r="F936" i="1"/>
  <c r="G936" i="1"/>
  <c r="F937" i="1"/>
  <c r="G937" i="1"/>
  <c r="F938" i="1"/>
  <c r="G938" i="1"/>
  <c r="F939" i="1"/>
  <c r="G939" i="1"/>
  <c r="F940" i="1"/>
  <c r="G940" i="1"/>
  <c r="F941" i="1"/>
  <c r="G941" i="1"/>
  <c r="F942" i="1"/>
  <c r="G942" i="1"/>
  <c r="F943" i="1"/>
  <c r="G943" i="1"/>
  <c r="F944" i="1"/>
  <c r="G944" i="1"/>
  <c r="F945" i="1"/>
  <c r="G945" i="1"/>
  <c r="F946" i="1"/>
  <c r="G946" i="1"/>
  <c r="F947" i="1"/>
  <c r="G947" i="1"/>
  <c r="F948" i="1"/>
  <c r="G948" i="1"/>
  <c r="F949" i="1"/>
  <c r="G949" i="1"/>
  <c r="F950" i="1"/>
  <c r="G950" i="1"/>
  <c r="F951" i="1"/>
  <c r="G951" i="1"/>
  <c r="F952" i="1"/>
  <c r="G952" i="1"/>
  <c r="F953" i="1"/>
  <c r="G953" i="1"/>
  <c r="F954" i="1"/>
  <c r="G954" i="1"/>
  <c r="F955" i="1"/>
  <c r="G955" i="1"/>
  <c r="F956" i="1"/>
  <c r="G956" i="1"/>
  <c r="F957" i="1"/>
  <c r="G957" i="1"/>
  <c r="F958" i="1"/>
  <c r="G958" i="1"/>
  <c r="F959" i="1"/>
  <c r="G959" i="1"/>
  <c r="F960" i="1"/>
  <c r="G960" i="1"/>
  <c r="F961" i="1"/>
  <c r="G961" i="1"/>
  <c r="F962" i="1"/>
  <c r="G962" i="1"/>
  <c r="F963" i="1"/>
  <c r="G963" i="1"/>
  <c r="F964" i="1"/>
  <c r="G964" i="1"/>
  <c r="F965" i="1"/>
  <c r="G965" i="1"/>
  <c r="F966" i="1"/>
  <c r="G966" i="1"/>
  <c r="F967" i="1"/>
  <c r="G967" i="1"/>
  <c r="F968" i="1"/>
  <c r="G968" i="1"/>
  <c r="F969" i="1"/>
  <c r="G969" i="1"/>
  <c r="F970" i="1"/>
  <c r="G970" i="1"/>
  <c r="F971" i="1"/>
  <c r="G971" i="1"/>
  <c r="F972" i="1"/>
  <c r="G972" i="1"/>
  <c r="F973" i="1"/>
  <c r="G973" i="1"/>
  <c r="F974" i="1"/>
  <c r="G974" i="1"/>
  <c r="F975" i="1"/>
  <c r="G975" i="1"/>
  <c r="F976" i="1"/>
  <c r="G976" i="1"/>
  <c r="F977" i="1"/>
  <c r="G977" i="1"/>
  <c r="F978" i="1"/>
  <c r="G978" i="1"/>
  <c r="F979" i="1"/>
  <c r="G979" i="1"/>
  <c r="F980" i="1"/>
  <c r="G980" i="1"/>
  <c r="F981" i="1"/>
  <c r="G981" i="1"/>
  <c r="F982" i="1"/>
  <c r="G982" i="1"/>
  <c r="F983" i="1"/>
  <c r="G983" i="1"/>
  <c r="F984" i="1"/>
  <c r="G984" i="1"/>
  <c r="F985" i="1"/>
  <c r="G985" i="1"/>
  <c r="F986" i="1"/>
  <c r="G986" i="1"/>
  <c r="F987" i="1"/>
  <c r="G987" i="1"/>
  <c r="F988" i="1"/>
  <c r="G988" i="1"/>
  <c r="F989" i="1"/>
  <c r="G989" i="1"/>
  <c r="F990" i="1"/>
  <c r="G990" i="1"/>
  <c r="F991" i="1"/>
  <c r="G991" i="1"/>
  <c r="F992" i="1"/>
  <c r="G992" i="1"/>
  <c r="F993" i="1"/>
  <c r="G993" i="1"/>
  <c r="F994" i="1"/>
  <c r="G994" i="1"/>
  <c r="F995" i="1"/>
  <c r="G995" i="1"/>
  <c r="F996" i="1"/>
  <c r="G996" i="1"/>
  <c r="F997" i="1"/>
  <c r="G997" i="1"/>
  <c r="F998" i="1"/>
  <c r="G998" i="1"/>
  <c r="F999" i="1"/>
  <c r="G999" i="1"/>
  <c r="F1000" i="1"/>
  <c r="G1000" i="1"/>
  <c r="F1001" i="1"/>
  <c r="G1001" i="1"/>
  <c r="F1002" i="1"/>
  <c r="G1002" i="1"/>
  <c r="F1003" i="1"/>
  <c r="G1003" i="1"/>
  <c r="F1004" i="1"/>
  <c r="G1004" i="1"/>
  <c r="F1005" i="1"/>
  <c r="G1005" i="1"/>
  <c r="F1006" i="1"/>
  <c r="G1006" i="1"/>
  <c r="F1007" i="1"/>
  <c r="G1007" i="1"/>
  <c r="F1008" i="1"/>
  <c r="G1008" i="1"/>
  <c r="F1009" i="1"/>
  <c r="G1009" i="1"/>
  <c r="F1010" i="1"/>
  <c r="G1010" i="1"/>
  <c r="F1011" i="1"/>
  <c r="G1011" i="1"/>
  <c r="F1012" i="1"/>
  <c r="G1012" i="1"/>
  <c r="F1013" i="1"/>
  <c r="G1013" i="1"/>
  <c r="F1014" i="1"/>
  <c r="G1014" i="1"/>
  <c r="F1015" i="1"/>
  <c r="G1015" i="1"/>
  <c r="F1016" i="1"/>
  <c r="G1016" i="1"/>
  <c r="F1017" i="1"/>
  <c r="G1017" i="1"/>
  <c r="F1018" i="1"/>
  <c r="G1018" i="1"/>
  <c r="F1019" i="1"/>
  <c r="G1019" i="1"/>
  <c r="F1020" i="1"/>
  <c r="G1020" i="1"/>
  <c r="F1021" i="1"/>
  <c r="G1021" i="1"/>
  <c r="F1022" i="1"/>
  <c r="G1022" i="1"/>
  <c r="F1023" i="1"/>
  <c r="G1023" i="1"/>
  <c r="F1024" i="1"/>
  <c r="G1024" i="1"/>
  <c r="F1025" i="1"/>
  <c r="G1025" i="1"/>
  <c r="F1026" i="1"/>
  <c r="G1026" i="1"/>
  <c r="F1027" i="1"/>
  <c r="G1027" i="1"/>
  <c r="F1028" i="1"/>
  <c r="G1028" i="1"/>
  <c r="F1029" i="1"/>
  <c r="G1029" i="1"/>
  <c r="F1030" i="1"/>
  <c r="G1030" i="1"/>
  <c r="F1031" i="1"/>
  <c r="G1031" i="1"/>
  <c r="F1032" i="1"/>
  <c r="G1032" i="1"/>
  <c r="F1033" i="1"/>
  <c r="G1033" i="1"/>
  <c r="F1034" i="1"/>
  <c r="G1034" i="1"/>
  <c r="F1035" i="1"/>
  <c r="G1035" i="1"/>
  <c r="F1036" i="1"/>
  <c r="G1036" i="1"/>
  <c r="F1037" i="1"/>
  <c r="G1037" i="1"/>
  <c r="F1038" i="1"/>
  <c r="G1038" i="1"/>
  <c r="F1039" i="1"/>
  <c r="G1039" i="1"/>
  <c r="F1040" i="1"/>
  <c r="G1040" i="1"/>
  <c r="F1041" i="1"/>
  <c r="G1041" i="1"/>
  <c r="F1042" i="1"/>
  <c r="G1042" i="1"/>
  <c r="F1043" i="1"/>
  <c r="G1043" i="1"/>
  <c r="F1044" i="1"/>
  <c r="G1044" i="1"/>
  <c r="F1045" i="1"/>
  <c r="G1045" i="1"/>
  <c r="F1046" i="1"/>
  <c r="G1046" i="1"/>
  <c r="F1047" i="1"/>
  <c r="G1047" i="1"/>
  <c r="F1048" i="1"/>
  <c r="G1048" i="1"/>
  <c r="F1049" i="1"/>
  <c r="G1049" i="1"/>
  <c r="F1050" i="1"/>
  <c r="G1050" i="1"/>
  <c r="F1051" i="1"/>
  <c r="G1051" i="1"/>
  <c r="F1052" i="1"/>
  <c r="G1052" i="1"/>
  <c r="F1053" i="1"/>
  <c r="G1053" i="1"/>
  <c r="F1054" i="1"/>
  <c r="G1054" i="1"/>
  <c r="F1055" i="1"/>
  <c r="G1055" i="1"/>
  <c r="F1056" i="1"/>
  <c r="G1056" i="1"/>
  <c r="F1057" i="1"/>
  <c r="G1057" i="1"/>
  <c r="F1058" i="1"/>
  <c r="G1058" i="1"/>
  <c r="F1059" i="1"/>
  <c r="G1059" i="1"/>
  <c r="F1060" i="1"/>
  <c r="G1060" i="1"/>
  <c r="F1061" i="1"/>
  <c r="G1061" i="1"/>
  <c r="F1062" i="1"/>
  <c r="G1062" i="1"/>
  <c r="F1063" i="1"/>
  <c r="G1063" i="1"/>
  <c r="F1064" i="1"/>
  <c r="G1064" i="1"/>
  <c r="F1065" i="1"/>
  <c r="G1065" i="1"/>
  <c r="F1066" i="1"/>
  <c r="G1066" i="1"/>
  <c r="F1067" i="1"/>
  <c r="G1067" i="1"/>
  <c r="F1068" i="1"/>
  <c r="G1068" i="1"/>
  <c r="F1069" i="1"/>
  <c r="G1069" i="1"/>
  <c r="F1070" i="1"/>
  <c r="G1070" i="1"/>
  <c r="F1071" i="1"/>
  <c r="G1071" i="1"/>
  <c r="F1072" i="1"/>
  <c r="G1072" i="1"/>
  <c r="F1073" i="1"/>
  <c r="G1073" i="1"/>
  <c r="F1074" i="1"/>
  <c r="G1074" i="1"/>
  <c r="F1075" i="1"/>
  <c r="G1075" i="1"/>
  <c r="F1076" i="1"/>
  <c r="G1076" i="1"/>
  <c r="F1077" i="1"/>
  <c r="G1077" i="1"/>
  <c r="F1078" i="1"/>
  <c r="G1078" i="1"/>
  <c r="F1079" i="1"/>
  <c r="G1079" i="1"/>
  <c r="F1080" i="1"/>
  <c r="G1080" i="1"/>
  <c r="F1081" i="1"/>
  <c r="G1081" i="1"/>
  <c r="F1082" i="1"/>
  <c r="G1082" i="1"/>
  <c r="F1083" i="1"/>
  <c r="G1083" i="1"/>
  <c r="F1084" i="1"/>
  <c r="G1084" i="1"/>
  <c r="F1085" i="1"/>
  <c r="G1085" i="1"/>
  <c r="F1086" i="1"/>
  <c r="G1086" i="1"/>
  <c r="F1087" i="1"/>
  <c r="G1087" i="1"/>
  <c r="F1088" i="1"/>
  <c r="G1088" i="1"/>
  <c r="F1089" i="1"/>
  <c r="G1089" i="1"/>
  <c r="F1090" i="1"/>
  <c r="G1090" i="1"/>
  <c r="F1091" i="1"/>
  <c r="G1091" i="1"/>
  <c r="F1092" i="1"/>
  <c r="G1092" i="1"/>
  <c r="F1093" i="1"/>
  <c r="G1093" i="1"/>
  <c r="F1094" i="1"/>
  <c r="G1094" i="1"/>
  <c r="F1095" i="1"/>
  <c r="G1095" i="1"/>
  <c r="F1096" i="1"/>
  <c r="G1096" i="1"/>
  <c r="F1097" i="1"/>
  <c r="G1097" i="1"/>
  <c r="F1098" i="1"/>
  <c r="G1098" i="1"/>
  <c r="F1099" i="1"/>
  <c r="G1099" i="1"/>
  <c r="F1100" i="1"/>
  <c r="G1100" i="1"/>
  <c r="F1101" i="1"/>
  <c r="G1101" i="1"/>
  <c r="F1102" i="1"/>
  <c r="G1102" i="1"/>
  <c r="F1103" i="1"/>
  <c r="G1103" i="1"/>
  <c r="F1104" i="1"/>
  <c r="G1104" i="1"/>
  <c r="F1105" i="1"/>
  <c r="G1105" i="1"/>
  <c r="F1106" i="1"/>
  <c r="G1106" i="1"/>
  <c r="F1107" i="1"/>
  <c r="G1107" i="1"/>
  <c r="F1108" i="1"/>
  <c r="G1108" i="1"/>
  <c r="F1109" i="1"/>
  <c r="G1109" i="1"/>
  <c r="F1110" i="1"/>
  <c r="G1110" i="1"/>
  <c r="F1111" i="1"/>
  <c r="G1111" i="1"/>
  <c r="F1112" i="1"/>
  <c r="G1112" i="1"/>
  <c r="F1113" i="1"/>
  <c r="G1113" i="1"/>
  <c r="F1114" i="1"/>
  <c r="G1114" i="1"/>
  <c r="F1115" i="1"/>
  <c r="G1115" i="1"/>
  <c r="F1116" i="1"/>
  <c r="G1116" i="1"/>
  <c r="F1117" i="1"/>
  <c r="G1117" i="1"/>
  <c r="F1118" i="1"/>
  <c r="G1118" i="1"/>
  <c r="F1119" i="1"/>
  <c r="G1119" i="1"/>
  <c r="F1120" i="1"/>
  <c r="G1120" i="1"/>
  <c r="F1121" i="1"/>
  <c r="G1121" i="1"/>
  <c r="F1122" i="1"/>
  <c r="G1122" i="1"/>
  <c r="F1123" i="1"/>
  <c r="G1123" i="1"/>
  <c r="F1124" i="1"/>
  <c r="G1124" i="1"/>
  <c r="F1125" i="1"/>
  <c r="G1125" i="1"/>
  <c r="F1126" i="1"/>
  <c r="G1126" i="1"/>
  <c r="F1127" i="1"/>
  <c r="G1127" i="1"/>
  <c r="F1128" i="1"/>
  <c r="G1128" i="1"/>
  <c r="F1129" i="1"/>
  <c r="G1129" i="1"/>
  <c r="F1130" i="1"/>
  <c r="G1130" i="1"/>
  <c r="F1131" i="1"/>
  <c r="G1131" i="1"/>
  <c r="F1132" i="1"/>
  <c r="G1132" i="1"/>
  <c r="F1133" i="1"/>
  <c r="G1133" i="1"/>
  <c r="F1134" i="1"/>
  <c r="G1134" i="1"/>
  <c r="F1135" i="1"/>
  <c r="G1135" i="1"/>
  <c r="F1136" i="1"/>
  <c r="G1136" i="1"/>
  <c r="F1137" i="1"/>
  <c r="G1137" i="1"/>
  <c r="F1138" i="1"/>
  <c r="G1138" i="1"/>
  <c r="F1139" i="1"/>
  <c r="G1139" i="1"/>
  <c r="F1140" i="1"/>
  <c r="G1140" i="1"/>
  <c r="F1141" i="1"/>
  <c r="G1141" i="1"/>
  <c r="F1142" i="1"/>
  <c r="G1142" i="1"/>
  <c r="F1143" i="1"/>
  <c r="G1143" i="1"/>
  <c r="F1144" i="1"/>
  <c r="G1144" i="1"/>
  <c r="F1145" i="1"/>
  <c r="G1145" i="1"/>
  <c r="F1146" i="1"/>
  <c r="G1146" i="1"/>
  <c r="F1147" i="1"/>
  <c r="G1147" i="1"/>
  <c r="F1148" i="1"/>
  <c r="G1148" i="1"/>
  <c r="F1149" i="1"/>
  <c r="G1149" i="1"/>
  <c r="F1150" i="1"/>
  <c r="G1150" i="1"/>
  <c r="F1151" i="1"/>
  <c r="G1151" i="1"/>
  <c r="F1152" i="1"/>
  <c r="G1152" i="1"/>
  <c r="F1153" i="1"/>
  <c r="G1153" i="1"/>
  <c r="F1154" i="1"/>
  <c r="G1154" i="1"/>
  <c r="F1155" i="1"/>
  <c r="G1155" i="1"/>
  <c r="F1156" i="1"/>
  <c r="G1156" i="1"/>
  <c r="F1157" i="1"/>
  <c r="G1157" i="1"/>
  <c r="F1158" i="1"/>
  <c r="G1158" i="1"/>
  <c r="F1159" i="1"/>
  <c r="G1159" i="1"/>
  <c r="F1160" i="1"/>
  <c r="G1160" i="1"/>
  <c r="F1161" i="1"/>
  <c r="G1161" i="1"/>
  <c r="F1162" i="1"/>
  <c r="G1162" i="1"/>
  <c r="F1163" i="1"/>
  <c r="G1163" i="1"/>
  <c r="F1164" i="1"/>
  <c r="G1164" i="1"/>
  <c r="F1165" i="1"/>
  <c r="G1165" i="1"/>
  <c r="F1166" i="1"/>
  <c r="G1166" i="1"/>
  <c r="F1167" i="1"/>
  <c r="G1167" i="1"/>
  <c r="F1168" i="1"/>
  <c r="G1168" i="1"/>
  <c r="F1169" i="1"/>
  <c r="G1169" i="1"/>
  <c r="F1170" i="1"/>
  <c r="G1170" i="1"/>
  <c r="F1171" i="1"/>
  <c r="G1171" i="1"/>
  <c r="F1172" i="1"/>
  <c r="G1172" i="1"/>
  <c r="F1173" i="1"/>
  <c r="G1173" i="1"/>
  <c r="F1174" i="1"/>
  <c r="G1174" i="1"/>
  <c r="F1175" i="1"/>
  <c r="G1175" i="1"/>
  <c r="F1176" i="1"/>
  <c r="G1176" i="1"/>
  <c r="F1177" i="1"/>
  <c r="G1177" i="1"/>
  <c r="F1178" i="1"/>
  <c r="G1178" i="1"/>
  <c r="F1179" i="1"/>
  <c r="G1179" i="1"/>
  <c r="F1180" i="1"/>
  <c r="G1180" i="1"/>
  <c r="F1181" i="1"/>
  <c r="G1181" i="1"/>
  <c r="F1182" i="1"/>
  <c r="G1182" i="1"/>
  <c r="F1183" i="1"/>
  <c r="G1183" i="1"/>
  <c r="F1184" i="1"/>
  <c r="G1184" i="1"/>
  <c r="F1185" i="1"/>
  <c r="G1185" i="1"/>
  <c r="F1186" i="1"/>
  <c r="G1186" i="1"/>
  <c r="F1187" i="1"/>
  <c r="G1187" i="1"/>
  <c r="F1188" i="1"/>
  <c r="G1188" i="1"/>
  <c r="F1189" i="1"/>
  <c r="G1189" i="1"/>
  <c r="F1190" i="1"/>
  <c r="G1190" i="1"/>
  <c r="F1191" i="1"/>
  <c r="G1191" i="1"/>
  <c r="F1192" i="1"/>
  <c r="G1192" i="1"/>
  <c r="F1193" i="1"/>
  <c r="G1193" i="1"/>
  <c r="F1194" i="1"/>
  <c r="G1194" i="1"/>
  <c r="F1195" i="1"/>
  <c r="G1195" i="1"/>
  <c r="F1196" i="1"/>
  <c r="G1196" i="1"/>
  <c r="F1197" i="1"/>
  <c r="G1197" i="1"/>
  <c r="F1198" i="1"/>
  <c r="G1198" i="1"/>
  <c r="F1199" i="1"/>
  <c r="G1199" i="1"/>
  <c r="F1200" i="1"/>
  <c r="G1200" i="1"/>
  <c r="F1201" i="1"/>
  <c r="G1201" i="1"/>
  <c r="F1202" i="1"/>
  <c r="G1202" i="1"/>
  <c r="F1203" i="1"/>
  <c r="G1203" i="1"/>
  <c r="F1204" i="1"/>
  <c r="G1204" i="1"/>
  <c r="F1205" i="1"/>
  <c r="G1205" i="1"/>
  <c r="F1206" i="1"/>
  <c r="G1206" i="1"/>
  <c r="F1207" i="1"/>
  <c r="G1207" i="1"/>
  <c r="F1208" i="1"/>
  <c r="G1208" i="1"/>
  <c r="F1209" i="1"/>
  <c r="G1209" i="1"/>
  <c r="F1210" i="1"/>
  <c r="G1210" i="1"/>
  <c r="F1211" i="1"/>
  <c r="G1211" i="1"/>
  <c r="F1212" i="1"/>
  <c r="G1212" i="1"/>
  <c r="F1213" i="1"/>
  <c r="G1213" i="1"/>
  <c r="F1214" i="1"/>
  <c r="G1214" i="1"/>
  <c r="F1215" i="1"/>
  <c r="G1215" i="1"/>
  <c r="F1216" i="1"/>
  <c r="G1216" i="1"/>
  <c r="F1217" i="1"/>
  <c r="G1217" i="1"/>
  <c r="F1218" i="1"/>
  <c r="G1218" i="1"/>
  <c r="F1219" i="1"/>
  <c r="G1219" i="1"/>
  <c r="F1220" i="1"/>
  <c r="G1220" i="1"/>
  <c r="F1221" i="1"/>
  <c r="G1221" i="1"/>
  <c r="F1222" i="1"/>
  <c r="G1222" i="1"/>
  <c r="F1223" i="1"/>
  <c r="G1223" i="1"/>
  <c r="F1224" i="1"/>
  <c r="G1224" i="1"/>
  <c r="F1225" i="1"/>
  <c r="G1225" i="1"/>
  <c r="F1226" i="1"/>
  <c r="G1226" i="1"/>
  <c r="F1227" i="1"/>
  <c r="G1227" i="1"/>
  <c r="F1228" i="1"/>
  <c r="G1228" i="1"/>
  <c r="F1229" i="1"/>
  <c r="G1229" i="1"/>
  <c r="F1230" i="1"/>
  <c r="G1230" i="1"/>
  <c r="F1231" i="1"/>
  <c r="G1231" i="1"/>
  <c r="F1232" i="1"/>
  <c r="G1232" i="1"/>
  <c r="F1233" i="1"/>
  <c r="G1233" i="1"/>
  <c r="F1234" i="1"/>
  <c r="G1234" i="1"/>
  <c r="F1235" i="1"/>
  <c r="G1235" i="1"/>
  <c r="F1236" i="1"/>
  <c r="G1236" i="1"/>
  <c r="F1237" i="1"/>
  <c r="G1237" i="1"/>
  <c r="F1238" i="1"/>
  <c r="G1238" i="1"/>
  <c r="F1239" i="1"/>
  <c r="G1239" i="1"/>
  <c r="F1240" i="1"/>
  <c r="G1240" i="1"/>
  <c r="F1241" i="1"/>
  <c r="G1241" i="1"/>
  <c r="F1242" i="1"/>
  <c r="G1242" i="1"/>
  <c r="F1243" i="1"/>
  <c r="G1243" i="1"/>
  <c r="F1244" i="1"/>
  <c r="G1244" i="1"/>
  <c r="F1245" i="1"/>
  <c r="G1245" i="1"/>
  <c r="F1246" i="1"/>
  <c r="G1246" i="1"/>
  <c r="F1247" i="1"/>
  <c r="G1247" i="1"/>
  <c r="F1248" i="1"/>
  <c r="G1248" i="1"/>
  <c r="F1249" i="1"/>
  <c r="G1249" i="1"/>
  <c r="F1250" i="1"/>
  <c r="G1250" i="1"/>
  <c r="F1251" i="1"/>
  <c r="G1251" i="1"/>
  <c r="F1252" i="1"/>
  <c r="G1252" i="1"/>
  <c r="F1253" i="1"/>
  <c r="G1253" i="1"/>
  <c r="F1254" i="1"/>
  <c r="G1254" i="1"/>
  <c r="F1255" i="1"/>
  <c r="G1255" i="1"/>
  <c r="F1256" i="1"/>
  <c r="G1256" i="1"/>
  <c r="F1257" i="1"/>
  <c r="G1257" i="1"/>
  <c r="F4" i="1"/>
  <c r="G4" i="1"/>
  <c r="G3" i="1"/>
  <c r="F3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301" i="1"/>
  <c r="E301" i="1"/>
  <c r="D302" i="1"/>
  <c r="E302" i="1"/>
  <c r="D303" i="1"/>
  <c r="E303" i="1"/>
  <c r="D304" i="1"/>
  <c r="E304" i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/>
  <c r="D313" i="1"/>
  <c r="E313" i="1"/>
  <c r="D314" i="1"/>
  <c r="E314" i="1"/>
  <c r="D315" i="1"/>
  <c r="E315" i="1"/>
  <c r="D316" i="1"/>
  <c r="E316" i="1"/>
  <c r="D317" i="1"/>
  <c r="E317" i="1"/>
  <c r="D318" i="1"/>
  <c r="E318" i="1"/>
  <c r="D319" i="1"/>
  <c r="E319" i="1"/>
  <c r="D320" i="1"/>
  <c r="E320" i="1"/>
  <c r="D321" i="1"/>
  <c r="E321" i="1"/>
  <c r="D322" i="1"/>
  <c r="E322" i="1"/>
  <c r="D323" i="1"/>
  <c r="E323" i="1"/>
  <c r="D324" i="1"/>
  <c r="E324" i="1"/>
  <c r="D325" i="1"/>
  <c r="E325" i="1"/>
  <c r="D326" i="1"/>
  <c r="E326" i="1"/>
  <c r="D327" i="1"/>
  <c r="E327" i="1"/>
  <c r="D328" i="1"/>
  <c r="E328" i="1"/>
  <c r="D329" i="1"/>
  <c r="E329" i="1"/>
  <c r="D330" i="1"/>
  <c r="E330" i="1"/>
  <c r="D331" i="1"/>
  <c r="E331" i="1"/>
  <c r="D332" i="1"/>
  <c r="E332" i="1"/>
  <c r="D333" i="1"/>
  <c r="E333" i="1"/>
  <c r="D334" i="1"/>
  <c r="E334" i="1"/>
  <c r="D335" i="1"/>
  <c r="E335" i="1"/>
  <c r="D336" i="1"/>
  <c r="E336" i="1"/>
  <c r="D337" i="1"/>
  <c r="E337" i="1"/>
  <c r="D338" i="1"/>
  <c r="E338" i="1"/>
  <c r="D339" i="1"/>
  <c r="E339" i="1"/>
  <c r="D340" i="1"/>
  <c r="E340" i="1"/>
  <c r="D341" i="1"/>
  <c r="E341" i="1"/>
  <c r="D342" i="1"/>
  <c r="E342" i="1"/>
  <c r="D343" i="1"/>
  <c r="E343" i="1"/>
  <c r="D344" i="1"/>
  <c r="E344" i="1"/>
  <c r="D345" i="1"/>
  <c r="E345" i="1"/>
  <c r="D346" i="1"/>
  <c r="E346" i="1"/>
  <c r="D347" i="1"/>
  <c r="E347" i="1"/>
  <c r="D348" i="1"/>
  <c r="E348" i="1"/>
  <c r="D349" i="1"/>
  <c r="E349" i="1"/>
  <c r="D350" i="1"/>
  <c r="E350" i="1"/>
  <c r="D351" i="1"/>
  <c r="E351" i="1"/>
  <c r="D352" i="1"/>
  <c r="E352" i="1"/>
  <c r="D353" i="1"/>
  <c r="E353" i="1"/>
  <c r="D354" i="1"/>
  <c r="E354" i="1"/>
  <c r="D355" i="1"/>
  <c r="E355" i="1"/>
  <c r="D356" i="1"/>
  <c r="E356" i="1"/>
  <c r="D357" i="1"/>
  <c r="E357" i="1"/>
  <c r="D358" i="1"/>
  <c r="E358" i="1"/>
  <c r="D359" i="1"/>
  <c r="E359" i="1"/>
  <c r="D360" i="1"/>
  <c r="E360" i="1"/>
  <c r="D361" i="1"/>
  <c r="E361" i="1"/>
  <c r="D362" i="1"/>
  <c r="E362" i="1"/>
  <c r="D363" i="1"/>
  <c r="E363" i="1"/>
  <c r="D364" i="1"/>
  <c r="E364" i="1"/>
  <c r="D365" i="1"/>
  <c r="E365" i="1"/>
  <c r="D366" i="1"/>
  <c r="E366" i="1"/>
  <c r="D367" i="1"/>
  <c r="E367" i="1"/>
  <c r="D368" i="1"/>
  <c r="E368" i="1"/>
  <c r="D369" i="1"/>
  <c r="E369" i="1"/>
  <c r="D370" i="1"/>
  <c r="E370" i="1"/>
  <c r="D371" i="1"/>
  <c r="E371" i="1"/>
  <c r="D372" i="1"/>
  <c r="E372" i="1"/>
  <c r="D373" i="1"/>
  <c r="E373" i="1"/>
  <c r="D374" i="1"/>
  <c r="E374" i="1"/>
  <c r="D375" i="1"/>
  <c r="E375" i="1"/>
  <c r="D376" i="1"/>
  <c r="E376" i="1"/>
  <c r="D377" i="1"/>
  <c r="E377" i="1"/>
  <c r="D378" i="1"/>
  <c r="E378" i="1"/>
  <c r="D379" i="1"/>
  <c r="E379" i="1"/>
  <c r="D380" i="1"/>
  <c r="E380" i="1"/>
  <c r="D381" i="1"/>
  <c r="E381" i="1"/>
  <c r="D382" i="1"/>
  <c r="E382" i="1"/>
  <c r="D383" i="1"/>
  <c r="E383" i="1"/>
  <c r="D384" i="1"/>
  <c r="E384" i="1"/>
  <c r="D385" i="1"/>
  <c r="E385" i="1"/>
  <c r="D386" i="1"/>
  <c r="E386" i="1"/>
  <c r="D387" i="1"/>
  <c r="E387" i="1"/>
  <c r="D388" i="1"/>
  <c r="E388" i="1"/>
  <c r="D389" i="1"/>
  <c r="E389" i="1"/>
  <c r="D390" i="1"/>
  <c r="E390" i="1"/>
  <c r="D391" i="1"/>
  <c r="E391" i="1"/>
  <c r="D392" i="1"/>
  <c r="E392" i="1"/>
  <c r="D393" i="1"/>
  <c r="E393" i="1"/>
  <c r="D394" i="1"/>
  <c r="E394" i="1"/>
  <c r="D395" i="1"/>
  <c r="E395" i="1"/>
  <c r="D396" i="1"/>
  <c r="E396" i="1"/>
  <c r="D397" i="1"/>
  <c r="E397" i="1"/>
  <c r="D398" i="1"/>
  <c r="E398" i="1"/>
  <c r="D399" i="1"/>
  <c r="E399" i="1"/>
  <c r="D400" i="1"/>
  <c r="E400" i="1"/>
  <c r="D401" i="1"/>
  <c r="E401" i="1"/>
  <c r="D402" i="1"/>
  <c r="E402" i="1"/>
  <c r="D403" i="1"/>
  <c r="E403" i="1"/>
  <c r="D404" i="1"/>
  <c r="E404" i="1"/>
  <c r="D405" i="1"/>
  <c r="E405" i="1"/>
  <c r="D406" i="1"/>
  <c r="E406" i="1"/>
  <c r="D407" i="1"/>
  <c r="E407" i="1"/>
  <c r="D408" i="1"/>
  <c r="E408" i="1"/>
  <c r="D409" i="1"/>
  <c r="E409" i="1"/>
  <c r="D410" i="1"/>
  <c r="E410" i="1"/>
  <c r="D411" i="1"/>
  <c r="E411" i="1"/>
  <c r="D412" i="1"/>
  <c r="E412" i="1"/>
  <c r="D413" i="1"/>
  <c r="E413" i="1"/>
  <c r="D414" i="1"/>
  <c r="E414" i="1"/>
  <c r="D415" i="1"/>
  <c r="E415" i="1"/>
  <c r="D416" i="1"/>
  <c r="E416" i="1"/>
  <c r="D417" i="1"/>
  <c r="E417" i="1"/>
  <c r="D418" i="1"/>
  <c r="E418" i="1"/>
  <c r="D419" i="1"/>
  <c r="E419" i="1"/>
  <c r="D420" i="1"/>
  <c r="E420" i="1"/>
  <c r="D421" i="1"/>
  <c r="E421" i="1"/>
  <c r="D422" i="1"/>
  <c r="E422" i="1"/>
  <c r="D423" i="1"/>
  <c r="E423" i="1"/>
  <c r="D424" i="1"/>
  <c r="E424" i="1"/>
  <c r="D425" i="1"/>
  <c r="E425" i="1"/>
  <c r="D426" i="1"/>
  <c r="E426" i="1"/>
  <c r="D427" i="1"/>
  <c r="E427" i="1"/>
  <c r="D428" i="1"/>
  <c r="E428" i="1"/>
  <c r="D429" i="1"/>
  <c r="E429" i="1"/>
  <c r="D430" i="1"/>
  <c r="E430" i="1"/>
  <c r="D431" i="1"/>
  <c r="E431" i="1"/>
  <c r="D432" i="1"/>
  <c r="E432" i="1"/>
  <c r="D433" i="1"/>
  <c r="E433" i="1"/>
  <c r="D434" i="1"/>
  <c r="E434" i="1"/>
  <c r="D435" i="1"/>
  <c r="E435" i="1"/>
  <c r="D436" i="1"/>
  <c r="E436" i="1"/>
  <c r="D437" i="1"/>
  <c r="E437" i="1"/>
  <c r="D438" i="1"/>
  <c r="E438" i="1"/>
  <c r="D439" i="1"/>
  <c r="E439" i="1"/>
  <c r="D440" i="1"/>
  <c r="E440" i="1"/>
  <c r="D441" i="1"/>
  <c r="E441" i="1"/>
  <c r="D442" i="1"/>
  <c r="E442" i="1"/>
  <c r="D443" i="1"/>
  <c r="E443" i="1"/>
  <c r="D444" i="1"/>
  <c r="E444" i="1"/>
  <c r="D445" i="1"/>
  <c r="E445" i="1"/>
  <c r="D446" i="1"/>
  <c r="E446" i="1"/>
  <c r="D447" i="1"/>
  <c r="E447" i="1"/>
  <c r="D448" i="1"/>
  <c r="E448" i="1"/>
  <c r="D449" i="1"/>
  <c r="E449" i="1"/>
  <c r="D450" i="1"/>
  <c r="E450" i="1"/>
  <c r="D451" i="1"/>
  <c r="E451" i="1"/>
  <c r="D452" i="1"/>
  <c r="E452" i="1"/>
  <c r="D453" i="1"/>
  <c r="E453" i="1"/>
  <c r="D454" i="1"/>
  <c r="E454" i="1"/>
  <c r="D455" i="1"/>
  <c r="E455" i="1"/>
  <c r="D456" i="1"/>
  <c r="E456" i="1"/>
  <c r="D457" i="1"/>
  <c r="E457" i="1"/>
  <c r="D458" i="1"/>
  <c r="E458" i="1"/>
  <c r="D459" i="1"/>
  <c r="E459" i="1"/>
  <c r="D460" i="1"/>
  <c r="E460" i="1"/>
  <c r="D461" i="1"/>
  <c r="E461" i="1"/>
  <c r="D462" i="1"/>
  <c r="E462" i="1"/>
  <c r="D463" i="1"/>
  <c r="E463" i="1"/>
  <c r="D464" i="1"/>
  <c r="E464" i="1"/>
  <c r="D465" i="1"/>
  <c r="E465" i="1"/>
  <c r="D466" i="1"/>
  <c r="E466" i="1"/>
  <c r="D467" i="1"/>
  <c r="E467" i="1"/>
  <c r="D468" i="1"/>
  <c r="E468" i="1"/>
  <c r="D469" i="1"/>
  <c r="E469" i="1"/>
  <c r="D470" i="1"/>
  <c r="E470" i="1"/>
  <c r="D471" i="1"/>
  <c r="E471" i="1"/>
  <c r="D472" i="1"/>
  <c r="E472" i="1"/>
  <c r="D473" i="1"/>
  <c r="E473" i="1"/>
  <c r="D474" i="1"/>
  <c r="E474" i="1"/>
  <c r="D475" i="1"/>
  <c r="E475" i="1"/>
  <c r="D476" i="1"/>
  <c r="E476" i="1"/>
  <c r="D477" i="1"/>
  <c r="E477" i="1"/>
  <c r="D478" i="1"/>
  <c r="E478" i="1"/>
  <c r="D479" i="1"/>
  <c r="E479" i="1"/>
  <c r="D480" i="1"/>
  <c r="E480" i="1"/>
  <c r="D481" i="1"/>
  <c r="E481" i="1"/>
  <c r="D482" i="1"/>
  <c r="E482" i="1"/>
  <c r="D483" i="1"/>
  <c r="E483" i="1"/>
  <c r="D484" i="1"/>
  <c r="E484" i="1"/>
  <c r="D485" i="1"/>
  <c r="E485" i="1"/>
  <c r="D486" i="1"/>
  <c r="E486" i="1"/>
  <c r="D487" i="1"/>
  <c r="E487" i="1"/>
  <c r="D488" i="1"/>
  <c r="E488" i="1"/>
  <c r="D489" i="1"/>
  <c r="E489" i="1"/>
  <c r="D490" i="1"/>
  <c r="E490" i="1"/>
  <c r="D491" i="1"/>
  <c r="E491" i="1"/>
  <c r="D492" i="1"/>
  <c r="E492" i="1"/>
  <c r="D493" i="1"/>
  <c r="E493" i="1"/>
  <c r="D494" i="1"/>
  <c r="E494" i="1"/>
  <c r="D495" i="1"/>
  <c r="E495" i="1"/>
  <c r="D496" i="1"/>
  <c r="E496" i="1"/>
  <c r="D497" i="1"/>
  <c r="E497" i="1"/>
  <c r="D498" i="1"/>
  <c r="E498" i="1"/>
  <c r="D499" i="1"/>
  <c r="E499" i="1"/>
  <c r="D500" i="1"/>
  <c r="E500" i="1"/>
  <c r="D501" i="1"/>
  <c r="E501" i="1"/>
  <c r="D502" i="1"/>
  <c r="E502" i="1"/>
  <c r="D503" i="1"/>
  <c r="E503" i="1"/>
  <c r="D504" i="1"/>
  <c r="E504" i="1"/>
  <c r="D505" i="1"/>
  <c r="E505" i="1"/>
  <c r="D506" i="1"/>
  <c r="E506" i="1"/>
  <c r="D507" i="1"/>
  <c r="E507" i="1"/>
  <c r="D508" i="1"/>
  <c r="E508" i="1"/>
  <c r="D509" i="1"/>
  <c r="E509" i="1"/>
  <c r="D510" i="1"/>
  <c r="E510" i="1"/>
  <c r="D511" i="1"/>
  <c r="E511" i="1"/>
  <c r="D512" i="1"/>
  <c r="E512" i="1"/>
  <c r="D513" i="1"/>
  <c r="E513" i="1"/>
  <c r="D514" i="1"/>
  <c r="E514" i="1"/>
  <c r="D515" i="1"/>
  <c r="E515" i="1"/>
  <c r="D516" i="1"/>
  <c r="E516" i="1"/>
  <c r="D517" i="1"/>
  <c r="E517" i="1"/>
  <c r="D518" i="1"/>
  <c r="E518" i="1"/>
  <c r="D519" i="1"/>
  <c r="E519" i="1"/>
  <c r="D520" i="1"/>
  <c r="E520" i="1"/>
  <c r="D521" i="1"/>
  <c r="E521" i="1"/>
  <c r="D522" i="1"/>
  <c r="E522" i="1"/>
  <c r="D523" i="1"/>
  <c r="E523" i="1"/>
  <c r="D524" i="1"/>
  <c r="E524" i="1"/>
  <c r="D525" i="1"/>
  <c r="E525" i="1"/>
  <c r="D526" i="1"/>
  <c r="E526" i="1"/>
  <c r="D527" i="1"/>
  <c r="E527" i="1"/>
  <c r="D528" i="1"/>
  <c r="E528" i="1"/>
  <c r="D529" i="1"/>
  <c r="E529" i="1"/>
  <c r="D530" i="1"/>
  <c r="E530" i="1"/>
  <c r="D531" i="1"/>
  <c r="E531" i="1"/>
  <c r="D532" i="1"/>
  <c r="E532" i="1"/>
  <c r="D533" i="1"/>
  <c r="E533" i="1"/>
  <c r="D534" i="1"/>
  <c r="E534" i="1"/>
  <c r="D535" i="1"/>
  <c r="E535" i="1"/>
  <c r="D536" i="1"/>
  <c r="E536" i="1"/>
  <c r="D537" i="1"/>
  <c r="E537" i="1"/>
  <c r="D538" i="1"/>
  <c r="E538" i="1"/>
  <c r="D539" i="1"/>
  <c r="E539" i="1"/>
  <c r="D540" i="1"/>
  <c r="E540" i="1"/>
  <c r="D541" i="1"/>
  <c r="E541" i="1"/>
  <c r="D542" i="1"/>
  <c r="E542" i="1"/>
  <c r="D543" i="1"/>
  <c r="E543" i="1"/>
  <c r="D544" i="1"/>
  <c r="E544" i="1"/>
  <c r="D545" i="1"/>
  <c r="E545" i="1"/>
  <c r="D546" i="1"/>
  <c r="E546" i="1"/>
  <c r="D547" i="1"/>
  <c r="E547" i="1"/>
  <c r="D548" i="1"/>
  <c r="E548" i="1"/>
  <c r="D549" i="1"/>
  <c r="E549" i="1"/>
  <c r="D550" i="1"/>
  <c r="E550" i="1"/>
  <c r="D551" i="1"/>
  <c r="E551" i="1"/>
  <c r="D552" i="1"/>
  <c r="E552" i="1"/>
  <c r="D553" i="1"/>
  <c r="E553" i="1"/>
  <c r="D554" i="1"/>
  <c r="E554" i="1"/>
  <c r="D555" i="1"/>
  <c r="E555" i="1"/>
  <c r="D556" i="1"/>
  <c r="E556" i="1"/>
  <c r="D557" i="1"/>
  <c r="E557" i="1"/>
  <c r="D558" i="1"/>
  <c r="E558" i="1"/>
  <c r="D559" i="1"/>
  <c r="E559" i="1"/>
  <c r="D560" i="1"/>
  <c r="E560" i="1"/>
  <c r="D561" i="1"/>
  <c r="E561" i="1"/>
  <c r="D562" i="1"/>
  <c r="E562" i="1"/>
  <c r="D563" i="1"/>
  <c r="E563" i="1"/>
  <c r="D564" i="1"/>
  <c r="E564" i="1"/>
  <c r="D565" i="1"/>
  <c r="E565" i="1"/>
  <c r="D566" i="1"/>
  <c r="E566" i="1"/>
  <c r="D567" i="1"/>
  <c r="E567" i="1"/>
  <c r="D568" i="1"/>
  <c r="E568" i="1"/>
  <c r="D569" i="1"/>
  <c r="E569" i="1"/>
  <c r="D570" i="1"/>
  <c r="E570" i="1"/>
  <c r="D571" i="1"/>
  <c r="E571" i="1"/>
  <c r="D572" i="1"/>
  <c r="E572" i="1"/>
  <c r="D573" i="1"/>
  <c r="E573" i="1"/>
  <c r="D574" i="1"/>
  <c r="E574" i="1"/>
  <c r="D575" i="1"/>
  <c r="E575" i="1"/>
  <c r="D576" i="1"/>
  <c r="E576" i="1"/>
  <c r="D577" i="1"/>
  <c r="E577" i="1"/>
  <c r="D578" i="1"/>
  <c r="E578" i="1"/>
  <c r="D579" i="1"/>
  <c r="E579" i="1"/>
  <c r="D580" i="1"/>
  <c r="E580" i="1"/>
  <c r="D581" i="1"/>
  <c r="E581" i="1"/>
  <c r="D582" i="1"/>
  <c r="E582" i="1"/>
  <c r="D583" i="1"/>
  <c r="E583" i="1"/>
  <c r="D584" i="1"/>
  <c r="E584" i="1"/>
  <c r="D585" i="1"/>
  <c r="E585" i="1"/>
  <c r="D586" i="1"/>
  <c r="E586" i="1"/>
  <c r="D587" i="1"/>
  <c r="E587" i="1"/>
  <c r="D588" i="1"/>
  <c r="E588" i="1"/>
  <c r="D589" i="1"/>
  <c r="E589" i="1"/>
  <c r="D590" i="1"/>
  <c r="E590" i="1"/>
  <c r="D591" i="1"/>
  <c r="E591" i="1"/>
  <c r="D592" i="1"/>
  <c r="E592" i="1"/>
  <c r="D593" i="1"/>
  <c r="E593" i="1"/>
  <c r="D594" i="1"/>
  <c r="E594" i="1"/>
  <c r="D595" i="1"/>
  <c r="E595" i="1"/>
  <c r="D596" i="1"/>
  <c r="E596" i="1"/>
  <c r="D597" i="1"/>
  <c r="E597" i="1"/>
  <c r="D598" i="1"/>
  <c r="E598" i="1"/>
  <c r="D599" i="1"/>
  <c r="E599" i="1"/>
  <c r="D600" i="1"/>
  <c r="E600" i="1"/>
  <c r="D601" i="1"/>
  <c r="E601" i="1"/>
  <c r="D602" i="1"/>
  <c r="E602" i="1"/>
  <c r="D603" i="1"/>
  <c r="E603" i="1"/>
  <c r="D604" i="1"/>
  <c r="E604" i="1"/>
  <c r="D605" i="1"/>
  <c r="E605" i="1"/>
  <c r="D606" i="1"/>
  <c r="E606" i="1"/>
  <c r="D607" i="1"/>
  <c r="E607" i="1"/>
  <c r="D608" i="1"/>
  <c r="E608" i="1"/>
  <c r="D609" i="1"/>
  <c r="E609" i="1"/>
  <c r="D610" i="1"/>
  <c r="E610" i="1"/>
  <c r="D611" i="1"/>
  <c r="E611" i="1"/>
  <c r="D612" i="1"/>
  <c r="E612" i="1"/>
  <c r="D613" i="1"/>
  <c r="E613" i="1"/>
  <c r="D614" i="1"/>
  <c r="E614" i="1"/>
  <c r="D615" i="1"/>
  <c r="E615" i="1"/>
  <c r="D616" i="1"/>
  <c r="E616" i="1"/>
  <c r="D617" i="1"/>
  <c r="E617" i="1"/>
  <c r="D618" i="1"/>
  <c r="E618" i="1"/>
  <c r="D619" i="1"/>
  <c r="E619" i="1"/>
  <c r="D620" i="1"/>
  <c r="E620" i="1"/>
  <c r="D621" i="1"/>
  <c r="E621" i="1"/>
  <c r="D622" i="1"/>
  <c r="E622" i="1"/>
  <c r="D623" i="1"/>
  <c r="E623" i="1"/>
  <c r="D624" i="1"/>
  <c r="E624" i="1"/>
  <c r="D625" i="1"/>
  <c r="E625" i="1"/>
  <c r="D626" i="1"/>
  <c r="E626" i="1"/>
  <c r="D627" i="1"/>
  <c r="E627" i="1"/>
  <c r="D628" i="1"/>
  <c r="E628" i="1"/>
  <c r="D629" i="1"/>
  <c r="E629" i="1"/>
  <c r="D630" i="1"/>
  <c r="E630" i="1"/>
  <c r="D631" i="1"/>
  <c r="E631" i="1"/>
  <c r="D632" i="1"/>
  <c r="E632" i="1"/>
  <c r="D633" i="1"/>
  <c r="E633" i="1"/>
  <c r="D634" i="1"/>
  <c r="E634" i="1"/>
  <c r="D635" i="1"/>
  <c r="E635" i="1"/>
  <c r="D636" i="1"/>
  <c r="E636" i="1"/>
  <c r="D637" i="1"/>
  <c r="E637" i="1"/>
  <c r="D638" i="1"/>
  <c r="E638" i="1"/>
  <c r="D639" i="1"/>
  <c r="E639" i="1"/>
  <c r="D640" i="1"/>
  <c r="E640" i="1"/>
  <c r="D641" i="1"/>
  <c r="E641" i="1"/>
  <c r="D642" i="1"/>
  <c r="E642" i="1"/>
  <c r="D643" i="1"/>
  <c r="E643" i="1"/>
  <c r="D644" i="1"/>
  <c r="E644" i="1"/>
  <c r="D645" i="1"/>
  <c r="E645" i="1"/>
  <c r="D646" i="1"/>
  <c r="E646" i="1"/>
  <c r="D647" i="1"/>
  <c r="E647" i="1"/>
  <c r="D648" i="1"/>
  <c r="E648" i="1"/>
  <c r="D649" i="1"/>
  <c r="E649" i="1"/>
  <c r="D650" i="1"/>
  <c r="E650" i="1"/>
  <c r="D651" i="1"/>
  <c r="E651" i="1"/>
  <c r="D652" i="1"/>
  <c r="E652" i="1"/>
  <c r="D653" i="1"/>
  <c r="E653" i="1"/>
  <c r="D654" i="1"/>
  <c r="E654" i="1"/>
  <c r="D655" i="1"/>
  <c r="E655" i="1"/>
  <c r="D656" i="1"/>
  <c r="E656" i="1"/>
  <c r="D657" i="1"/>
  <c r="E657" i="1"/>
  <c r="D658" i="1"/>
  <c r="E658" i="1"/>
  <c r="D659" i="1"/>
  <c r="E659" i="1"/>
  <c r="D660" i="1"/>
  <c r="E660" i="1"/>
  <c r="D661" i="1"/>
  <c r="E661" i="1"/>
  <c r="D662" i="1"/>
  <c r="E662" i="1"/>
  <c r="D663" i="1"/>
  <c r="E663" i="1"/>
  <c r="D664" i="1"/>
  <c r="E664" i="1"/>
  <c r="D665" i="1"/>
  <c r="E665" i="1"/>
  <c r="D666" i="1"/>
  <c r="E666" i="1"/>
  <c r="D667" i="1"/>
  <c r="E667" i="1"/>
  <c r="D668" i="1"/>
  <c r="E668" i="1"/>
  <c r="D669" i="1"/>
  <c r="E669" i="1"/>
  <c r="D670" i="1"/>
  <c r="E670" i="1"/>
  <c r="D671" i="1"/>
  <c r="E671" i="1"/>
  <c r="D672" i="1"/>
  <c r="E672" i="1"/>
  <c r="D673" i="1"/>
  <c r="E673" i="1"/>
  <c r="D674" i="1"/>
  <c r="E674" i="1"/>
  <c r="D675" i="1"/>
  <c r="E675" i="1"/>
  <c r="D676" i="1"/>
  <c r="E676" i="1"/>
  <c r="D677" i="1"/>
  <c r="E677" i="1"/>
  <c r="D678" i="1"/>
  <c r="E678" i="1"/>
  <c r="D679" i="1"/>
  <c r="E679" i="1"/>
  <c r="D680" i="1"/>
  <c r="E680" i="1"/>
  <c r="D681" i="1"/>
  <c r="E681" i="1"/>
  <c r="D682" i="1"/>
  <c r="E682" i="1"/>
  <c r="D683" i="1"/>
  <c r="E683" i="1"/>
  <c r="D684" i="1"/>
  <c r="E684" i="1"/>
  <c r="D685" i="1"/>
  <c r="E685" i="1"/>
  <c r="D686" i="1"/>
  <c r="E686" i="1"/>
  <c r="D687" i="1"/>
  <c r="E687" i="1"/>
  <c r="D688" i="1"/>
  <c r="E688" i="1"/>
  <c r="D689" i="1"/>
  <c r="E689" i="1"/>
  <c r="D690" i="1"/>
  <c r="E690" i="1"/>
  <c r="D691" i="1"/>
  <c r="E691" i="1"/>
  <c r="D692" i="1"/>
  <c r="E692" i="1"/>
  <c r="D693" i="1"/>
  <c r="E693" i="1"/>
  <c r="D694" i="1"/>
  <c r="E694" i="1"/>
  <c r="D695" i="1"/>
  <c r="E695" i="1"/>
  <c r="D696" i="1"/>
  <c r="E696" i="1"/>
  <c r="D697" i="1"/>
  <c r="E697" i="1"/>
  <c r="D698" i="1"/>
  <c r="E698" i="1"/>
  <c r="D699" i="1"/>
  <c r="E699" i="1"/>
  <c r="D700" i="1"/>
  <c r="E700" i="1"/>
  <c r="D701" i="1"/>
  <c r="E701" i="1"/>
  <c r="D702" i="1"/>
  <c r="E702" i="1"/>
  <c r="D703" i="1"/>
  <c r="E703" i="1"/>
  <c r="D704" i="1"/>
  <c r="E704" i="1"/>
  <c r="D705" i="1"/>
  <c r="E705" i="1"/>
  <c r="D706" i="1"/>
  <c r="E706" i="1"/>
  <c r="D707" i="1"/>
  <c r="E707" i="1"/>
  <c r="D708" i="1"/>
  <c r="E708" i="1"/>
  <c r="D709" i="1"/>
  <c r="E709" i="1"/>
  <c r="D710" i="1"/>
  <c r="E710" i="1"/>
  <c r="D711" i="1"/>
  <c r="E711" i="1"/>
  <c r="D712" i="1"/>
  <c r="E712" i="1"/>
  <c r="D713" i="1"/>
  <c r="E713" i="1"/>
  <c r="D714" i="1"/>
  <c r="E714" i="1"/>
  <c r="D715" i="1"/>
  <c r="E715" i="1"/>
  <c r="D716" i="1"/>
  <c r="E716" i="1"/>
  <c r="D717" i="1"/>
  <c r="E717" i="1"/>
  <c r="D718" i="1"/>
  <c r="E718" i="1"/>
  <c r="D719" i="1"/>
  <c r="E719" i="1"/>
  <c r="D720" i="1"/>
  <c r="E720" i="1"/>
  <c r="D721" i="1"/>
  <c r="E721" i="1"/>
  <c r="D722" i="1"/>
  <c r="E722" i="1"/>
  <c r="D723" i="1"/>
  <c r="E723" i="1"/>
  <c r="D724" i="1"/>
  <c r="E724" i="1"/>
  <c r="D725" i="1"/>
  <c r="E725" i="1"/>
  <c r="D726" i="1"/>
  <c r="E726" i="1"/>
  <c r="D727" i="1"/>
  <c r="E727" i="1"/>
  <c r="D728" i="1"/>
  <c r="E728" i="1"/>
  <c r="D729" i="1"/>
  <c r="E729" i="1"/>
  <c r="D730" i="1"/>
  <c r="E730" i="1"/>
  <c r="D731" i="1"/>
  <c r="E731" i="1"/>
  <c r="D732" i="1"/>
  <c r="E732" i="1"/>
  <c r="D733" i="1"/>
  <c r="E733" i="1"/>
  <c r="D734" i="1"/>
  <c r="E734" i="1"/>
  <c r="D735" i="1"/>
  <c r="E735" i="1"/>
  <c r="D736" i="1"/>
  <c r="E736" i="1"/>
  <c r="D737" i="1"/>
  <c r="E737" i="1"/>
  <c r="D738" i="1"/>
  <c r="E738" i="1"/>
  <c r="D739" i="1"/>
  <c r="E739" i="1"/>
  <c r="D740" i="1"/>
  <c r="E740" i="1"/>
  <c r="D741" i="1"/>
  <c r="E741" i="1"/>
  <c r="D742" i="1"/>
  <c r="E742" i="1"/>
  <c r="D743" i="1"/>
  <c r="E743" i="1"/>
  <c r="D744" i="1"/>
  <c r="E744" i="1"/>
  <c r="D745" i="1"/>
  <c r="E745" i="1"/>
  <c r="D746" i="1"/>
  <c r="E746" i="1"/>
  <c r="D747" i="1"/>
  <c r="E747" i="1"/>
  <c r="D748" i="1"/>
  <c r="E748" i="1"/>
  <c r="D749" i="1"/>
  <c r="E749" i="1"/>
  <c r="D750" i="1"/>
  <c r="E750" i="1"/>
  <c r="D751" i="1"/>
  <c r="E751" i="1"/>
  <c r="D752" i="1"/>
  <c r="E752" i="1"/>
  <c r="D753" i="1"/>
  <c r="E753" i="1"/>
  <c r="D754" i="1"/>
  <c r="E754" i="1"/>
  <c r="D755" i="1"/>
  <c r="E755" i="1"/>
  <c r="D756" i="1"/>
  <c r="E756" i="1"/>
  <c r="D757" i="1"/>
  <c r="E757" i="1"/>
  <c r="D758" i="1"/>
  <c r="E758" i="1"/>
  <c r="D759" i="1"/>
  <c r="E759" i="1"/>
  <c r="D760" i="1"/>
  <c r="E760" i="1"/>
  <c r="D761" i="1"/>
  <c r="E761" i="1"/>
  <c r="D762" i="1"/>
  <c r="E762" i="1"/>
  <c r="D763" i="1"/>
  <c r="E763" i="1"/>
  <c r="D764" i="1"/>
  <c r="E764" i="1"/>
  <c r="D765" i="1"/>
  <c r="E765" i="1"/>
  <c r="D766" i="1"/>
  <c r="E766" i="1"/>
  <c r="D767" i="1"/>
  <c r="E767" i="1"/>
  <c r="D768" i="1"/>
  <c r="E768" i="1"/>
  <c r="D769" i="1"/>
  <c r="E769" i="1"/>
  <c r="D770" i="1"/>
  <c r="E770" i="1"/>
  <c r="D771" i="1"/>
  <c r="E771" i="1"/>
  <c r="D772" i="1"/>
  <c r="E772" i="1"/>
  <c r="D773" i="1"/>
  <c r="E773" i="1"/>
  <c r="D774" i="1"/>
  <c r="E774" i="1"/>
  <c r="D775" i="1"/>
  <c r="E775" i="1"/>
  <c r="D776" i="1"/>
  <c r="E776" i="1"/>
  <c r="D777" i="1"/>
  <c r="E777" i="1"/>
  <c r="D778" i="1"/>
  <c r="E778" i="1"/>
  <c r="D779" i="1"/>
  <c r="E779" i="1"/>
  <c r="D780" i="1"/>
  <c r="E780" i="1"/>
  <c r="D781" i="1"/>
  <c r="E781" i="1"/>
  <c r="D782" i="1"/>
  <c r="E782" i="1"/>
  <c r="D783" i="1"/>
  <c r="E783" i="1"/>
  <c r="D784" i="1"/>
  <c r="E784" i="1"/>
  <c r="D785" i="1"/>
  <c r="E785" i="1"/>
  <c r="D786" i="1"/>
  <c r="E786" i="1"/>
  <c r="D787" i="1"/>
  <c r="E787" i="1"/>
  <c r="D788" i="1"/>
  <c r="E788" i="1"/>
  <c r="D789" i="1"/>
  <c r="E789" i="1"/>
  <c r="D790" i="1"/>
  <c r="E790" i="1"/>
  <c r="D791" i="1"/>
  <c r="E791" i="1"/>
  <c r="D792" i="1"/>
  <c r="E792" i="1"/>
  <c r="D793" i="1"/>
  <c r="E793" i="1"/>
  <c r="D794" i="1"/>
  <c r="E794" i="1"/>
  <c r="D795" i="1"/>
  <c r="E795" i="1"/>
  <c r="D796" i="1"/>
  <c r="E796" i="1"/>
  <c r="D797" i="1"/>
  <c r="E797" i="1"/>
  <c r="D798" i="1"/>
  <c r="E798" i="1"/>
  <c r="D799" i="1"/>
  <c r="E799" i="1"/>
  <c r="D800" i="1"/>
  <c r="E800" i="1"/>
  <c r="D801" i="1"/>
  <c r="E801" i="1"/>
  <c r="D802" i="1"/>
  <c r="E802" i="1"/>
  <c r="D803" i="1"/>
  <c r="E803" i="1"/>
  <c r="D804" i="1"/>
  <c r="E804" i="1"/>
  <c r="D805" i="1"/>
  <c r="E805" i="1"/>
  <c r="D806" i="1"/>
  <c r="E806" i="1"/>
  <c r="D807" i="1"/>
  <c r="E807" i="1"/>
  <c r="D808" i="1"/>
  <c r="E808" i="1"/>
  <c r="D809" i="1"/>
  <c r="E809" i="1"/>
  <c r="D810" i="1"/>
  <c r="E810" i="1"/>
  <c r="D811" i="1"/>
  <c r="E811" i="1"/>
  <c r="D812" i="1"/>
  <c r="E812" i="1"/>
  <c r="D813" i="1"/>
  <c r="E813" i="1"/>
  <c r="D814" i="1"/>
  <c r="E814" i="1"/>
  <c r="D815" i="1"/>
  <c r="E815" i="1"/>
  <c r="D816" i="1"/>
  <c r="E816" i="1"/>
  <c r="D817" i="1"/>
  <c r="E817" i="1"/>
  <c r="D818" i="1"/>
  <c r="E818" i="1"/>
  <c r="D819" i="1"/>
  <c r="E819" i="1"/>
  <c r="D820" i="1"/>
  <c r="E820" i="1"/>
  <c r="D821" i="1"/>
  <c r="E821" i="1"/>
  <c r="D822" i="1"/>
  <c r="E822" i="1"/>
  <c r="D823" i="1"/>
  <c r="E823" i="1"/>
  <c r="D824" i="1"/>
  <c r="E824" i="1"/>
  <c r="D825" i="1"/>
  <c r="E825" i="1"/>
  <c r="D826" i="1"/>
  <c r="E826" i="1"/>
  <c r="D827" i="1"/>
  <c r="E827" i="1"/>
  <c r="D828" i="1"/>
  <c r="E828" i="1"/>
  <c r="D829" i="1"/>
  <c r="E829" i="1"/>
  <c r="D830" i="1"/>
  <c r="E830" i="1"/>
  <c r="D831" i="1"/>
  <c r="E831" i="1"/>
  <c r="D832" i="1"/>
  <c r="E832" i="1"/>
  <c r="D833" i="1"/>
  <c r="E833" i="1"/>
  <c r="D834" i="1"/>
  <c r="E834" i="1"/>
  <c r="D835" i="1"/>
  <c r="E835" i="1"/>
  <c r="D836" i="1"/>
  <c r="E836" i="1"/>
  <c r="D837" i="1"/>
  <c r="E837" i="1"/>
  <c r="D838" i="1"/>
  <c r="E838" i="1"/>
  <c r="D839" i="1"/>
  <c r="E839" i="1"/>
  <c r="D840" i="1"/>
  <c r="E840" i="1"/>
  <c r="D841" i="1"/>
  <c r="E841" i="1"/>
  <c r="D842" i="1"/>
  <c r="E842" i="1"/>
  <c r="D843" i="1"/>
  <c r="E843" i="1"/>
  <c r="D844" i="1"/>
  <c r="E844" i="1"/>
  <c r="D845" i="1"/>
  <c r="E845" i="1"/>
  <c r="D846" i="1"/>
  <c r="E846" i="1"/>
  <c r="D847" i="1"/>
  <c r="E847" i="1"/>
  <c r="D848" i="1"/>
  <c r="E848" i="1"/>
  <c r="D849" i="1"/>
  <c r="E849" i="1"/>
  <c r="D850" i="1"/>
  <c r="E850" i="1"/>
  <c r="D851" i="1"/>
  <c r="E851" i="1"/>
  <c r="D852" i="1"/>
  <c r="E852" i="1"/>
  <c r="D853" i="1"/>
  <c r="E853" i="1"/>
  <c r="D854" i="1"/>
  <c r="E854" i="1"/>
  <c r="D855" i="1"/>
  <c r="E855" i="1"/>
  <c r="D856" i="1"/>
  <c r="E856" i="1"/>
  <c r="D857" i="1"/>
  <c r="E857" i="1"/>
  <c r="D858" i="1"/>
  <c r="E858" i="1"/>
  <c r="D859" i="1"/>
  <c r="E859" i="1"/>
  <c r="D860" i="1"/>
  <c r="E860" i="1"/>
  <c r="D861" i="1"/>
  <c r="E861" i="1"/>
  <c r="D862" i="1"/>
  <c r="E862" i="1"/>
  <c r="D863" i="1"/>
  <c r="E863" i="1"/>
  <c r="D864" i="1"/>
  <c r="E864" i="1"/>
  <c r="D865" i="1"/>
  <c r="E865" i="1"/>
  <c r="D866" i="1"/>
  <c r="E866" i="1"/>
  <c r="D867" i="1"/>
  <c r="E867" i="1"/>
  <c r="D868" i="1"/>
  <c r="E868" i="1"/>
  <c r="D869" i="1"/>
  <c r="E869" i="1"/>
  <c r="D870" i="1"/>
  <c r="E870" i="1"/>
  <c r="D871" i="1"/>
  <c r="E871" i="1"/>
  <c r="D872" i="1"/>
  <c r="E872" i="1"/>
  <c r="D873" i="1"/>
  <c r="E873" i="1"/>
  <c r="D874" i="1"/>
  <c r="E874" i="1"/>
  <c r="D875" i="1"/>
  <c r="E875" i="1"/>
  <c r="D876" i="1"/>
  <c r="E876" i="1"/>
  <c r="D877" i="1"/>
  <c r="E877" i="1"/>
  <c r="D878" i="1"/>
  <c r="E878" i="1"/>
  <c r="D879" i="1"/>
  <c r="E879" i="1"/>
  <c r="D880" i="1"/>
  <c r="E880" i="1"/>
  <c r="D881" i="1"/>
  <c r="E881" i="1"/>
  <c r="D882" i="1"/>
  <c r="E882" i="1"/>
  <c r="D883" i="1"/>
  <c r="E883" i="1"/>
  <c r="D884" i="1"/>
  <c r="E884" i="1"/>
  <c r="D885" i="1"/>
  <c r="E885" i="1"/>
  <c r="D886" i="1"/>
  <c r="E886" i="1"/>
  <c r="D887" i="1"/>
  <c r="E887" i="1"/>
  <c r="D888" i="1"/>
  <c r="E888" i="1"/>
  <c r="D889" i="1"/>
  <c r="E889" i="1"/>
  <c r="D890" i="1"/>
  <c r="E890" i="1"/>
  <c r="D891" i="1"/>
  <c r="E891" i="1"/>
  <c r="D892" i="1"/>
  <c r="E892" i="1"/>
  <c r="D893" i="1"/>
  <c r="E893" i="1"/>
  <c r="D894" i="1"/>
  <c r="E894" i="1"/>
  <c r="D895" i="1"/>
  <c r="E895" i="1"/>
  <c r="D896" i="1"/>
  <c r="E896" i="1"/>
  <c r="D897" i="1"/>
  <c r="E897" i="1"/>
  <c r="D898" i="1"/>
  <c r="E898" i="1"/>
  <c r="D899" i="1"/>
  <c r="E899" i="1"/>
  <c r="D900" i="1"/>
  <c r="E900" i="1"/>
  <c r="D901" i="1"/>
  <c r="E901" i="1"/>
  <c r="D902" i="1"/>
  <c r="E902" i="1"/>
  <c r="D903" i="1"/>
  <c r="E903" i="1"/>
  <c r="D904" i="1"/>
  <c r="E904" i="1"/>
  <c r="D905" i="1"/>
  <c r="E905" i="1"/>
  <c r="D906" i="1"/>
  <c r="E906" i="1"/>
  <c r="D907" i="1"/>
  <c r="E907" i="1"/>
  <c r="D908" i="1"/>
  <c r="E908" i="1"/>
  <c r="D909" i="1"/>
  <c r="E909" i="1"/>
  <c r="D910" i="1"/>
  <c r="E910" i="1"/>
  <c r="D911" i="1"/>
  <c r="E911" i="1"/>
  <c r="D912" i="1"/>
  <c r="E912" i="1"/>
  <c r="D913" i="1"/>
  <c r="E913" i="1"/>
  <c r="D914" i="1"/>
  <c r="E914" i="1"/>
  <c r="D915" i="1"/>
  <c r="E915" i="1"/>
  <c r="D916" i="1"/>
  <c r="E916" i="1"/>
  <c r="D917" i="1"/>
  <c r="E917" i="1"/>
  <c r="D918" i="1"/>
  <c r="E918" i="1"/>
  <c r="D919" i="1"/>
  <c r="E919" i="1"/>
  <c r="D920" i="1"/>
  <c r="E920" i="1"/>
  <c r="D921" i="1"/>
  <c r="E921" i="1"/>
  <c r="D922" i="1"/>
  <c r="E922" i="1"/>
  <c r="D923" i="1"/>
  <c r="E923" i="1"/>
  <c r="D924" i="1"/>
  <c r="E924" i="1"/>
  <c r="D925" i="1"/>
  <c r="E925" i="1"/>
  <c r="D926" i="1"/>
  <c r="E926" i="1"/>
  <c r="D927" i="1"/>
  <c r="E927" i="1"/>
  <c r="D928" i="1"/>
  <c r="E928" i="1"/>
  <c r="D929" i="1"/>
  <c r="E929" i="1"/>
  <c r="D930" i="1"/>
  <c r="E930" i="1"/>
  <c r="D931" i="1"/>
  <c r="E931" i="1"/>
  <c r="D932" i="1"/>
  <c r="E932" i="1"/>
  <c r="D933" i="1"/>
  <c r="E933" i="1"/>
  <c r="D934" i="1"/>
  <c r="E934" i="1"/>
  <c r="D935" i="1"/>
  <c r="E935" i="1"/>
  <c r="D936" i="1"/>
  <c r="E936" i="1"/>
  <c r="D937" i="1"/>
  <c r="E937" i="1"/>
  <c r="D938" i="1"/>
  <c r="E938" i="1"/>
  <c r="D939" i="1"/>
  <c r="E939" i="1"/>
  <c r="D940" i="1"/>
  <c r="E940" i="1"/>
  <c r="D941" i="1"/>
  <c r="E941" i="1"/>
  <c r="D942" i="1"/>
  <c r="E942" i="1"/>
  <c r="D943" i="1"/>
  <c r="E943" i="1"/>
  <c r="D944" i="1"/>
  <c r="E944" i="1"/>
  <c r="D945" i="1"/>
  <c r="E945" i="1"/>
  <c r="D946" i="1"/>
  <c r="E946" i="1"/>
  <c r="D947" i="1"/>
  <c r="E947" i="1"/>
  <c r="D948" i="1"/>
  <c r="E948" i="1"/>
  <c r="D949" i="1"/>
  <c r="E949" i="1"/>
  <c r="D950" i="1"/>
  <c r="E950" i="1"/>
  <c r="D951" i="1"/>
  <c r="E951" i="1"/>
  <c r="D952" i="1"/>
  <c r="E952" i="1"/>
  <c r="D953" i="1"/>
  <c r="E953" i="1"/>
  <c r="D954" i="1"/>
  <c r="E954" i="1"/>
  <c r="D955" i="1"/>
  <c r="E955" i="1"/>
  <c r="D956" i="1"/>
  <c r="E956" i="1"/>
  <c r="D957" i="1"/>
  <c r="E957" i="1"/>
  <c r="D958" i="1"/>
  <c r="E958" i="1"/>
  <c r="D959" i="1"/>
  <c r="E959" i="1"/>
  <c r="D960" i="1"/>
  <c r="E960" i="1"/>
  <c r="D961" i="1"/>
  <c r="E961" i="1"/>
  <c r="D962" i="1"/>
  <c r="E962" i="1"/>
  <c r="D963" i="1"/>
  <c r="E963" i="1"/>
  <c r="D964" i="1"/>
  <c r="E964" i="1"/>
  <c r="D965" i="1"/>
  <c r="E965" i="1"/>
  <c r="D966" i="1"/>
  <c r="E966" i="1"/>
  <c r="D967" i="1"/>
  <c r="E967" i="1"/>
  <c r="D968" i="1"/>
  <c r="E968" i="1"/>
  <c r="D969" i="1"/>
  <c r="E969" i="1"/>
  <c r="D970" i="1"/>
  <c r="E970" i="1"/>
  <c r="D971" i="1"/>
  <c r="E971" i="1"/>
  <c r="D972" i="1"/>
  <c r="E972" i="1"/>
  <c r="D973" i="1"/>
  <c r="E973" i="1"/>
  <c r="D974" i="1"/>
  <c r="E974" i="1"/>
  <c r="D975" i="1"/>
  <c r="E975" i="1"/>
  <c r="D976" i="1"/>
  <c r="E976" i="1"/>
  <c r="D977" i="1"/>
  <c r="E977" i="1"/>
  <c r="D978" i="1"/>
  <c r="E978" i="1"/>
  <c r="D979" i="1"/>
  <c r="E979" i="1"/>
  <c r="D980" i="1"/>
  <c r="E980" i="1"/>
  <c r="D981" i="1"/>
  <c r="E981" i="1"/>
  <c r="D982" i="1"/>
  <c r="E982" i="1"/>
  <c r="D983" i="1"/>
  <c r="E983" i="1"/>
  <c r="D984" i="1"/>
  <c r="E984" i="1"/>
  <c r="D985" i="1"/>
  <c r="E985" i="1"/>
  <c r="D986" i="1"/>
  <c r="E986" i="1"/>
  <c r="D987" i="1"/>
  <c r="E987" i="1"/>
  <c r="D988" i="1"/>
  <c r="E988" i="1"/>
  <c r="D989" i="1"/>
  <c r="E989" i="1"/>
  <c r="D990" i="1"/>
  <c r="E990" i="1"/>
  <c r="D991" i="1"/>
  <c r="E991" i="1"/>
  <c r="D992" i="1"/>
  <c r="E992" i="1"/>
  <c r="D993" i="1"/>
  <c r="E993" i="1"/>
  <c r="D994" i="1"/>
  <c r="E994" i="1"/>
  <c r="D995" i="1"/>
  <c r="E995" i="1"/>
  <c r="D996" i="1"/>
  <c r="E996" i="1"/>
  <c r="D997" i="1"/>
  <c r="E997" i="1"/>
  <c r="D998" i="1"/>
  <c r="E998" i="1"/>
  <c r="D999" i="1"/>
  <c r="E999" i="1"/>
  <c r="D1000" i="1"/>
  <c r="E1000" i="1"/>
  <c r="D1001" i="1"/>
  <c r="E1001" i="1"/>
  <c r="D1002" i="1"/>
  <c r="E1002" i="1"/>
  <c r="D1003" i="1"/>
  <c r="E1003" i="1"/>
  <c r="D1004" i="1"/>
  <c r="E1004" i="1"/>
  <c r="D1005" i="1"/>
  <c r="E1005" i="1"/>
  <c r="D1006" i="1"/>
  <c r="E1006" i="1"/>
  <c r="D1007" i="1"/>
  <c r="E1007" i="1"/>
  <c r="D1008" i="1"/>
  <c r="E1008" i="1"/>
  <c r="D1009" i="1"/>
  <c r="E1009" i="1"/>
  <c r="D1010" i="1"/>
  <c r="E1010" i="1"/>
  <c r="D1011" i="1"/>
  <c r="E1011" i="1"/>
  <c r="D1012" i="1"/>
  <c r="E1012" i="1"/>
  <c r="D1013" i="1"/>
  <c r="E1013" i="1"/>
  <c r="D1014" i="1"/>
  <c r="E1014" i="1"/>
  <c r="D1015" i="1"/>
  <c r="E1015" i="1"/>
  <c r="D1016" i="1"/>
  <c r="E1016" i="1"/>
  <c r="D1017" i="1"/>
  <c r="E1017" i="1"/>
  <c r="D1018" i="1"/>
  <c r="E1018" i="1"/>
  <c r="D1019" i="1"/>
  <c r="E1019" i="1"/>
  <c r="D1020" i="1"/>
  <c r="E1020" i="1"/>
  <c r="D1021" i="1"/>
  <c r="E1021" i="1"/>
  <c r="D1022" i="1"/>
  <c r="E1022" i="1"/>
  <c r="D1023" i="1"/>
  <c r="E1023" i="1"/>
  <c r="D1024" i="1"/>
  <c r="E1024" i="1"/>
  <c r="D1025" i="1"/>
  <c r="E1025" i="1"/>
  <c r="D1026" i="1"/>
  <c r="E1026" i="1"/>
  <c r="D1027" i="1"/>
  <c r="E1027" i="1"/>
  <c r="D1028" i="1"/>
  <c r="E1028" i="1"/>
  <c r="D1029" i="1"/>
  <c r="E1029" i="1"/>
  <c r="D1030" i="1"/>
  <c r="E1030" i="1"/>
  <c r="D1031" i="1"/>
  <c r="E1031" i="1"/>
  <c r="D1032" i="1"/>
  <c r="E1032" i="1"/>
  <c r="D1033" i="1"/>
  <c r="E1033" i="1"/>
  <c r="D1034" i="1"/>
  <c r="E1034" i="1"/>
  <c r="D1035" i="1"/>
  <c r="E1035" i="1"/>
  <c r="D1036" i="1"/>
  <c r="E1036" i="1"/>
  <c r="D1037" i="1"/>
  <c r="E1037" i="1"/>
  <c r="D1038" i="1"/>
  <c r="E1038" i="1"/>
  <c r="D1039" i="1"/>
  <c r="E1039" i="1"/>
  <c r="D1040" i="1"/>
  <c r="E1040" i="1"/>
  <c r="D1041" i="1"/>
  <c r="E1041" i="1"/>
  <c r="D1042" i="1"/>
  <c r="E1042" i="1"/>
  <c r="D1043" i="1"/>
  <c r="E1043" i="1"/>
  <c r="D1044" i="1"/>
  <c r="E1044" i="1"/>
  <c r="D1045" i="1"/>
  <c r="E1045" i="1"/>
  <c r="D1046" i="1"/>
  <c r="E1046" i="1"/>
  <c r="D1047" i="1"/>
  <c r="E1047" i="1"/>
  <c r="D1048" i="1"/>
  <c r="E1048" i="1"/>
  <c r="D1049" i="1"/>
  <c r="E1049" i="1"/>
  <c r="D1050" i="1"/>
  <c r="E1050" i="1"/>
  <c r="D1051" i="1"/>
  <c r="E1051" i="1"/>
  <c r="D1052" i="1"/>
  <c r="E1052" i="1"/>
  <c r="D1053" i="1"/>
  <c r="E1053" i="1"/>
  <c r="D1054" i="1"/>
  <c r="E1054" i="1"/>
  <c r="D1055" i="1"/>
  <c r="E1055" i="1"/>
  <c r="D1056" i="1"/>
  <c r="E1056" i="1"/>
  <c r="D1057" i="1"/>
  <c r="E1057" i="1"/>
  <c r="D1058" i="1"/>
  <c r="E1058" i="1"/>
  <c r="D1059" i="1"/>
  <c r="E1059" i="1"/>
  <c r="D1060" i="1"/>
  <c r="E1060" i="1"/>
  <c r="D1061" i="1"/>
  <c r="E1061" i="1"/>
  <c r="D1062" i="1"/>
  <c r="E1062" i="1"/>
  <c r="D1063" i="1"/>
  <c r="E1063" i="1"/>
  <c r="D1064" i="1"/>
  <c r="E1064" i="1"/>
  <c r="D1065" i="1"/>
  <c r="E1065" i="1"/>
  <c r="D1066" i="1"/>
  <c r="E1066" i="1"/>
  <c r="D1067" i="1"/>
  <c r="E1067" i="1"/>
  <c r="D1068" i="1"/>
  <c r="E1068" i="1"/>
  <c r="D1069" i="1"/>
  <c r="E1069" i="1"/>
  <c r="D1070" i="1"/>
  <c r="E1070" i="1"/>
  <c r="D1071" i="1"/>
  <c r="E1071" i="1"/>
  <c r="D1072" i="1"/>
  <c r="E1072" i="1"/>
  <c r="D1073" i="1"/>
  <c r="E1073" i="1"/>
  <c r="D1074" i="1"/>
  <c r="E1074" i="1"/>
  <c r="D1075" i="1"/>
  <c r="E1075" i="1"/>
  <c r="D1076" i="1"/>
  <c r="E1076" i="1"/>
  <c r="D1077" i="1"/>
  <c r="E1077" i="1"/>
  <c r="D1078" i="1"/>
  <c r="E1078" i="1"/>
  <c r="D1079" i="1"/>
  <c r="E1079" i="1"/>
  <c r="D1080" i="1"/>
  <c r="E1080" i="1"/>
  <c r="D1081" i="1"/>
  <c r="E1081" i="1"/>
  <c r="D1082" i="1"/>
  <c r="E1082" i="1"/>
  <c r="D1083" i="1"/>
  <c r="E1083" i="1"/>
  <c r="D1084" i="1"/>
  <c r="E1084" i="1"/>
  <c r="D1085" i="1"/>
  <c r="E1085" i="1"/>
  <c r="D1086" i="1"/>
  <c r="E1086" i="1"/>
  <c r="D1087" i="1"/>
  <c r="E1087" i="1"/>
  <c r="D1088" i="1"/>
  <c r="E1088" i="1"/>
  <c r="D1089" i="1"/>
  <c r="E1089" i="1"/>
  <c r="D1090" i="1"/>
  <c r="E1090" i="1"/>
  <c r="D1091" i="1"/>
  <c r="E1091" i="1"/>
  <c r="D1092" i="1"/>
  <c r="E1092" i="1"/>
  <c r="D1093" i="1"/>
  <c r="E1093" i="1"/>
  <c r="D1094" i="1"/>
  <c r="E1094" i="1"/>
  <c r="D1095" i="1"/>
  <c r="E1095" i="1"/>
  <c r="D1096" i="1"/>
  <c r="E1096" i="1"/>
  <c r="D1097" i="1"/>
  <c r="E1097" i="1"/>
  <c r="D1098" i="1"/>
  <c r="E1098" i="1"/>
  <c r="D1099" i="1"/>
  <c r="E1099" i="1"/>
  <c r="D1100" i="1"/>
  <c r="E1100" i="1"/>
  <c r="D1101" i="1"/>
  <c r="E1101" i="1"/>
  <c r="D1102" i="1"/>
  <c r="E1102" i="1"/>
  <c r="D1103" i="1"/>
  <c r="E1103" i="1"/>
  <c r="D1104" i="1"/>
  <c r="E1104" i="1"/>
  <c r="D1105" i="1"/>
  <c r="E1105" i="1"/>
  <c r="D1106" i="1"/>
  <c r="E1106" i="1"/>
  <c r="D1107" i="1"/>
  <c r="E1107" i="1"/>
  <c r="D1108" i="1"/>
  <c r="E1108" i="1"/>
  <c r="D1109" i="1"/>
  <c r="E1109" i="1"/>
  <c r="D1110" i="1"/>
  <c r="E1110" i="1"/>
  <c r="D1111" i="1"/>
  <c r="E1111" i="1"/>
  <c r="D1112" i="1"/>
  <c r="E1112" i="1"/>
  <c r="D1113" i="1"/>
  <c r="E1113" i="1"/>
  <c r="D1114" i="1"/>
  <c r="E1114" i="1"/>
  <c r="D1115" i="1"/>
  <c r="E1115" i="1"/>
  <c r="D1116" i="1"/>
  <c r="E1116" i="1"/>
  <c r="D1117" i="1"/>
  <c r="E1117" i="1"/>
  <c r="D1118" i="1"/>
  <c r="E1118" i="1"/>
  <c r="D1119" i="1"/>
  <c r="E1119" i="1"/>
  <c r="D1120" i="1"/>
  <c r="E1120" i="1"/>
  <c r="D1121" i="1"/>
  <c r="E1121" i="1"/>
  <c r="D1122" i="1"/>
  <c r="E1122" i="1"/>
  <c r="D1123" i="1"/>
  <c r="E1123" i="1"/>
  <c r="D1124" i="1"/>
  <c r="E1124" i="1"/>
  <c r="D1125" i="1"/>
  <c r="E1125" i="1"/>
  <c r="D1126" i="1"/>
  <c r="E1126" i="1"/>
  <c r="D1127" i="1"/>
  <c r="E1127" i="1"/>
  <c r="D1128" i="1"/>
  <c r="E1128" i="1"/>
  <c r="D1129" i="1"/>
  <c r="E1129" i="1"/>
  <c r="D1130" i="1"/>
  <c r="E1130" i="1"/>
  <c r="D1131" i="1"/>
  <c r="E1131" i="1"/>
  <c r="D1132" i="1"/>
  <c r="E1132" i="1"/>
  <c r="D1133" i="1"/>
  <c r="E1133" i="1"/>
  <c r="D1134" i="1"/>
  <c r="E1134" i="1"/>
  <c r="D1135" i="1"/>
  <c r="E1135" i="1"/>
  <c r="D1136" i="1"/>
  <c r="E1136" i="1"/>
  <c r="D1137" i="1"/>
  <c r="E1137" i="1"/>
  <c r="D1138" i="1"/>
  <c r="E1138" i="1"/>
  <c r="D1139" i="1"/>
  <c r="E1139" i="1"/>
  <c r="D1140" i="1"/>
  <c r="E1140" i="1"/>
  <c r="D1141" i="1"/>
  <c r="E1141" i="1"/>
  <c r="D1142" i="1"/>
  <c r="E1142" i="1"/>
  <c r="D1143" i="1"/>
  <c r="E1143" i="1"/>
  <c r="D1144" i="1"/>
  <c r="E1144" i="1"/>
  <c r="D1145" i="1"/>
  <c r="E1145" i="1"/>
  <c r="D1146" i="1"/>
  <c r="E1146" i="1"/>
  <c r="D1147" i="1"/>
  <c r="E1147" i="1"/>
  <c r="D1148" i="1"/>
  <c r="E1148" i="1"/>
  <c r="D1149" i="1"/>
  <c r="E1149" i="1"/>
  <c r="D1150" i="1"/>
  <c r="E1150" i="1"/>
  <c r="D1151" i="1"/>
  <c r="E1151" i="1"/>
  <c r="D1152" i="1"/>
  <c r="E1152" i="1"/>
  <c r="D1153" i="1"/>
  <c r="E1153" i="1"/>
  <c r="D1154" i="1"/>
  <c r="E1154" i="1"/>
  <c r="D1155" i="1"/>
  <c r="E1155" i="1"/>
  <c r="D1156" i="1"/>
  <c r="E1156" i="1"/>
  <c r="D1157" i="1"/>
  <c r="E1157" i="1"/>
  <c r="D1158" i="1"/>
  <c r="E1158" i="1"/>
  <c r="D1159" i="1"/>
  <c r="E1159" i="1"/>
  <c r="D1160" i="1"/>
  <c r="E1160" i="1"/>
  <c r="D1161" i="1"/>
  <c r="E1161" i="1"/>
  <c r="D1162" i="1"/>
  <c r="E1162" i="1"/>
  <c r="D1163" i="1"/>
  <c r="E1163" i="1"/>
  <c r="D1164" i="1"/>
  <c r="E1164" i="1"/>
  <c r="D1165" i="1"/>
  <c r="E1165" i="1"/>
  <c r="D1166" i="1"/>
  <c r="E1166" i="1"/>
  <c r="D1167" i="1"/>
  <c r="E1167" i="1"/>
  <c r="D1168" i="1"/>
  <c r="E1168" i="1"/>
  <c r="D1169" i="1"/>
  <c r="E1169" i="1"/>
  <c r="D1170" i="1"/>
  <c r="E1170" i="1"/>
  <c r="D1171" i="1"/>
  <c r="E1171" i="1"/>
  <c r="D1172" i="1"/>
  <c r="E1172" i="1"/>
  <c r="D1173" i="1"/>
  <c r="E1173" i="1"/>
  <c r="D1174" i="1"/>
  <c r="E1174" i="1"/>
  <c r="D1175" i="1"/>
  <c r="E1175" i="1"/>
  <c r="D1176" i="1"/>
  <c r="E1176" i="1"/>
  <c r="D1177" i="1"/>
  <c r="E1177" i="1"/>
  <c r="D1178" i="1"/>
  <c r="E1178" i="1"/>
  <c r="D1179" i="1"/>
  <c r="E1179" i="1"/>
  <c r="D1180" i="1"/>
  <c r="E1180" i="1"/>
  <c r="D1181" i="1"/>
  <c r="E1181" i="1"/>
  <c r="D1182" i="1"/>
  <c r="E1182" i="1"/>
  <c r="D1183" i="1"/>
  <c r="E1183" i="1"/>
  <c r="D1184" i="1"/>
  <c r="E1184" i="1"/>
  <c r="D1185" i="1"/>
  <c r="E1185" i="1"/>
  <c r="D1186" i="1"/>
  <c r="E1186" i="1"/>
  <c r="D1187" i="1"/>
  <c r="E1187" i="1"/>
  <c r="D1188" i="1"/>
  <c r="E1188" i="1"/>
  <c r="D1189" i="1"/>
  <c r="E1189" i="1"/>
  <c r="D1190" i="1"/>
  <c r="E1190" i="1"/>
  <c r="D1191" i="1"/>
  <c r="E1191" i="1"/>
  <c r="D1192" i="1"/>
  <c r="E1192" i="1"/>
  <c r="D1193" i="1"/>
  <c r="E1193" i="1"/>
  <c r="D1194" i="1"/>
  <c r="E1194" i="1"/>
  <c r="D1195" i="1"/>
  <c r="E1195" i="1"/>
  <c r="D1196" i="1"/>
  <c r="E1196" i="1"/>
  <c r="D1197" i="1"/>
  <c r="E1197" i="1"/>
  <c r="D1198" i="1"/>
  <c r="E1198" i="1"/>
  <c r="D1199" i="1"/>
  <c r="E1199" i="1"/>
  <c r="D1200" i="1"/>
  <c r="E1200" i="1"/>
  <c r="D1201" i="1"/>
  <c r="E1201" i="1"/>
  <c r="D1202" i="1"/>
  <c r="E1202" i="1"/>
  <c r="D1203" i="1"/>
  <c r="E1203" i="1"/>
  <c r="D1204" i="1"/>
  <c r="E1204" i="1"/>
  <c r="D1205" i="1"/>
  <c r="E1205" i="1"/>
  <c r="D1206" i="1"/>
  <c r="E1206" i="1"/>
  <c r="D1207" i="1"/>
  <c r="E1207" i="1"/>
  <c r="D1208" i="1"/>
  <c r="E1208" i="1"/>
  <c r="D1209" i="1"/>
  <c r="E1209" i="1"/>
  <c r="D1210" i="1"/>
  <c r="E1210" i="1"/>
  <c r="D1211" i="1"/>
  <c r="E1211" i="1"/>
  <c r="D1212" i="1"/>
  <c r="E1212" i="1"/>
  <c r="D1213" i="1"/>
  <c r="E1213" i="1"/>
  <c r="D1214" i="1"/>
  <c r="E1214" i="1"/>
  <c r="D1215" i="1"/>
  <c r="E1215" i="1"/>
  <c r="D1216" i="1"/>
  <c r="E1216" i="1"/>
  <c r="D1217" i="1"/>
  <c r="E1217" i="1"/>
  <c r="D1218" i="1"/>
  <c r="E1218" i="1"/>
  <c r="D1219" i="1"/>
  <c r="E1219" i="1"/>
  <c r="D1220" i="1"/>
  <c r="E1220" i="1"/>
  <c r="D1221" i="1"/>
  <c r="E1221" i="1"/>
  <c r="D1222" i="1"/>
  <c r="E1222" i="1"/>
  <c r="D1223" i="1"/>
  <c r="E1223" i="1"/>
  <c r="D1224" i="1"/>
  <c r="E1224" i="1"/>
  <c r="D1225" i="1"/>
  <c r="E1225" i="1"/>
  <c r="D1226" i="1"/>
  <c r="E1226" i="1"/>
  <c r="D1227" i="1"/>
  <c r="E1227" i="1"/>
  <c r="D1228" i="1"/>
  <c r="E1228" i="1"/>
  <c r="D1229" i="1"/>
  <c r="E1229" i="1"/>
  <c r="D1230" i="1"/>
  <c r="E1230" i="1"/>
  <c r="D1231" i="1"/>
  <c r="E1231" i="1"/>
  <c r="D1232" i="1"/>
  <c r="E1232" i="1"/>
  <c r="D1233" i="1"/>
  <c r="E1233" i="1"/>
  <c r="D1234" i="1"/>
  <c r="E1234" i="1"/>
  <c r="D1235" i="1"/>
  <c r="E1235" i="1"/>
  <c r="D1236" i="1"/>
  <c r="E1236" i="1"/>
  <c r="D1237" i="1"/>
  <c r="E1237" i="1"/>
  <c r="D1238" i="1"/>
  <c r="E1238" i="1"/>
  <c r="D1239" i="1"/>
  <c r="E1239" i="1"/>
  <c r="D1240" i="1"/>
  <c r="E1240" i="1"/>
  <c r="D1241" i="1"/>
  <c r="E1241" i="1"/>
  <c r="D1242" i="1"/>
  <c r="E1242" i="1"/>
  <c r="D1243" i="1"/>
  <c r="E1243" i="1"/>
  <c r="D1244" i="1"/>
  <c r="E1244" i="1"/>
  <c r="D1245" i="1"/>
  <c r="E1245" i="1"/>
  <c r="D1246" i="1"/>
  <c r="E1246" i="1"/>
  <c r="D1247" i="1"/>
  <c r="E1247" i="1"/>
  <c r="D1248" i="1"/>
  <c r="E1248" i="1"/>
  <c r="D1249" i="1"/>
  <c r="E1249" i="1"/>
  <c r="D1250" i="1"/>
  <c r="E1250" i="1"/>
  <c r="D1251" i="1"/>
  <c r="E1251" i="1"/>
  <c r="D1252" i="1"/>
  <c r="E1252" i="1"/>
  <c r="D1253" i="1"/>
  <c r="E1253" i="1"/>
  <c r="D1254" i="1"/>
  <c r="E1254" i="1"/>
  <c r="D1255" i="1"/>
  <c r="E1255" i="1"/>
  <c r="D1256" i="1"/>
  <c r="E1256" i="1"/>
  <c r="D1257" i="1"/>
  <c r="E1257" i="1"/>
  <c r="E4" i="1"/>
  <c r="D4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3" i="1"/>
  <c r="L2" i="1"/>
  <c r="T541" i="1" l="1"/>
  <c r="R52" i="1"/>
  <c r="Q1059" i="1"/>
  <c r="T512" i="1"/>
  <c r="Q498" i="1"/>
  <c r="T497" i="1"/>
  <c r="R345" i="1"/>
  <c r="T232" i="1"/>
  <c r="Q23" i="1"/>
  <c r="T861" i="1"/>
  <c r="T371" i="1"/>
  <c r="T1168" i="1"/>
  <c r="T930" i="1"/>
  <c r="T832" i="1"/>
  <c r="T762" i="1"/>
  <c r="Q637" i="1"/>
  <c r="R643" i="1"/>
  <c r="T404" i="1"/>
  <c r="Q150" i="1"/>
  <c r="Q989" i="1"/>
  <c r="R932" i="1"/>
  <c r="R349" i="1"/>
  <c r="T431" i="1"/>
  <c r="Q780" i="1"/>
  <c r="R668" i="1"/>
  <c r="T443" i="1"/>
  <c r="Q796" i="1"/>
  <c r="R1145" i="1"/>
  <c r="Q963" i="1"/>
  <c r="Q655" i="1"/>
  <c r="R543" i="1"/>
  <c r="Q543" i="1"/>
  <c r="Q459" i="1"/>
  <c r="R263" i="1"/>
  <c r="T1050" i="1"/>
  <c r="T938" i="1"/>
  <c r="R939" i="1"/>
  <c r="Q407" i="1"/>
  <c r="R1175" i="1"/>
  <c r="T824" i="1"/>
  <c r="Q516" i="1"/>
  <c r="R362" i="1"/>
  <c r="T1218" i="1"/>
  <c r="Q561" i="1"/>
  <c r="T448" i="1"/>
  <c r="Q497" i="1"/>
  <c r="R1070" i="1"/>
  <c r="T1027" i="1"/>
  <c r="R874" i="1"/>
  <c r="R650" i="1"/>
  <c r="Q650" i="1"/>
  <c r="R412" i="1"/>
  <c r="R216" i="1"/>
  <c r="R202" i="1"/>
  <c r="R399" i="1"/>
  <c r="R1084" i="1"/>
  <c r="R1056" i="1"/>
  <c r="T1013" i="1"/>
  <c r="T1166" i="1"/>
  <c r="T1026" i="1"/>
  <c r="T984" i="1"/>
  <c r="T830" i="1"/>
  <c r="R803" i="1"/>
  <c r="T718" i="1"/>
  <c r="Q705" i="1"/>
  <c r="T564" i="1"/>
  <c r="R425" i="1"/>
  <c r="Q411" i="1"/>
  <c r="Q397" i="1"/>
  <c r="R313" i="1"/>
  <c r="R117" i="1"/>
  <c r="R47" i="1"/>
  <c r="Q468" i="1"/>
  <c r="T955" i="1"/>
  <c r="T871" i="1"/>
  <c r="R816" i="1"/>
  <c r="R788" i="1"/>
  <c r="T577" i="1"/>
  <c r="T479" i="1"/>
  <c r="R424" i="1"/>
  <c r="R242" i="1"/>
  <c r="Q214" i="1"/>
  <c r="R130" i="1"/>
  <c r="Q593" i="1"/>
  <c r="T1123" i="1"/>
  <c r="R1124" i="1"/>
  <c r="R1054" i="1"/>
  <c r="T997" i="1"/>
  <c r="T591" i="1"/>
  <c r="T1248" i="1"/>
  <c r="R1165" i="1"/>
  <c r="Q983" i="1"/>
  <c r="R955" i="1"/>
  <c r="T898" i="1"/>
  <c r="T814" i="1"/>
  <c r="T730" i="1"/>
  <c r="R717" i="1"/>
  <c r="R689" i="1"/>
  <c r="T674" i="1"/>
  <c r="Q577" i="1"/>
  <c r="Q521" i="1"/>
  <c r="R493" i="1"/>
  <c r="R451" i="1"/>
  <c r="R437" i="1"/>
  <c r="R311" i="1"/>
  <c r="Q283" i="1"/>
  <c r="Q255" i="1"/>
  <c r="Q241" i="1"/>
  <c r="Q157" i="1"/>
  <c r="Q830" i="1"/>
  <c r="R1234" i="1"/>
  <c r="Q1220" i="1"/>
  <c r="R1164" i="1"/>
  <c r="T1135" i="1"/>
  <c r="Q1136" i="1"/>
  <c r="R1094" i="1"/>
  <c r="R1024" i="1"/>
  <c r="R940" i="1"/>
  <c r="R926" i="1"/>
  <c r="R912" i="1"/>
  <c r="R786" i="1"/>
  <c r="T743" i="1"/>
  <c r="T645" i="1"/>
  <c r="R632" i="1"/>
  <c r="R618" i="1"/>
  <c r="R604" i="1"/>
  <c r="R534" i="1"/>
  <c r="R492" i="1"/>
  <c r="R478" i="1"/>
  <c r="Q478" i="1"/>
  <c r="R436" i="1"/>
  <c r="T393" i="1"/>
  <c r="Q352" i="1"/>
  <c r="T323" i="1"/>
  <c r="R282" i="1"/>
  <c r="R240" i="1"/>
  <c r="Q198" i="1"/>
  <c r="Q184" i="1"/>
  <c r="R114" i="1"/>
  <c r="R338" i="1"/>
  <c r="Q928" i="1"/>
  <c r="R1106" i="1"/>
  <c r="Q1050" i="1"/>
  <c r="Q938" i="1"/>
  <c r="T881" i="1"/>
  <c r="T839" i="1"/>
  <c r="Q840" i="1"/>
  <c r="R784" i="1"/>
  <c r="R742" i="1"/>
  <c r="R686" i="1"/>
  <c r="R672" i="1"/>
  <c r="T629" i="1"/>
  <c r="Q602" i="1"/>
  <c r="Q560" i="1"/>
  <c r="T545" i="1"/>
  <c r="T475" i="1"/>
  <c r="Q406" i="1"/>
  <c r="Q392" i="1"/>
  <c r="R336" i="1"/>
  <c r="T307" i="1"/>
  <c r="R308" i="1"/>
  <c r="R280" i="1"/>
  <c r="Q266" i="1"/>
  <c r="Q224" i="1"/>
  <c r="Q210" i="1"/>
  <c r="R182" i="1"/>
  <c r="R168" i="1"/>
  <c r="R28" i="1"/>
  <c r="Q251" i="1"/>
  <c r="T236" i="1"/>
  <c r="R167" i="1"/>
  <c r="R83" i="1"/>
  <c r="T245" i="1"/>
  <c r="T231" i="1"/>
  <c r="R232" i="1"/>
  <c r="R204" i="1"/>
  <c r="Q134" i="1"/>
  <c r="R120" i="1"/>
  <c r="R50" i="1"/>
  <c r="R245" i="1"/>
  <c r="R231" i="1"/>
  <c r="R175" i="1"/>
  <c r="Q91" i="1"/>
  <c r="H735" i="1"/>
  <c r="H714" i="1"/>
  <c r="H602" i="1"/>
  <c r="H581" i="1"/>
  <c r="H511" i="1"/>
  <c r="H385" i="1"/>
  <c r="H231" i="1"/>
  <c r="H182" i="1"/>
  <c r="H175" i="1"/>
  <c r="K175" i="1" s="1"/>
  <c r="H168" i="1"/>
  <c r="H161" i="1"/>
  <c r="H154" i="1"/>
  <c r="H147" i="1"/>
  <c r="H140" i="1"/>
  <c r="H133" i="1"/>
  <c r="H126" i="1"/>
  <c r="H119" i="1"/>
  <c r="H112" i="1"/>
  <c r="H105" i="1"/>
  <c r="H98" i="1"/>
  <c r="H91" i="1"/>
  <c r="H84" i="1"/>
  <c r="H77" i="1"/>
  <c r="K77" i="1" s="1"/>
  <c r="H70" i="1"/>
  <c r="H63" i="1"/>
  <c r="H56" i="1"/>
  <c r="H49" i="1"/>
  <c r="H42" i="1"/>
  <c r="H35" i="1"/>
  <c r="H28" i="1"/>
  <c r="H21" i="1"/>
  <c r="H14" i="1"/>
  <c r="H7" i="1"/>
  <c r="I1253" i="1"/>
  <c r="I1246" i="1"/>
  <c r="I1239" i="1"/>
  <c r="I1190" i="1"/>
  <c r="I1176" i="1"/>
  <c r="I1169" i="1"/>
  <c r="I1162" i="1"/>
  <c r="I1155" i="1"/>
  <c r="I1148" i="1"/>
  <c r="I1141" i="1"/>
  <c r="I1134" i="1"/>
  <c r="I1127" i="1"/>
  <c r="I1120" i="1"/>
  <c r="I1113" i="1"/>
  <c r="I1106" i="1"/>
  <c r="I1099" i="1"/>
  <c r="J1099" i="1" s="1"/>
  <c r="I1092" i="1"/>
  <c r="I1085" i="1"/>
  <c r="I1078" i="1"/>
  <c r="I1071" i="1"/>
  <c r="I1064" i="1"/>
  <c r="I1057" i="1"/>
  <c r="I1050" i="1"/>
  <c r="I1043" i="1"/>
  <c r="I1036" i="1"/>
  <c r="I1029" i="1"/>
  <c r="I1022" i="1"/>
  <c r="I1015" i="1"/>
  <c r="I1008" i="1"/>
  <c r="I1001" i="1"/>
  <c r="J1001" i="1" s="1"/>
  <c r="I994" i="1"/>
  <c r="I987" i="1"/>
  <c r="J987" i="1" s="1"/>
  <c r="I980" i="1"/>
  <c r="I973" i="1"/>
  <c r="I966" i="1"/>
  <c r="I959" i="1"/>
  <c r="I952" i="1"/>
  <c r="I945" i="1"/>
  <c r="I938" i="1"/>
  <c r="I931" i="1"/>
  <c r="I924" i="1"/>
  <c r="I917" i="1"/>
  <c r="I910" i="1"/>
  <c r="I903" i="1"/>
  <c r="J903" i="1" s="1"/>
  <c r="I896" i="1"/>
  <c r="I889" i="1"/>
  <c r="I882" i="1"/>
  <c r="I875" i="1"/>
  <c r="J875" i="1" s="1"/>
  <c r="I868" i="1"/>
  <c r="I861" i="1"/>
  <c r="I854" i="1"/>
  <c r="I847" i="1"/>
  <c r="I840" i="1"/>
  <c r="I833" i="1"/>
  <c r="I826" i="1"/>
  <c r="I819" i="1"/>
  <c r="I812" i="1"/>
  <c r="I805" i="1"/>
  <c r="I798" i="1"/>
  <c r="I791" i="1"/>
  <c r="I784" i="1"/>
  <c r="I777" i="1"/>
  <c r="J777" i="1" s="1"/>
  <c r="I770" i="1"/>
  <c r="I763" i="1"/>
  <c r="I756" i="1"/>
  <c r="I749" i="1"/>
  <c r="I742" i="1"/>
  <c r="I735" i="1"/>
  <c r="J735" i="1" s="1"/>
  <c r="I728" i="1"/>
  <c r="I721" i="1"/>
  <c r="I714" i="1"/>
  <c r="I707" i="1"/>
  <c r="J707" i="1" s="1"/>
  <c r="I700" i="1"/>
  <c r="I693" i="1"/>
  <c r="I686" i="1"/>
  <c r="I679" i="1"/>
  <c r="I672" i="1"/>
  <c r="I665" i="1"/>
  <c r="I658" i="1"/>
  <c r="I651" i="1"/>
  <c r="I644" i="1"/>
  <c r="I637" i="1"/>
  <c r="I630" i="1"/>
  <c r="I623" i="1"/>
  <c r="I616" i="1"/>
  <c r="I609" i="1"/>
  <c r="J609" i="1" s="1"/>
  <c r="I602" i="1"/>
  <c r="I595" i="1"/>
  <c r="I588" i="1"/>
  <c r="J588" i="1" s="1"/>
  <c r="I581" i="1"/>
  <c r="I574" i="1"/>
  <c r="H1253" i="1"/>
  <c r="H1204" i="1"/>
  <c r="H1155" i="1"/>
  <c r="H987" i="1"/>
  <c r="H945" i="1"/>
  <c r="K945" i="1" s="1"/>
  <c r="H847" i="1"/>
  <c r="K847" i="1" s="1"/>
  <c r="I1252" i="1"/>
  <c r="I1245" i="1"/>
  <c r="I1238" i="1"/>
  <c r="I1231" i="1"/>
  <c r="I1224" i="1"/>
  <c r="I1217" i="1"/>
  <c r="I1210" i="1"/>
  <c r="J1210" i="1" s="1"/>
  <c r="I1203" i="1"/>
  <c r="I1196" i="1"/>
  <c r="I1189" i="1"/>
  <c r="I1182" i="1"/>
  <c r="I1175" i="1"/>
  <c r="I1168" i="1"/>
  <c r="I1161" i="1"/>
  <c r="I1154" i="1"/>
  <c r="I1147" i="1"/>
  <c r="I1140" i="1"/>
  <c r="I1133" i="1"/>
  <c r="J1133" i="1" s="1"/>
  <c r="I1126" i="1"/>
  <c r="I1119" i="1"/>
  <c r="I1112" i="1"/>
  <c r="I1105" i="1"/>
  <c r="I1098" i="1"/>
  <c r="I1091" i="1"/>
  <c r="I1084" i="1"/>
  <c r="I1077" i="1"/>
  <c r="I1070" i="1"/>
  <c r="I1063" i="1"/>
  <c r="I1056" i="1"/>
  <c r="I1049" i="1"/>
  <c r="I1042" i="1"/>
  <c r="J1042" i="1" s="1"/>
  <c r="I1035" i="1"/>
  <c r="I1028" i="1"/>
  <c r="I1021" i="1"/>
  <c r="I1014" i="1"/>
  <c r="I1007" i="1"/>
  <c r="I1000" i="1"/>
  <c r="I993" i="1"/>
  <c r="I986" i="1"/>
  <c r="I979" i="1"/>
  <c r="I972" i="1"/>
  <c r="I965" i="1"/>
  <c r="I958" i="1"/>
  <c r="I951" i="1"/>
  <c r="I944" i="1"/>
  <c r="I937" i="1"/>
  <c r="J937" i="1" s="1"/>
  <c r="I930" i="1"/>
  <c r="I923" i="1"/>
  <c r="I916" i="1"/>
  <c r="I909" i="1"/>
  <c r="I902" i="1"/>
  <c r="I895" i="1"/>
  <c r="I888" i="1"/>
  <c r="I881" i="1"/>
  <c r="I874" i="1"/>
  <c r="I867" i="1"/>
  <c r="I860" i="1"/>
  <c r="I853" i="1"/>
  <c r="I846" i="1"/>
  <c r="J846" i="1" s="1"/>
  <c r="I839" i="1"/>
  <c r="I832" i="1"/>
  <c r="I825" i="1"/>
  <c r="I818" i="1"/>
  <c r="I811" i="1"/>
  <c r="I804" i="1"/>
  <c r="I797" i="1"/>
  <c r="I790" i="1"/>
  <c r="I783" i="1"/>
  <c r="I776" i="1"/>
  <c r="I769" i="1"/>
  <c r="I762" i="1"/>
  <c r="I755" i="1"/>
  <c r="I748" i="1"/>
  <c r="J748" i="1" s="1"/>
  <c r="I741" i="1"/>
  <c r="I734" i="1"/>
  <c r="I727" i="1"/>
  <c r="I720" i="1"/>
  <c r="J720" i="1" s="1"/>
  <c r="I713" i="1"/>
  <c r="I706" i="1"/>
  <c r="I699" i="1"/>
  <c r="I692" i="1"/>
  <c r="I685" i="1"/>
  <c r="I678" i="1"/>
  <c r="I671" i="1"/>
  <c r="I664" i="1"/>
  <c r="I657" i="1"/>
  <c r="I650" i="1"/>
  <c r="I643" i="1"/>
  <c r="I636" i="1"/>
  <c r="I629" i="1"/>
  <c r="I622" i="1"/>
  <c r="I615" i="1"/>
  <c r="I608" i="1"/>
  <c r="I601" i="1"/>
  <c r="I594" i="1"/>
  <c r="I587" i="1"/>
  <c r="I580" i="1"/>
  <c r="I573" i="1"/>
  <c r="I566" i="1"/>
  <c r="H1191" i="1"/>
  <c r="H1184" i="1"/>
  <c r="H1177" i="1"/>
  <c r="H1170" i="1"/>
  <c r="H1163" i="1"/>
  <c r="H1156" i="1"/>
  <c r="H1149" i="1"/>
  <c r="H1142" i="1"/>
  <c r="H1135" i="1"/>
  <c r="H1128" i="1"/>
  <c r="H1121" i="1"/>
  <c r="H1114" i="1"/>
  <c r="H1107" i="1"/>
  <c r="H1100" i="1"/>
  <c r="H1093" i="1"/>
  <c r="H1086" i="1"/>
  <c r="H1079" i="1"/>
  <c r="K1079" i="1" s="1"/>
  <c r="H1072" i="1"/>
  <c r="K1072" i="1" s="1"/>
  <c r="H1065" i="1"/>
  <c r="H1058" i="1"/>
  <c r="H1051" i="1"/>
  <c r="H1030" i="1"/>
  <c r="H1023" i="1"/>
  <c r="H1016" i="1"/>
  <c r="H974" i="1"/>
  <c r="H967" i="1"/>
  <c r="H960" i="1"/>
  <c r="H946" i="1"/>
  <c r="H925" i="1"/>
  <c r="H918" i="1"/>
  <c r="H904" i="1"/>
  <c r="H883" i="1"/>
  <c r="H848" i="1"/>
  <c r="H820" i="1"/>
  <c r="H1255" i="1"/>
  <c r="H1248" i="1"/>
  <c r="H1234" i="1"/>
  <c r="H1220" i="1"/>
  <c r="H1206" i="1"/>
  <c r="H1192" i="1"/>
  <c r="H1178" i="1"/>
  <c r="H1164" i="1"/>
  <c r="H1150" i="1"/>
  <c r="H1136" i="1"/>
  <c r="H1122" i="1"/>
  <c r="H1108" i="1"/>
  <c r="K1108" i="1" s="1"/>
  <c r="H1094" i="1"/>
  <c r="H1080" i="1"/>
  <c r="H1066" i="1"/>
  <c r="H1052" i="1"/>
  <c r="H1038" i="1"/>
  <c r="H1024" i="1"/>
  <c r="H1010" i="1"/>
  <c r="H996" i="1"/>
  <c r="H982" i="1"/>
  <c r="H975" i="1"/>
  <c r="H961" i="1"/>
  <c r="H947" i="1"/>
  <c r="K947" i="1" s="1"/>
  <c r="H940" i="1"/>
  <c r="H1241" i="1"/>
  <c r="H1227" i="1"/>
  <c r="H1213" i="1"/>
  <c r="H1199" i="1"/>
  <c r="H1185" i="1"/>
  <c r="H1171" i="1"/>
  <c r="H1157" i="1"/>
  <c r="H1143" i="1"/>
  <c r="H1129" i="1"/>
  <c r="H1115" i="1"/>
  <c r="H1101" i="1"/>
  <c r="H1087" i="1"/>
  <c r="H1073" i="1"/>
  <c r="K1073" i="1" s="1"/>
  <c r="H1059" i="1"/>
  <c r="H1045" i="1"/>
  <c r="H1031" i="1"/>
  <c r="H1017" i="1"/>
  <c r="H1003" i="1"/>
  <c r="H989" i="1"/>
  <c r="H968" i="1"/>
  <c r="H933" i="1"/>
  <c r="H926" i="1"/>
  <c r="H919" i="1"/>
  <c r="H877" i="1"/>
  <c r="H849" i="1"/>
  <c r="H814" i="1"/>
  <c r="H800" i="1"/>
  <c r="K800" i="1" s="1"/>
  <c r="H779" i="1"/>
  <c r="H772" i="1"/>
  <c r="H751" i="1"/>
  <c r="H709" i="1"/>
  <c r="H702" i="1"/>
  <c r="H688" i="1"/>
  <c r="H681" i="1"/>
  <c r="H604" i="1"/>
  <c r="H590" i="1"/>
  <c r="H562" i="1"/>
  <c r="H534" i="1"/>
  <c r="H415" i="1"/>
  <c r="H401" i="1"/>
  <c r="H338" i="1"/>
  <c r="K338" i="1" s="1"/>
  <c r="H331" i="1"/>
  <c r="H303" i="1"/>
  <c r="K303" i="1" s="1"/>
  <c r="H254" i="1"/>
  <c r="H205" i="1"/>
  <c r="H191" i="1"/>
  <c r="H135" i="1"/>
  <c r="H128" i="1"/>
  <c r="H121" i="1"/>
  <c r="H114" i="1"/>
  <c r="H107" i="1"/>
  <c r="H100" i="1"/>
  <c r="H93" i="1"/>
  <c r="H86" i="1"/>
  <c r="H79" i="1"/>
  <c r="K79" i="1" s="1"/>
  <c r="H72" i="1"/>
  <c r="H65" i="1"/>
  <c r="H58" i="1"/>
  <c r="H51" i="1"/>
  <c r="H44" i="1"/>
  <c r="H37" i="1"/>
  <c r="H30" i="1"/>
  <c r="H23" i="1"/>
  <c r="H16" i="1"/>
  <c r="H9" i="1"/>
  <c r="H1153" i="1"/>
  <c r="I1254" i="1"/>
  <c r="I1212" i="1"/>
  <c r="I1184" i="1"/>
  <c r="J1184" i="1" s="1"/>
  <c r="I1177" i="1"/>
  <c r="J1177" i="1" s="1"/>
  <c r="I1163" i="1"/>
  <c r="I1128" i="1"/>
  <c r="J1128" i="1" s="1"/>
  <c r="I1121" i="1"/>
  <c r="J1121" i="1" s="1"/>
  <c r="I1114" i="1"/>
  <c r="I1107" i="1"/>
  <c r="I1086" i="1"/>
  <c r="I1079" i="1"/>
  <c r="I1072" i="1"/>
  <c r="I1065" i="1"/>
  <c r="I1030" i="1"/>
  <c r="I1009" i="1"/>
  <c r="I974" i="1"/>
  <c r="I967" i="1"/>
  <c r="J967" i="1" s="1"/>
  <c r="I960" i="1"/>
  <c r="I946" i="1"/>
  <c r="I904" i="1"/>
  <c r="I799" i="1"/>
  <c r="I785" i="1"/>
  <c r="I771" i="1"/>
  <c r="I743" i="1"/>
  <c r="I701" i="1"/>
  <c r="I687" i="1"/>
  <c r="I470" i="1"/>
  <c r="I449" i="1"/>
  <c r="I330" i="1"/>
  <c r="I309" i="1"/>
  <c r="I288" i="1"/>
  <c r="I274" i="1"/>
  <c r="I267" i="1"/>
  <c r="I253" i="1"/>
  <c r="I239" i="1"/>
  <c r="I225" i="1"/>
  <c r="I176" i="1"/>
  <c r="I106" i="1"/>
  <c r="I99" i="1"/>
  <c r="I57" i="1"/>
  <c r="I1251" i="1"/>
  <c r="I1230" i="1"/>
  <c r="I1209" i="1"/>
  <c r="I1188" i="1"/>
  <c r="I1167" i="1"/>
  <c r="I1146" i="1"/>
  <c r="I1118" i="1"/>
  <c r="I1076" i="1"/>
  <c r="I1055" i="1"/>
  <c r="I1041" i="1"/>
  <c r="I1034" i="1"/>
  <c r="I1013" i="1"/>
  <c r="I1006" i="1"/>
  <c r="I999" i="1"/>
  <c r="I978" i="1"/>
  <c r="I964" i="1"/>
  <c r="I957" i="1"/>
  <c r="I950" i="1"/>
  <c r="I943" i="1"/>
  <c r="I936" i="1"/>
  <c r="J936" i="1" s="1"/>
  <c r="I929" i="1"/>
  <c r="J929" i="1" s="1"/>
  <c r="I922" i="1"/>
  <c r="I901" i="1"/>
  <c r="I894" i="1"/>
  <c r="I887" i="1"/>
  <c r="I880" i="1"/>
  <c r="I873" i="1"/>
  <c r="I866" i="1"/>
  <c r="I859" i="1"/>
  <c r="I852" i="1"/>
  <c r="I845" i="1"/>
  <c r="I838" i="1"/>
  <c r="I831" i="1"/>
  <c r="J831" i="1" s="1"/>
  <c r="I824" i="1"/>
  <c r="I817" i="1"/>
  <c r="I810" i="1"/>
  <c r="I803" i="1"/>
  <c r="I796" i="1"/>
  <c r="I789" i="1"/>
  <c r="I782" i="1"/>
  <c r="I754" i="1"/>
  <c r="I719" i="1"/>
  <c r="I1244" i="1"/>
  <c r="I1223" i="1"/>
  <c r="I1195" i="1"/>
  <c r="I1174" i="1"/>
  <c r="I1153" i="1"/>
  <c r="J1153" i="1" s="1"/>
  <c r="I1132" i="1"/>
  <c r="J1132" i="1" s="1"/>
  <c r="I1090" i="1"/>
  <c r="I1069" i="1"/>
  <c r="I1048" i="1"/>
  <c r="I1020" i="1"/>
  <c r="I985" i="1"/>
  <c r="I908" i="1"/>
  <c r="I761" i="1"/>
  <c r="I1237" i="1"/>
  <c r="I1216" i="1"/>
  <c r="I1202" i="1"/>
  <c r="I1181" i="1"/>
  <c r="I1160" i="1"/>
  <c r="I1139" i="1"/>
  <c r="I1125" i="1"/>
  <c r="J1125" i="1" s="1"/>
  <c r="I1083" i="1"/>
  <c r="I1062" i="1"/>
  <c r="I1027" i="1"/>
  <c r="I992" i="1"/>
  <c r="I915" i="1"/>
  <c r="I775" i="1"/>
  <c r="I768" i="1"/>
  <c r="I1257" i="1"/>
  <c r="I1250" i="1"/>
  <c r="I1243" i="1"/>
  <c r="J1243" i="1" s="1"/>
  <c r="I1236" i="1"/>
  <c r="I1229" i="1"/>
  <c r="I1222" i="1"/>
  <c r="J1222" i="1" s="1"/>
  <c r="I1215" i="1"/>
  <c r="J1215" i="1" s="1"/>
  <c r="I1208" i="1"/>
  <c r="J1208" i="1" s="1"/>
  <c r="I1201" i="1"/>
  <c r="I1194" i="1"/>
  <c r="I1187" i="1"/>
  <c r="I1180" i="1"/>
  <c r="I1173" i="1"/>
  <c r="I1166" i="1"/>
  <c r="I1159" i="1"/>
  <c r="I1152" i="1"/>
  <c r="J1152" i="1" s="1"/>
  <c r="I1145" i="1"/>
  <c r="I1138" i="1"/>
  <c r="I1131" i="1"/>
  <c r="I1124" i="1"/>
  <c r="J1124" i="1" s="1"/>
  <c r="I1117" i="1"/>
  <c r="J1117" i="1" s="1"/>
  <c r="I1110" i="1"/>
  <c r="I1103" i="1"/>
  <c r="I1096" i="1"/>
  <c r="I1089" i="1"/>
  <c r="I1082" i="1"/>
  <c r="I1075" i="1"/>
  <c r="I1068" i="1"/>
  <c r="I1061" i="1"/>
  <c r="I1054" i="1"/>
  <c r="J1054" i="1" s="1"/>
  <c r="I1047" i="1"/>
  <c r="I1040" i="1"/>
  <c r="I1033" i="1"/>
  <c r="I1026" i="1"/>
  <c r="J1026" i="1" s="1"/>
  <c r="I1019" i="1"/>
  <c r="J1019" i="1" s="1"/>
  <c r="I1012" i="1"/>
  <c r="I1005" i="1"/>
  <c r="I998" i="1"/>
  <c r="I991" i="1"/>
  <c r="I984" i="1"/>
  <c r="I977" i="1"/>
  <c r="I970" i="1"/>
  <c r="I963" i="1"/>
  <c r="I956" i="1"/>
  <c r="J956" i="1" s="1"/>
  <c r="I949" i="1"/>
  <c r="I942" i="1"/>
  <c r="I935" i="1"/>
  <c r="I928" i="1"/>
  <c r="J928" i="1" s="1"/>
  <c r="I921" i="1"/>
  <c r="J921" i="1" s="1"/>
  <c r="I914" i="1"/>
  <c r="I907" i="1"/>
  <c r="I900" i="1"/>
  <c r="I893" i="1"/>
  <c r="I886" i="1"/>
  <c r="I879" i="1"/>
  <c r="I872" i="1"/>
  <c r="I865" i="1"/>
  <c r="I858" i="1"/>
  <c r="J858" i="1" s="1"/>
  <c r="I851" i="1"/>
  <c r="I844" i="1"/>
  <c r="I837" i="1"/>
  <c r="I830" i="1"/>
  <c r="J830" i="1" s="1"/>
  <c r="I823" i="1"/>
  <c r="J823" i="1" s="1"/>
  <c r="I816" i="1"/>
  <c r="I809" i="1"/>
  <c r="I802" i="1"/>
  <c r="I795" i="1"/>
  <c r="I788" i="1"/>
  <c r="I781" i="1"/>
  <c r="I774" i="1"/>
  <c r="I767" i="1"/>
  <c r="I760" i="1"/>
  <c r="J760" i="1" s="1"/>
  <c r="I753" i="1"/>
  <c r="I746" i="1"/>
  <c r="I739" i="1"/>
  <c r="I732" i="1"/>
  <c r="J732" i="1" s="1"/>
  <c r="I725" i="1"/>
  <c r="J725" i="1" s="1"/>
  <c r="I718" i="1"/>
  <c r="I711" i="1"/>
  <c r="I704" i="1"/>
  <c r="I697" i="1"/>
  <c r="I690" i="1"/>
  <c r="I683" i="1"/>
  <c r="I676" i="1"/>
  <c r="I669" i="1"/>
  <c r="I662" i="1"/>
  <c r="J662" i="1" s="1"/>
  <c r="I655" i="1"/>
  <c r="I648" i="1"/>
  <c r="I641" i="1"/>
  <c r="I634" i="1"/>
  <c r="J634" i="1" s="1"/>
  <c r="I627" i="1"/>
  <c r="J627" i="1" s="1"/>
  <c r="I620" i="1"/>
  <c r="I613" i="1"/>
  <c r="I606" i="1"/>
  <c r="I599" i="1"/>
  <c r="H1257" i="1"/>
  <c r="H1250" i="1"/>
  <c r="H1243" i="1"/>
  <c r="H1236" i="1"/>
  <c r="H1229" i="1"/>
  <c r="H1222" i="1"/>
  <c r="H1215" i="1"/>
  <c r="H1208" i="1"/>
  <c r="H1201" i="1"/>
  <c r="I1242" i="1"/>
  <c r="J1242" i="1" s="1"/>
  <c r="I1144" i="1"/>
  <c r="I1130" i="1"/>
  <c r="I1116" i="1"/>
  <c r="I1109" i="1"/>
  <c r="I1039" i="1"/>
  <c r="I1025" i="1"/>
  <c r="I913" i="1"/>
  <c r="I836" i="1"/>
  <c r="I829" i="1"/>
  <c r="I801" i="1"/>
  <c r="I794" i="1"/>
  <c r="H785" i="1"/>
  <c r="H743" i="1"/>
  <c r="H568" i="1"/>
  <c r="H1194" i="1"/>
  <c r="H1187" i="1"/>
  <c r="H1180" i="1"/>
  <c r="H1173" i="1"/>
  <c r="H1166" i="1"/>
  <c r="H1159" i="1"/>
  <c r="H1152" i="1"/>
  <c r="H1145" i="1"/>
  <c r="H1138" i="1"/>
  <c r="H1131" i="1"/>
  <c r="H1124" i="1"/>
  <c r="H1117" i="1"/>
  <c r="H1110" i="1"/>
  <c r="H1103" i="1"/>
  <c r="H1096" i="1"/>
  <c r="H1089" i="1"/>
  <c r="H1082" i="1"/>
  <c r="H1075" i="1"/>
  <c r="H1068" i="1"/>
  <c r="H1061" i="1"/>
  <c r="H1054" i="1"/>
  <c r="H1047" i="1"/>
  <c r="H1040" i="1"/>
  <c r="H1033" i="1"/>
  <c r="H1026" i="1"/>
  <c r="H1019" i="1"/>
  <c r="H1012" i="1"/>
  <c r="H1005" i="1"/>
  <c r="H998" i="1"/>
  <c r="H991" i="1"/>
  <c r="H984" i="1"/>
  <c r="H977" i="1"/>
  <c r="H970" i="1"/>
  <c r="H963" i="1"/>
  <c r="H956" i="1"/>
  <c r="H949" i="1"/>
  <c r="H942" i="1"/>
  <c r="H935" i="1"/>
  <c r="H928" i="1"/>
  <c r="H921" i="1"/>
  <c r="H914" i="1"/>
  <c r="H907" i="1"/>
  <c r="H900" i="1"/>
  <c r="H893" i="1"/>
  <c r="H886" i="1"/>
  <c r="H879" i="1"/>
  <c r="H872" i="1"/>
  <c r="H865" i="1"/>
  <c r="H858" i="1"/>
  <c r="H851" i="1"/>
  <c r="H844" i="1"/>
  <c r="H837" i="1"/>
  <c r="H830" i="1"/>
  <c r="H823" i="1"/>
  <c r="H816" i="1"/>
  <c r="H809" i="1"/>
  <c r="H802" i="1"/>
  <c r="H795" i="1"/>
  <c r="H788" i="1"/>
  <c r="H781" i="1"/>
  <c r="H774" i="1"/>
  <c r="H767" i="1"/>
  <c r="H760" i="1"/>
  <c r="H753" i="1"/>
  <c r="H746" i="1"/>
  <c r="H739" i="1"/>
  <c r="H732" i="1"/>
  <c r="H725" i="1"/>
  <c r="H718" i="1"/>
  <c r="H711" i="1"/>
  <c r="H704" i="1"/>
  <c r="H697" i="1"/>
  <c r="H690" i="1"/>
  <c r="H683" i="1"/>
  <c r="H676" i="1"/>
  <c r="H669" i="1"/>
  <c r="H662" i="1"/>
  <c r="H655" i="1"/>
  <c r="H648" i="1"/>
  <c r="H641" i="1"/>
  <c r="H634" i="1"/>
  <c r="H627" i="1"/>
  <c r="H620" i="1"/>
  <c r="H613" i="1"/>
  <c r="H606" i="1"/>
  <c r="H650" i="1"/>
  <c r="H599" i="1"/>
  <c r="H592" i="1"/>
  <c r="K592" i="1" s="1"/>
  <c r="H585" i="1"/>
  <c r="H578" i="1"/>
  <c r="H571" i="1"/>
  <c r="H564" i="1"/>
  <c r="H557" i="1"/>
  <c r="H550" i="1"/>
  <c r="H543" i="1"/>
  <c r="H536" i="1"/>
  <c r="H529" i="1"/>
  <c r="H522" i="1"/>
  <c r="H515" i="1"/>
  <c r="H508" i="1"/>
  <c r="H501" i="1"/>
  <c r="H494" i="1"/>
  <c r="K494" i="1" s="1"/>
  <c r="H487" i="1"/>
  <c r="H480" i="1"/>
  <c r="H473" i="1"/>
  <c r="H466" i="1"/>
  <c r="H459" i="1"/>
  <c r="H452" i="1"/>
  <c r="H445" i="1"/>
  <c r="H438" i="1"/>
  <c r="H431" i="1"/>
  <c r="H424" i="1"/>
  <c r="H417" i="1"/>
  <c r="H410" i="1"/>
  <c r="H403" i="1"/>
  <c r="H396" i="1"/>
  <c r="K396" i="1" s="1"/>
  <c r="H389" i="1"/>
  <c r="H382" i="1"/>
  <c r="H375" i="1"/>
  <c r="H368" i="1"/>
  <c r="H361" i="1"/>
  <c r="H354" i="1"/>
  <c r="H347" i="1"/>
  <c r="H340" i="1"/>
  <c r="H333" i="1"/>
  <c r="H326" i="1"/>
  <c r="H319" i="1"/>
  <c r="H312" i="1"/>
  <c r="H305" i="1"/>
  <c r="H298" i="1"/>
  <c r="K298" i="1" s="1"/>
  <c r="H291" i="1"/>
  <c r="H284" i="1"/>
  <c r="H277" i="1"/>
  <c r="H270" i="1"/>
  <c r="H263" i="1"/>
  <c r="H256" i="1"/>
  <c r="H249" i="1"/>
  <c r="H242" i="1"/>
  <c r="H235" i="1"/>
  <c r="H228" i="1"/>
  <c r="H221" i="1"/>
  <c r="H214" i="1"/>
  <c r="H207" i="1"/>
  <c r="H200" i="1"/>
  <c r="K200" i="1" s="1"/>
  <c r="H193" i="1"/>
  <c r="H186" i="1"/>
  <c r="H179" i="1"/>
  <c r="H172" i="1"/>
  <c r="H165" i="1"/>
  <c r="H158" i="1"/>
  <c r="H151" i="1"/>
  <c r="H144" i="1"/>
  <c r="H137" i="1"/>
  <c r="H130" i="1"/>
  <c r="H123" i="1"/>
  <c r="H116" i="1"/>
  <c r="H109" i="1"/>
  <c r="H102" i="1"/>
  <c r="K102" i="1" s="1"/>
  <c r="H95" i="1"/>
  <c r="H88" i="1"/>
  <c r="H81" i="1"/>
  <c r="H74" i="1"/>
  <c r="H67" i="1"/>
  <c r="H60" i="1"/>
  <c r="H53" i="1"/>
  <c r="H46" i="1"/>
  <c r="H39" i="1"/>
  <c r="H32" i="1"/>
  <c r="H25" i="1"/>
  <c r="H18" i="1"/>
  <c r="H11" i="1"/>
  <c r="H1200" i="1"/>
  <c r="H1251" i="1"/>
  <c r="H1244" i="1"/>
  <c r="H1237" i="1"/>
  <c r="H1230" i="1"/>
  <c r="H1223" i="1"/>
  <c r="H1216" i="1"/>
  <c r="K1216" i="1" s="1"/>
  <c r="H1209" i="1"/>
  <c r="K1209" i="1" s="1"/>
  <c r="H1202" i="1"/>
  <c r="H1195" i="1"/>
  <c r="K1195" i="1" s="1"/>
  <c r="H1188" i="1"/>
  <c r="K1188" i="1" s="1"/>
  <c r="H1181" i="1"/>
  <c r="H1174" i="1"/>
  <c r="H1167" i="1"/>
  <c r="H1160" i="1"/>
  <c r="H1146" i="1"/>
  <c r="H1139" i="1"/>
  <c r="H1132" i="1"/>
  <c r="H1125" i="1"/>
  <c r="H1118" i="1"/>
  <c r="H1111" i="1"/>
  <c r="H1104" i="1"/>
  <c r="H1097" i="1"/>
  <c r="H1090" i="1"/>
  <c r="H1083" i="1"/>
  <c r="H1076" i="1"/>
  <c r="H1069" i="1"/>
  <c r="K1069" i="1" s="1"/>
  <c r="H1062" i="1"/>
  <c r="K1062" i="1" s="1"/>
  <c r="H1055" i="1"/>
  <c r="H1048" i="1"/>
  <c r="H1041" i="1"/>
  <c r="H1034" i="1"/>
  <c r="H1027" i="1"/>
  <c r="H1020" i="1"/>
  <c r="H1013" i="1"/>
  <c r="H1006" i="1"/>
  <c r="H999" i="1"/>
  <c r="H992" i="1"/>
  <c r="H985" i="1"/>
  <c r="H978" i="1"/>
  <c r="H971" i="1"/>
  <c r="H964" i="1"/>
  <c r="H957" i="1"/>
  <c r="H950" i="1"/>
  <c r="H943" i="1"/>
  <c r="H936" i="1"/>
  <c r="H929" i="1"/>
  <c r="H922" i="1"/>
  <c r="H915" i="1"/>
  <c r="H908" i="1"/>
  <c r="H901" i="1"/>
  <c r="H894" i="1"/>
  <c r="H887" i="1"/>
  <c r="H880" i="1"/>
  <c r="H873" i="1"/>
  <c r="K873" i="1" s="1"/>
  <c r="H866" i="1"/>
  <c r="K866" i="1" s="1"/>
  <c r="H859" i="1"/>
  <c r="H852" i="1"/>
  <c r="H845" i="1"/>
  <c r="H838" i="1"/>
  <c r="H831" i="1"/>
  <c r="H824" i="1"/>
  <c r="H817" i="1"/>
  <c r="H810" i="1"/>
  <c r="H803" i="1"/>
  <c r="H796" i="1"/>
  <c r="H789" i="1"/>
  <c r="H782" i="1"/>
  <c r="H775" i="1"/>
  <c r="H768" i="1"/>
  <c r="K768" i="1" s="1"/>
  <c r="H761" i="1"/>
  <c r="K761" i="1" s="1"/>
  <c r="H754" i="1"/>
  <c r="H747" i="1"/>
  <c r="H740" i="1"/>
  <c r="H733" i="1"/>
  <c r="H726" i="1"/>
  <c r="H719" i="1"/>
  <c r="H712" i="1"/>
  <c r="H705" i="1"/>
  <c r="H698" i="1"/>
  <c r="K698" i="1" s="1"/>
  <c r="H691" i="1"/>
  <c r="H684" i="1"/>
  <c r="H677" i="1"/>
  <c r="H670" i="1"/>
  <c r="H663" i="1"/>
  <c r="H656" i="1"/>
  <c r="H649" i="1"/>
  <c r="H642" i="1"/>
  <c r="H635" i="1"/>
  <c r="H628" i="1"/>
  <c r="H621" i="1"/>
  <c r="H614" i="1"/>
  <c r="H607" i="1"/>
  <c r="H600" i="1"/>
  <c r="K600" i="1" s="1"/>
  <c r="H593" i="1"/>
  <c r="H586" i="1"/>
  <c r="H579" i="1"/>
  <c r="H572" i="1"/>
  <c r="H565" i="1"/>
  <c r="H558" i="1"/>
  <c r="H551" i="1"/>
  <c r="H544" i="1"/>
  <c r="H537" i="1"/>
  <c r="H530" i="1"/>
  <c r="H523" i="1"/>
  <c r="H516" i="1"/>
  <c r="H509" i="1"/>
  <c r="H502" i="1"/>
  <c r="K502" i="1" s="1"/>
  <c r="H495" i="1"/>
  <c r="H488" i="1"/>
  <c r="H481" i="1"/>
  <c r="H474" i="1"/>
  <c r="H467" i="1"/>
  <c r="H460" i="1"/>
  <c r="H453" i="1"/>
  <c r="H446" i="1"/>
  <c r="H439" i="1"/>
  <c r="H432" i="1"/>
  <c r="H425" i="1"/>
  <c r="H418" i="1"/>
  <c r="H411" i="1"/>
  <c r="H404" i="1"/>
  <c r="K404" i="1" s="1"/>
  <c r="H397" i="1"/>
  <c r="H390" i="1"/>
  <c r="H383" i="1"/>
  <c r="H376" i="1"/>
  <c r="H369" i="1"/>
  <c r="H362" i="1"/>
  <c r="H355" i="1"/>
  <c r="H348" i="1"/>
  <c r="H341" i="1"/>
  <c r="H334" i="1"/>
  <c r="H327" i="1"/>
  <c r="H320" i="1"/>
  <c r="H313" i="1"/>
  <c r="H306" i="1"/>
  <c r="K306" i="1" s="1"/>
  <c r="H299" i="1"/>
  <c r="H292" i="1"/>
  <c r="H285" i="1"/>
  <c r="H278" i="1"/>
  <c r="H271" i="1"/>
  <c r="H264" i="1"/>
  <c r="H257" i="1"/>
  <c r="H250" i="1"/>
  <c r="H243" i="1"/>
  <c r="H236" i="1"/>
  <c r="H229" i="1"/>
  <c r="H222" i="1"/>
  <c r="H215" i="1"/>
  <c r="H208" i="1"/>
  <c r="K208" i="1" s="1"/>
  <c r="H201" i="1"/>
  <c r="H194" i="1"/>
  <c r="H187" i="1"/>
  <c r="H180" i="1"/>
  <c r="H173" i="1"/>
  <c r="H166" i="1"/>
  <c r="H159" i="1"/>
  <c r="H152" i="1"/>
  <c r="I592" i="1"/>
  <c r="I585" i="1"/>
  <c r="I578" i="1"/>
  <c r="I571" i="1"/>
  <c r="J571" i="1" s="1"/>
  <c r="I564" i="1"/>
  <c r="I557" i="1"/>
  <c r="J557" i="1" s="1"/>
  <c r="I550" i="1"/>
  <c r="I543" i="1"/>
  <c r="I536" i="1"/>
  <c r="I529" i="1"/>
  <c r="I522" i="1"/>
  <c r="I515" i="1"/>
  <c r="I508" i="1"/>
  <c r="I501" i="1"/>
  <c r="I494" i="1"/>
  <c r="I487" i="1"/>
  <c r="I480" i="1"/>
  <c r="I473" i="1"/>
  <c r="J473" i="1" s="1"/>
  <c r="I466" i="1"/>
  <c r="I459" i="1"/>
  <c r="J459" i="1" s="1"/>
  <c r="I452" i="1"/>
  <c r="I445" i="1"/>
  <c r="I438" i="1"/>
  <c r="I431" i="1"/>
  <c r="I424" i="1"/>
  <c r="I417" i="1"/>
  <c r="I410" i="1"/>
  <c r="I403" i="1"/>
  <c r="I396" i="1"/>
  <c r="I389" i="1"/>
  <c r="I382" i="1"/>
  <c r="I375" i="1"/>
  <c r="J375" i="1" s="1"/>
  <c r="I368" i="1"/>
  <c r="I361" i="1"/>
  <c r="J361" i="1" s="1"/>
  <c r="I354" i="1"/>
  <c r="I347" i="1"/>
  <c r="I340" i="1"/>
  <c r="I333" i="1"/>
  <c r="I326" i="1"/>
  <c r="I319" i="1"/>
  <c r="I312" i="1"/>
  <c r="I305" i="1"/>
  <c r="I298" i="1"/>
  <c r="I291" i="1"/>
  <c r="I284" i="1"/>
  <c r="I277" i="1"/>
  <c r="J277" i="1" s="1"/>
  <c r="I270" i="1"/>
  <c r="I263" i="1"/>
  <c r="J263" i="1" s="1"/>
  <c r="I256" i="1"/>
  <c r="I249" i="1"/>
  <c r="I242" i="1"/>
  <c r="I235" i="1"/>
  <c r="I228" i="1"/>
  <c r="I221" i="1"/>
  <c r="I214" i="1"/>
  <c r="I207" i="1"/>
  <c r="I200" i="1"/>
  <c r="I193" i="1"/>
  <c r="I186" i="1"/>
  <c r="I179" i="1"/>
  <c r="J179" i="1" s="1"/>
  <c r="I172" i="1"/>
  <c r="I165" i="1"/>
  <c r="J165" i="1" s="1"/>
  <c r="I158" i="1"/>
  <c r="I151" i="1"/>
  <c r="I144" i="1"/>
  <c r="I137" i="1"/>
  <c r="I130" i="1"/>
  <c r="I123" i="1"/>
  <c r="I116" i="1"/>
  <c r="I109" i="1"/>
  <c r="I102" i="1"/>
  <c r="I95" i="1"/>
  <c r="I88" i="1"/>
  <c r="I81" i="1"/>
  <c r="J81" i="1" s="1"/>
  <c r="I74" i="1"/>
  <c r="I67" i="1"/>
  <c r="J67" i="1" s="1"/>
  <c r="I60" i="1"/>
  <c r="I53" i="1"/>
  <c r="I46" i="1"/>
  <c r="I39" i="1"/>
  <c r="I32" i="1"/>
  <c r="I25" i="1"/>
  <c r="I18" i="1"/>
  <c r="I11" i="1"/>
  <c r="H694" i="1"/>
  <c r="H666" i="1"/>
  <c r="H645" i="1"/>
  <c r="H554" i="1"/>
  <c r="H498" i="1"/>
  <c r="H435" i="1"/>
  <c r="H421" i="1"/>
  <c r="H351" i="1"/>
  <c r="H288" i="1"/>
  <c r="H260" i="1"/>
  <c r="H134" i="1"/>
  <c r="H99" i="1"/>
  <c r="H92" i="1"/>
  <c r="H71" i="1"/>
  <c r="I567" i="1"/>
  <c r="I560" i="1"/>
  <c r="I553" i="1"/>
  <c r="I546" i="1"/>
  <c r="I539" i="1"/>
  <c r="I532" i="1"/>
  <c r="I525" i="1"/>
  <c r="I518" i="1"/>
  <c r="I511" i="1"/>
  <c r="I504" i="1"/>
  <c r="I497" i="1"/>
  <c r="I490" i="1"/>
  <c r="I483" i="1"/>
  <c r="I476" i="1"/>
  <c r="I469" i="1"/>
  <c r="I462" i="1"/>
  <c r="I455" i="1"/>
  <c r="I448" i="1"/>
  <c r="I441" i="1"/>
  <c r="I434" i="1"/>
  <c r="J434" i="1" s="1"/>
  <c r="I427" i="1"/>
  <c r="I420" i="1"/>
  <c r="J420" i="1" s="1"/>
  <c r="I413" i="1"/>
  <c r="I406" i="1"/>
  <c r="I399" i="1"/>
  <c r="J399" i="1" s="1"/>
  <c r="I392" i="1"/>
  <c r="I385" i="1"/>
  <c r="I378" i="1"/>
  <c r="I371" i="1"/>
  <c r="I364" i="1"/>
  <c r="I357" i="1"/>
  <c r="I350" i="1"/>
  <c r="I343" i="1"/>
  <c r="I336" i="1"/>
  <c r="J336" i="1" s="1"/>
  <c r="I329" i="1"/>
  <c r="I322" i="1"/>
  <c r="I315" i="1"/>
  <c r="I308" i="1"/>
  <c r="I301" i="1"/>
  <c r="I294" i="1"/>
  <c r="I287" i="1"/>
  <c r="I280" i="1"/>
  <c r="I273" i="1"/>
  <c r="I266" i="1"/>
  <c r="I259" i="1"/>
  <c r="I252" i="1"/>
  <c r="I245" i="1"/>
  <c r="I238" i="1"/>
  <c r="I231" i="1"/>
  <c r="I224" i="1"/>
  <c r="I217" i="1"/>
  <c r="I210" i="1"/>
  <c r="I203" i="1"/>
  <c r="I196" i="1"/>
  <c r="I189" i="1"/>
  <c r="I182" i="1"/>
  <c r="I175" i="1"/>
  <c r="I168" i="1"/>
  <c r="I161" i="1"/>
  <c r="I154" i="1"/>
  <c r="I147" i="1"/>
  <c r="I140" i="1"/>
  <c r="J140" i="1" s="1"/>
  <c r="I133" i="1"/>
  <c r="J133" i="1" s="1"/>
  <c r="I126" i="1"/>
  <c r="J126" i="1" s="1"/>
  <c r="I119" i="1"/>
  <c r="I112" i="1"/>
  <c r="I105" i="1"/>
  <c r="I98" i="1"/>
  <c r="I91" i="1"/>
  <c r="I84" i="1"/>
  <c r="I77" i="1"/>
  <c r="I70" i="1"/>
  <c r="I63" i="1"/>
  <c r="I56" i="1"/>
  <c r="I49" i="1"/>
  <c r="I42" i="1"/>
  <c r="J42" i="1" s="1"/>
  <c r="I35" i="1"/>
  <c r="J35" i="1" s="1"/>
  <c r="I28" i="1"/>
  <c r="J28" i="1" s="1"/>
  <c r="I21" i="1"/>
  <c r="I14" i="1"/>
  <c r="I7" i="1"/>
  <c r="I559" i="1"/>
  <c r="I552" i="1"/>
  <c r="I545" i="1"/>
  <c r="I538" i="1"/>
  <c r="I531" i="1"/>
  <c r="I524" i="1"/>
  <c r="I517" i="1"/>
  <c r="I510" i="1"/>
  <c r="I503" i="1"/>
  <c r="I496" i="1"/>
  <c r="I489" i="1"/>
  <c r="I482" i="1"/>
  <c r="I475" i="1"/>
  <c r="I468" i="1"/>
  <c r="I461" i="1"/>
  <c r="I454" i="1"/>
  <c r="I447" i="1"/>
  <c r="I440" i="1"/>
  <c r="I433" i="1"/>
  <c r="I426" i="1"/>
  <c r="I419" i="1"/>
  <c r="J419" i="1" s="1"/>
  <c r="I412" i="1"/>
  <c r="I405" i="1"/>
  <c r="J405" i="1" s="1"/>
  <c r="I398" i="1"/>
  <c r="I391" i="1"/>
  <c r="I384" i="1"/>
  <c r="I377" i="1"/>
  <c r="I370" i="1"/>
  <c r="I363" i="1"/>
  <c r="I356" i="1"/>
  <c r="I349" i="1"/>
  <c r="I342" i="1"/>
  <c r="I335" i="1"/>
  <c r="I328" i="1"/>
  <c r="I321" i="1"/>
  <c r="I314" i="1"/>
  <c r="I307" i="1"/>
  <c r="I300" i="1"/>
  <c r="I293" i="1"/>
  <c r="I286" i="1"/>
  <c r="I279" i="1"/>
  <c r="I272" i="1"/>
  <c r="I265" i="1"/>
  <c r="I258" i="1"/>
  <c r="I251" i="1"/>
  <c r="I244" i="1"/>
  <c r="I237" i="1"/>
  <c r="I230" i="1"/>
  <c r="I223" i="1"/>
  <c r="I216" i="1"/>
  <c r="I209" i="1"/>
  <c r="J209" i="1" s="1"/>
  <c r="I202" i="1"/>
  <c r="I195" i="1"/>
  <c r="I188" i="1"/>
  <c r="I181" i="1"/>
  <c r="I174" i="1"/>
  <c r="I167" i="1"/>
  <c r="I160" i="1"/>
  <c r="I153" i="1"/>
  <c r="I146" i="1"/>
  <c r="I139" i="1"/>
  <c r="I132" i="1"/>
  <c r="I125" i="1"/>
  <c r="I118" i="1"/>
  <c r="I111" i="1"/>
  <c r="I104" i="1"/>
  <c r="I97" i="1"/>
  <c r="I90" i="1"/>
  <c r="I83" i="1"/>
  <c r="I76" i="1"/>
  <c r="I69" i="1"/>
  <c r="I62" i="1"/>
  <c r="I55" i="1"/>
  <c r="I48" i="1"/>
  <c r="I41" i="1"/>
  <c r="I34" i="1"/>
  <c r="I27" i="1"/>
  <c r="I20" i="1"/>
  <c r="I13" i="1"/>
  <c r="J13" i="1" s="1"/>
  <c r="I6" i="1"/>
  <c r="I212" i="1"/>
  <c r="I156" i="1"/>
  <c r="I149" i="1"/>
  <c r="I1111" i="1"/>
  <c r="I1104" i="1"/>
  <c r="I1097" i="1"/>
  <c r="I971" i="1"/>
  <c r="I1024" i="1"/>
  <c r="I940" i="1"/>
  <c r="I905" i="1"/>
  <c r="I1256" i="1"/>
  <c r="I1235" i="1"/>
  <c r="I1221" i="1"/>
  <c r="I1207" i="1"/>
  <c r="I1200" i="1"/>
  <c r="I1186" i="1"/>
  <c r="I1137" i="1"/>
  <c r="I1123" i="1"/>
  <c r="I1088" i="1"/>
  <c r="I1053" i="1"/>
  <c r="I1032" i="1"/>
  <c r="I983" i="1"/>
  <c r="I962" i="1"/>
  <c r="I773" i="1"/>
  <c r="J773" i="1" s="1"/>
  <c r="I745" i="1"/>
  <c r="I689" i="1"/>
  <c r="I619" i="1"/>
  <c r="J619" i="1" s="1"/>
  <c r="I612" i="1"/>
  <c r="I591" i="1"/>
  <c r="I556" i="1"/>
  <c r="I549" i="1"/>
  <c r="J549" i="1" s="1"/>
  <c r="I521" i="1"/>
  <c r="I514" i="1"/>
  <c r="I444" i="1"/>
  <c r="I416" i="1"/>
  <c r="I395" i="1"/>
  <c r="I339" i="1"/>
  <c r="I325" i="1"/>
  <c r="I304" i="1"/>
  <c r="I283" i="1"/>
  <c r="I227" i="1"/>
  <c r="I206" i="1"/>
  <c r="I185" i="1"/>
  <c r="J185" i="1" s="1"/>
  <c r="I108" i="1"/>
  <c r="I52" i="1"/>
  <c r="I31" i="1"/>
  <c r="I17" i="1"/>
  <c r="I747" i="1"/>
  <c r="J747" i="1" s="1"/>
  <c r="I740" i="1"/>
  <c r="J740" i="1" s="1"/>
  <c r="I733" i="1"/>
  <c r="J733" i="1" s="1"/>
  <c r="I726" i="1"/>
  <c r="J726" i="1" s="1"/>
  <c r="I712" i="1"/>
  <c r="I705" i="1"/>
  <c r="I698" i="1"/>
  <c r="I691" i="1"/>
  <c r="I684" i="1"/>
  <c r="I677" i="1"/>
  <c r="I670" i="1"/>
  <c r="I663" i="1"/>
  <c r="I656" i="1"/>
  <c r="I649" i="1"/>
  <c r="I642" i="1"/>
  <c r="I635" i="1"/>
  <c r="I628" i="1"/>
  <c r="I621" i="1"/>
  <c r="I614" i="1"/>
  <c r="I607" i="1"/>
  <c r="I600" i="1"/>
  <c r="I593" i="1"/>
  <c r="I586" i="1"/>
  <c r="I579" i="1"/>
  <c r="I572" i="1"/>
  <c r="I565" i="1"/>
  <c r="I558" i="1"/>
  <c r="I551" i="1"/>
  <c r="I544" i="1"/>
  <c r="I537" i="1"/>
  <c r="I530" i="1"/>
  <c r="I523" i="1"/>
  <c r="I516" i="1"/>
  <c r="I509" i="1"/>
  <c r="I502" i="1"/>
  <c r="I495" i="1"/>
  <c r="I488" i="1"/>
  <c r="I481" i="1"/>
  <c r="I474" i="1"/>
  <c r="I467" i="1"/>
  <c r="I460" i="1"/>
  <c r="I453" i="1"/>
  <c r="I446" i="1"/>
  <c r="I439" i="1"/>
  <c r="I432" i="1"/>
  <c r="I425" i="1"/>
  <c r="I418" i="1"/>
  <c r="I411" i="1"/>
  <c r="I404" i="1"/>
  <c r="I397" i="1"/>
  <c r="I390" i="1"/>
  <c r="I383" i="1"/>
  <c r="I376" i="1"/>
  <c r="I369" i="1"/>
  <c r="I362" i="1"/>
  <c r="I355" i="1"/>
  <c r="I348" i="1"/>
  <c r="I341" i="1"/>
  <c r="I334" i="1"/>
  <c r="I327" i="1"/>
  <c r="I320" i="1"/>
  <c r="I313" i="1"/>
  <c r="I306" i="1"/>
  <c r="I299" i="1"/>
  <c r="I292" i="1"/>
  <c r="I285" i="1"/>
  <c r="I278" i="1"/>
  <c r="I271" i="1"/>
  <c r="I264" i="1"/>
  <c r="I257" i="1"/>
  <c r="I250" i="1"/>
  <c r="I243" i="1"/>
  <c r="I236" i="1"/>
  <c r="I229" i="1"/>
  <c r="I222" i="1"/>
  <c r="I215" i="1"/>
  <c r="I208" i="1"/>
  <c r="I201" i="1"/>
  <c r="I194" i="1"/>
  <c r="I187" i="1"/>
  <c r="I180" i="1"/>
  <c r="H145" i="1"/>
  <c r="H138" i="1"/>
  <c r="H131" i="1"/>
  <c r="H124" i="1"/>
  <c r="H117" i="1"/>
  <c r="H110" i="1"/>
  <c r="H103" i="1"/>
  <c r="H96" i="1"/>
  <c r="H89" i="1"/>
  <c r="K89" i="1" s="1"/>
  <c r="H82" i="1"/>
  <c r="H75" i="1"/>
  <c r="K75" i="1" s="1"/>
  <c r="H68" i="1"/>
  <c r="H61" i="1"/>
  <c r="H54" i="1"/>
  <c r="H47" i="1"/>
  <c r="H40" i="1"/>
  <c r="H33" i="1"/>
  <c r="H26" i="1"/>
  <c r="H19" i="1"/>
  <c r="H12" i="1"/>
  <c r="I1232" i="1"/>
  <c r="J1232" i="1" s="1"/>
  <c r="I1218" i="1"/>
  <c r="I1211" i="1"/>
  <c r="I1197" i="1"/>
  <c r="I1225" i="1"/>
  <c r="J1225" i="1" s="1"/>
  <c r="I1204" i="1"/>
  <c r="I1183" i="1"/>
  <c r="J1183" i="1" s="1"/>
  <c r="H4" i="1"/>
  <c r="H868" i="1"/>
  <c r="H630" i="1"/>
  <c r="H357" i="1"/>
  <c r="I1249" i="1"/>
  <c r="I1214" i="1"/>
  <c r="I1193" i="1"/>
  <c r="I1158" i="1"/>
  <c r="I1095" i="1"/>
  <c r="I1060" i="1"/>
  <c r="J1060" i="1" s="1"/>
  <c r="I1046" i="1"/>
  <c r="I997" i="1"/>
  <c r="I990" i="1"/>
  <c r="I941" i="1"/>
  <c r="J941" i="1" s="1"/>
  <c r="I934" i="1"/>
  <c r="I927" i="1"/>
  <c r="I892" i="1"/>
  <c r="I857" i="1"/>
  <c r="I843" i="1"/>
  <c r="I759" i="1"/>
  <c r="I731" i="1"/>
  <c r="I654" i="1"/>
  <c r="J654" i="1" s="1"/>
  <c r="I542" i="1"/>
  <c r="I241" i="1"/>
  <c r="H1242" i="1"/>
  <c r="H1221" i="1"/>
  <c r="K1221" i="1" s="1"/>
  <c r="H1214" i="1"/>
  <c r="K1214" i="1" s="1"/>
  <c r="H1095" i="1"/>
  <c r="H1025" i="1"/>
  <c r="H962" i="1"/>
  <c r="H927" i="1"/>
  <c r="H906" i="1"/>
  <c r="H878" i="1"/>
  <c r="H773" i="1"/>
  <c r="H745" i="1"/>
  <c r="H738" i="1"/>
  <c r="H731" i="1"/>
  <c r="H724" i="1"/>
  <c r="H717" i="1"/>
  <c r="H710" i="1"/>
  <c r="H703" i="1"/>
  <c r="H696" i="1"/>
  <c r="H689" i="1"/>
  <c r="K689" i="1" s="1"/>
  <c r="H682" i="1"/>
  <c r="K682" i="1" s="1"/>
  <c r="H675" i="1"/>
  <c r="H668" i="1"/>
  <c r="H661" i="1"/>
  <c r="H654" i="1"/>
  <c r="H647" i="1"/>
  <c r="H640" i="1"/>
  <c r="H633" i="1"/>
  <c r="H626" i="1"/>
  <c r="K626" i="1" s="1"/>
  <c r="H619" i="1"/>
  <c r="H612" i="1"/>
  <c r="H605" i="1"/>
  <c r="H598" i="1"/>
  <c r="H591" i="1"/>
  <c r="H584" i="1"/>
  <c r="H577" i="1"/>
  <c r="H570" i="1"/>
  <c r="H563" i="1"/>
  <c r="H556" i="1"/>
  <c r="H549" i="1"/>
  <c r="H542" i="1"/>
  <c r="H535" i="1"/>
  <c r="H528" i="1"/>
  <c r="H241" i="1"/>
  <c r="I1241" i="1"/>
  <c r="I1220" i="1"/>
  <c r="J1220" i="1" s="1"/>
  <c r="I1143" i="1"/>
  <c r="J1143" i="1" s="1"/>
  <c r="I1136" i="1"/>
  <c r="I1101" i="1"/>
  <c r="J1101" i="1" s="1"/>
  <c r="I1038" i="1"/>
  <c r="I975" i="1"/>
  <c r="I919" i="1"/>
  <c r="I912" i="1"/>
  <c r="I870" i="1"/>
  <c r="I856" i="1"/>
  <c r="I814" i="1"/>
  <c r="I800" i="1"/>
  <c r="I716" i="1"/>
  <c r="I702" i="1"/>
  <c r="I562" i="1"/>
  <c r="I534" i="1"/>
  <c r="I429" i="1"/>
  <c r="I142" i="1"/>
  <c r="I135" i="1"/>
  <c r="I128" i="1"/>
  <c r="I121" i="1"/>
  <c r="I114" i="1"/>
  <c r="I107" i="1"/>
  <c r="I100" i="1"/>
  <c r="I93" i="1"/>
  <c r="I86" i="1"/>
  <c r="I79" i="1"/>
  <c r="I72" i="1"/>
  <c r="I65" i="1"/>
  <c r="I58" i="1"/>
  <c r="I51" i="1"/>
  <c r="I44" i="1"/>
  <c r="I37" i="1"/>
  <c r="I30" i="1"/>
  <c r="I23" i="1"/>
  <c r="I16" i="1"/>
  <c r="I9" i="1"/>
  <c r="H1254" i="1"/>
  <c r="H1247" i="1"/>
  <c r="H1240" i="1"/>
  <c r="H1233" i="1"/>
  <c r="H1226" i="1"/>
  <c r="H1219" i="1"/>
  <c r="K1219" i="1" s="1"/>
  <c r="H1212" i="1"/>
  <c r="K1212" i="1" s="1"/>
  <c r="H1205" i="1"/>
  <c r="K1205" i="1" s="1"/>
  <c r="H1198" i="1"/>
  <c r="I703" i="1"/>
  <c r="I640" i="1"/>
  <c r="I577" i="1"/>
  <c r="I563" i="1"/>
  <c r="I507" i="1"/>
  <c r="I486" i="1"/>
  <c r="J486" i="1" s="1"/>
  <c r="I458" i="1"/>
  <c r="I262" i="1"/>
  <c r="I248" i="1"/>
  <c r="I136" i="1"/>
  <c r="I129" i="1"/>
  <c r="I24" i="1"/>
  <c r="H521" i="1"/>
  <c r="H514" i="1"/>
  <c r="H507" i="1"/>
  <c r="K507" i="1" s="1"/>
  <c r="H500" i="1"/>
  <c r="H493" i="1"/>
  <c r="H486" i="1"/>
  <c r="H479" i="1"/>
  <c r="H472" i="1"/>
  <c r="H465" i="1"/>
  <c r="H458" i="1"/>
  <c r="H451" i="1"/>
  <c r="H444" i="1"/>
  <c r="H437" i="1"/>
  <c r="H430" i="1"/>
  <c r="K430" i="1" s="1"/>
  <c r="H423" i="1"/>
  <c r="H416" i="1"/>
  <c r="K416" i="1" s="1"/>
  <c r="H409" i="1"/>
  <c r="H402" i="1"/>
  <c r="H395" i="1"/>
  <c r="H388" i="1"/>
  <c r="H381" i="1"/>
  <c r="H374" i="1"/>
  <c r="H367" i="1"/>
  <c r="H360" i="1"/>
  <c r="H353" i="1"/>
  <c r="H346" i="1"/>
  <c r="H339" i="1"/>
  <c r="H332" i="1"/>
  <c r="H325" i="1"/>
  <c r="H318" i="1"/>
  <c r="H311" i="1"/>
  <c r="H304" i="1"/>
  <c r="H297" i="1"/>
  <c r="H290" i="1"/>
  <c r="H283" i="1"/>
  <c r="H276" i="1"/>
  <c r="H269" i="1"/>
  <c r="H262" i="1"/>
  <c r="K262" i="1" s="1"/>
  <c r="H255" i="1"/>
  <c r="H248" i="1"/>
  <c r="K248" i="1" s="1"/>
  <c r="H234" i="1"/>
  <c r="H227" i="1"/>
  <c r="H220" i="1"/>
  <c r="H213" i="1"/>
  <c r="K213" i="1" s="1"/>
  <c r="H206" i="1"/>
  <c r="H199" i="1"/>
  <c r="H192" i="1"/>
  <c r="H185" i="1"/>
  <c r="H178" i="1"/>
  <c r="H171" i="1"/>
  <c r="H164" i="1"/>
  <c r="H157" i="1"/>
  <c r="H150" i="1"/>
  <c r="H143" i="1"/>
  <c r="K143" i="1" s="1"/>
  <c r="H136" i="1"/>
  <c r="H129" i="1"/>
  <c r="H122" i="1"/>
  <c r="H115" i="1"/>
  <c r="H108" i="1"/>
  <c r="H101" i="1"/>
  <c r="H94" i="1"/>
  <c r="H87" i="1"/>
  <c r="H80" i="1"/>
  <c r="H73" i="1"/>
  <c r="H66" i="1"/>
  <c r="H59" i="1"/>
  <c r="H52" i="1"/>
  <c r="H45" i="1"/>
  <c r="H38" i="1"/>
  <c r="H31" i="1"/>
  <c r="H24" i="1"/>
  <c r="H17" i="1"/>
  <c r="H10" i="1"/>
  <c r="H6" i="1"/>
  <c r="H394" i="1"/>
  <c r="H387" i="1"/>
  <c r="H366" i="1"/>
  <c r="I173" i="1"/>
  <c r="I166" i="1"/>
  <c r="I159" i="1"/>
  <c r="I152" i="1"/>
  <c r="I145" i="1"/>
  <c r="I138" i="1"/>
  <c r="I131" i="1"/>
  <c r="I124" i="1"/>
  <c r="I117" i="1"/>
  <c r="J117" i="1" s="1"/>
  <c r="I110" i="1"/>
  <c r="J110" i="1" s="1"/>
  <c r="I103" i="1"/>
  <c r="I96" i="1"/>
  <c r="I89" i="1"/>
  <c r="I82" i="1"/>
  <c r="I75" i="1"/>
  <c r="I68" i="1"/>
  <c r="I61" i="1"/>
  <c r="I54" i="1"/>
  <c r="I47" i="1"/>
  <c r="I40" i="1"/>
  <c r="I33" i="1"/>
  <c r="I26" i="1"/>
  <c r="I19" i="1"/>
  <c r="J19" i="1" s="1"/>
  <c r="I12" i="1"/>
  <c r="J12" i="1" s="1"/>
  <c r="I5" i="1"/>
  <c r="I995" i="1"/>
  <c r="I981" i="1"/>
  <c r="I925" i="1"/>
  <c r="I911" i="1"/>
  <c r="I883" i="1"/>
  <c r="I876" i="1"/>
  <c r="I869" i="1"/>
  <c r="I862" i="1"/>
  <c r="J862" i="1" s="1"/>
  <c r="I855" i="1"/>
  <c r="I848" i="1"/>
  <c r="I827" i="1"/>
  <c r="I764" i="1"/>
  <c r="J764" i="1" s="1"/>
  <c r="I750" i="1"/>
  <c r="I736" i="1"/>
  <c r="I722" i="1"/>
  <c r="I715" i="1"/>
  <c r="I673" i="1"/>
  <c r="I666" i="1"/>
  <c r="J666" i="1" s="1"/>
  <c r="I652" i="1"/>
  <c r="I617" i="1"/>
  <c r="I603" i="1"/>
  <c r="I582" i="1"/>
  <c r="J582" i="1" s="1"/>
  <c r="I575" i="1"/>
  <c r="I547" i="1"/>
  <c r="I526" i="1"/>
  <c r="J526" i="1" s="1"/>
  <c r="I519" i="1"/>
  <c r="I365" i="1"/>
  <c r="I337" i="1"/>
  <c r="I316" i="1"/>
  <c r="I295" i="1"/>
  <c r="I260" i="1"/>
  <c r="I211" i="1"/>
  <c r="I204" i="1"/>
  <c r="I190" i="1"/>
  <c r="I183" i="1"/>
  <c r="I134" i="1"/>
  <c r="I113" i="1"/>
  <c r="I78" i="1"/>
  <c r="J78" i="1" s="1"/>
  <c r="I43" i="1"/>
  <c r="I22" i="1"/>
  <c r="I15" i="1"/>
  <c r="H1002" i="1"/>
  <c r="H995" i="1"/>
  <c r="K995" i="1" s="1"/>
  <c r="H953" i="1"/>
  <c r="H876" i="1"/>
  <c r="H869" i="1"/>
  <c r="H862" i="1"/>
  <c r="H841" i="1"/>
  <c r="H799" i="1"/>
  <c r="H792" i="1"/>
  <c r="K792" i="1" s="1"/>
  <c r="H764" i="1"/>
  <c r="H757" i="1"/>
  <c r="H750" i="1"/>
  <c r="H722" i="1"/>
  <c r="H701" i="1"/>
  <c r="K701" i="1" s="1"/>
  <c r="H680" i="1"/>
  <c r="H652" i="1"/>
  <c r="H638" i="1"/>
  <c r="H596" i="1"/>
  <c r="H582" i="1"/>
  <c r="H575" i="1"/>
  <c r="H547" i="1"/>
  <c r="H526" i="1"/>
  <c r="H477" i="1"/>
  <c r="H428" i="1"/>
  <c r="K428" i="1" s="1"/>
  <c r="H365" i="1"/>
  <c r="H316" i="1"/>
  <c r="H253" i="1"/>
  <c r="K253" i="1" s="1"/>
  <c r="H239" i="1"/>
  <c r="H225" i="1"/>
  <c r="H120" i="1"/>
  <c r="H78" i="1"/>
  <c r="H57" i="1"/>
  <c r="K57" i="1" s="1"/>
  <c r="H1225" i="1"/>
  <c r="H1197" i="1"/>
  <c r="H1176" i="1"/>
  <c r="H1134" i="1"/>
  <c r="H1106" i="1"/>
  <c r="K1106" i="1" s="1"/>
  <c r="H1078" i="1"/>
  <c r="H1057" i="1"/>
  <c r="H1036" i="1"/>
  <c r="K1036" i="1" s="1"/>
  <c r="H1015" i="1"/>
  <c r="K1015" i="1" s="1"/>
  <c r="H994" i="1"/>
  <c r="H973" i="1"/>
  <c r="H952" i="1"/>
  <c r="H924" i="1"/>
  <c r="H903" i="1"/>
  <c r="H882" i="1"/>
  <c r="H854" i="1"/>
  <c r="H833" i="1"/>
  <c r="H812" i="1"/>
  <c r="K812" i="1" s="1"/>
  <c r="H791" i="1"/>
  <c r="H770" i="1"/>
  <c r="H742" i="1"/>
  <c r="K742" i="1" s="1"/>
  <c r="H721" i="1"/>
  <c r="H700" i="1"/>
  <c r="K700" i="1" s="1"/>
  <c r="H679" i="1"/>
  <c r="H658" i="1"/>
  <c r="H637" i="1"/>
  <c r="H609" i="1"/>
  <c r="H588" i="1"/>
  <c r="H567" i="1"/>
  <c r="H546" i="1"/>
  <c r="H525" i="1"/>
  <c r="H497" i="1"/>
  <c r="H476" i="1"/>
  <c r="K476" i="1" s="1"/>
  <c r="H448" i="1"/>
  <c r="H427" i="1"/>
  <c r="H406" i="1"/>
  <c r="H378" i="1"/>
  <c r="K378" i="1" s="1"/>
  <c r="H364" i="1"/>
  <c r="H343" i="1"/>
  <c r="H329" i="1"/>
  <c r="H315" i="1"/>
  <c r="H294" i="1"/>
  <c r="H280" i="1"/>
  <c r="K280" i="1" s="1"/>
  <c r="H266" i="1"/>
  <c r="K266" i="1" s="1"/>
  <c r="H245" i="1"/>
  <c r="H203" i="1"/>
  <c r="H1246" i="1"/>
  <c r="K1246" i="1" s="1"/>
  <c r="H1218" i="1"/>
  <c r="H1190" i="1"/>
  <c r="K1190" i="1" s="1"/>
  <c r="H1169" i="1"/>
  <c r="H1141" i="1"/>
  <c r="K1141" i="1" s="1"/>
  <c r="H1120" i="1"/>
  <c r="H1113" i="1"/>
  <c r="H1092" i="1"/>
  <c r="H1064" i="1"/>
  <c r="H1043" i="1"/>
  <c r="H1022" i="1"/>
  <c r="H1001" i="1"/>
  <c r="H980" i="1"/>
  <c r="H959" i="1"/>
  <c r="H931" i="1"/>
  <c r="K931" i="1" s="1"/>
  <c r="H910" i="1"/>
  <c r="K910" i="1" s="1"/>
  <c r="H896" i="1"/>
  <c r="H875" i="1"/>
  <c r="H861" i="1"/>
  <c r="H840" i="1"/>
  <c r="K840" i="1" s="1"/>
  <c r="H819" i="1"/>
  <c r="H798" i="1"/>
  <c r="H777" i="1"/>
  <c r="H756" i="1"/>
  <c r="H728" i="1"/>
  <c r="H707" i="1"/>
  <c r="H686" i="1"/>
  <c r="H665" i="1"/>
  <c r="H644" i="1"/>
  <c r="K644" i="1" s="1"/>
  <c r="H616" i="1"/>
  <c r="K616" i="1" s="1"/>
  <c r="H560" i="1"/>
  <c r="H539" i="1"/>
  <c r="K539" i="1" s="1"/>
  <c r="H518" i="1"/>
  <c r="K518" i="1" s="1"/>
  <c r="H490" i="1"/>
  <c r="H469" i="1"/>
  <c r="H441" i="1"/>
  <c r="H420" i="1"/>
  <c r="H399" i="1"/>
  <c r="H392" i="1"/>
  <c r="H371" i="1"/>
  <c r="H350" i="1"/>
  <c r="K350" i="1" s="1"/>
  <c r="H336" i="1"/>
  <c r="H322" i="1"/>
  <c r="H301" i="1"/>
  <c r="H287" i="1"/>
  <c r="H273" i="1"/>
  <c r="K273" i="1" s="1"/>
  <c r="H259" i="1"/>
  <c r="H252" i="1"/>
  <c r="H238" i="1"/>
  <c r="H224" i="1"/>
  <c r="H217" i="1"/>
  <c r="H196" i="1"/>
  <c r="H189" i="1"/>
  <c r="M1204" i="1"/>
  <c r="Q1205" i="1" s="1"/>
  <c r="M784" i="1"/>
  <c r="Q785" i="1" s="1"/>
  <c r="M504" i="1"/>
  <c r="Q505" i="1" s="1"/>
  <c r="H671" i="1"/>
  <c r="K671" i="1" s="1"/>
  <c r="H664" i="1"/>
  <c r="K664" i="1" s="1"/>
  <c r="H1239" i="1"/>
  <c r="H1211" i="1"/>
  <c r="H1162" i="1"/>
  <c r="H1085" i="1"/>
  <c r="H938" i="1"/>
  <c r="K938" i="1" s="1"/>
  <c r="H455" i="1"/>
  <c r="H1232" i="1"/>
  <c r="H1183" i="1"/>
  <c r="H1148" i="1"/>
  <c r="H1127" i="1"/>
  <c r="K1127" i="1" s="1"/>
  <c r="H1099" i="1"/>
  <c r="H1071" i="1"/>
  <c r="H1050" i="1"/>
  <c r="H1029" i="1"/>
  <c r="H1008" i="1"/>
  <c r="K1008" i="1" s="1"/>
  <c r="H966" i="1"/>
  <c r="H917" i="1"/>
  <c r="K917" i="1" s="1"/>
  <c r="H889" i="1"/>
  <c r="H826" i="1"/>
  <c r="H805" i="1"/>
  <c r="H784" i="1"/>
  <c r="H763" i="1"/>
  <c r="H749" i="1"/>
  <c r="K749" i="1" s="1"/>
  <c r="H693" i="1"/>
  <c r="H672" i="1"/>
  <c r="H651" i="1"/>
  <c r="K651" i="1" s="1"/>
  <c r="H623" i="1"/>
  <c r="K623" i="1" s="1"/>
  <c r="H595" i="1"/>
  <c r="H574" i="1"/>
  <c r="H553" i="1"/>
  <c r="H532" i="1"/>
  <c r="H504" i="1"/>
  <c r="H483" i="1"/>
  <c r="H462" i="1"/>
  <c r="H434" i="1"/>
  <c r="H413" i="1"/>
  <c r="H308" i="1"/>
  <c r="H210" i="1"/>
  <c r="M518" i="1"/>
  <c r="Q519" i="1" s="1"/>
  <c r="H1256" i="1"/>
  <c r="H1249" i="1"/>
  <c r="H1235" i="1"/>
  <c r="K1235" i="1" s="1"/>
  <c r="H1228" i="1"/>
  <c r="K1228" i="1" s="1"/>
  <c r="H1207" i="1"/>
  <c r="H1193" i="1"/>
  <c r="K1193" i="1" s="1"/>
  <c r="H1186" i="1"/>
  <c r="H1179" i="1"/>
  <c r="H1172" i="1"/>
  <c r="H1165" i="1"/>
  <c r="H1158" i="1"/>
  <c r="H1151" i="1"/>
  <c r="H1144" i="1"/>
  <c r="H1137" i="1"/>
  <c r="H1130" i="1"/>
  <c r="H1123" i="1"/>
  <c r="H1116" i="1"/>
  <c r="H1109" i="1"/>
  <c r="H1102" i="1"/>
  <c r="H1088" i="1"/>
  <c r="H1081" i="1"/>
  <c r="H1074" i="1"/>
  <c r="H1067" i="1"/>
  <c r="H1060" i="1"/>
  <c r="H1053" i="1"/>
  <c r="H1046" i="1"/>
  <c r="H1039" i="1"/>
  <c r="H1032" i="1"/>
  <c r="K1032" i="1" s="1"/>
  <c r="H1018" i="1"/>
  <c r="H1011" i="1"/>
  <c r="H1004" i="1"/>
  <c r="H997" i="1"/>
  <c r="H990" i="1"/>
  <c r="H983" i="1"/>
  <c r="K983" i="1" s="1"/>
  <c r="H976" i="1"/>
  <c r="H969" i="1"/>
  <c r="H955" i="1"/>
  <c r="H948" i="1"/>
  <c r="H941" i="1"/>
  <c r="H934" i="1"/>
  <c r="H920" i="1"/>
  <c r="H913" i="1"/>
  <c r="K913" i="1" s="1"/>
  <c r="H899" i="1"/>
  <c r="H892" i="1"/>
  <c r="H885" i="1"/>
  <c r="H871" i="1"/>
  <c r="H864" i="1"/>
  <c r="H857" i="1"/>
  <c r="H850" i="1"/>
  <c r="H843" i="1"/>
  <c r="H836" i="1"/>
  <c r="H829" i="1"/>
  <c r="H822" i="1"/>
  <c r="H815" i="1"/>
  <c r="H808" i="1"/>
  <c r="H801" i="1"/>
  <c r="H794" i="1"/>
  <c r="H787" i="1"/>
  <c r="H780" i="1"/>
  <c r="K780" i="1" s="1"/>
  <c r="H766" i="1"/>
  <c r="H759" i="1"/>
  <c r="K759" i="1" s="1"/>
  <c r="H752" i="1"/>
  <c r="I1255" i="1"/>
  <c r="J1255" i="1" s="1"/>
  <c r="I1248" i="1"/>
  <c r="J1248" i="1" s="1"/>
  <c r="I1234" i="1"/>
  <c r="J1234" i="1" s="1"/>
  <c r="I1227" i="1"/>
  <c r="I1213" i="1"/>
  <c r="I1206" i="1"/>
  <c r="I1199" i="1"/>
  <c r="I1192" i="1"/>
  <c r="I1185" i="1"/>
  <c r="I1178" i="1"/>
  <c r="J1178" i="1" s="1"/>
  <c r="I1171" i="1"/>
  <c r="I1164" i="1"/>
  <c r="I1157" i="1"/>
  <c r="J1157" i="1" s="1"/>
  <c r="I1150" i="1"/>
  <c r="J1150" i="1" s="1"/>
  <c r="I1129" i="1"/>
  <c r="I1122" i="1"/>
  <c r="I1115" i="1"/>
  <c r="I1108" i="1"/>
  <c r="I1094" i="1"/>
  <c r="I1087" i="1"/>
  <c r="I1080" i="1"/>
  <c r="I1073" i="1"/>
  <c r="I1066" i="1"/>
  <c r="I1059" i="1"/>
  <c r="I1052" i="1"/>
  <c r="I1045" i="1"/>
  <c r="J1045" i="1" s="1"/>
  <c r="I1031" i="1"/>
  <c r="J1031" i="1" s="1"/>
  <c r="I1017" i="1"/>
  <c r="J1017" i="1" s="1"/>
  <c r="I1010" i="1"/>
  <c r="J1010" i="1" s="1"/>
  <c r="I1003" i="1"/>
  <c r="I996" i="1"/>
  <c r="I989" i="1"/>
  <c r="I982" i="1"/>
  <c r="I968" i="1"/>
  <c r="I961" i="1"/>
  <c r="I954" i="1"/>
  <c r="I947" i="1"/>
  <c r="I933" i="1"/>
  <c r="J933" i="1" s="1"/>
  <c r="I926" i="1"/>
  <c r="J926" i="1" s="1"/>
  <c r="I898" i="1"/>
  <c r="I891" i="1"/>
  <c r="I884" i="1"/>
  <c r="J884" i="1" s="1"/>
  <c r="I877" i="1"/>
  <c r="I863" i="1"/>
  <c r="I849" i="1"/>
  <c r="I842" i="1"/>
  <c r="I835" i="1"/>
  <c r="I828" i="1"/>
  <c r="J828" i="1" s="1"/>
  <c r="I821" i="1"/>
  <c r="I807" i="1"/>
  <c r="I793" i="1"/>
  <c r="I786" i="1"/>
  <c r="J786" i="1" s="1"/>
  <c r="I779" i="1"/>
  <c r="J779" i="1" s="1"/>
  <c r="I772" i="1"/>
  <c r="J772" i="1" s="1"/>
  <c r="I765" i="1"/>
  <c r="I758" i="1"/>
  <c r="I751" i="1"/>
  <c r="I744" i="1"/>
  <c r="I737" i="1"/>
  <c r="I730" i="1"/>
  <c r="I723" i="1"/>
  <c r="I709" i="1"/>
  <c r="I695" i="1"/>
  <c r="I688" i="1"/>
  <c r="I681" i="1"/>
  <c r="I674" i="1"/>
  <c r="I667" i="1"/>
  <c r="J667" i="1" s="1"/>
  <c r="I660" i="1"/>
  <c r="J660" i="1" s="1"/>
  <c r="I653" i="1"/>
  <c r="I646" i="1"/>
  <c r="I639" i="1"/>
  <c r="I632" i="1"/>
  <c r="I625" i="1"/>
  <c r="I618" i="1"/>
  <c r="I611" i="1"/>
  <c r="I604" i="1"/>
  <c r="J604" i="1" s="1"/>
  <c r="I597" i="1"/>
  <c r="I590" i="1"/>
  <c r="I583" i="1"/>
  <c r="I576" i="1"/>
  <c r="I569" i="1"/>
  <c r="I555" i="1"/>
  <c r="I548" i="1"/>
  <c r="J548" i="1" s="1"/>
  <c r="I541" i="1"/>
  <c r="J541" i="1" s="1"/>
  <c r="I527" i="1"/>
  <c r="I520" i="1"/>
  <c r="I513" i="1"/>
  <c r="I506" i="1"/>
  <c r="I499" i="1"/>
  <c r="I492" i="1"/>
  <c r="I485" i="1"/>
  <c r="I478" i="1"/>
  <c r="I471" i="1"/>
  <c r="I464" i="1"/>
  <c r="I457" i="1"/>
  <c r="I450" i="1"/>
  <c r="I443" i="1"/>
  <c r="J443" i="1" s="1"/>
  <c r="I436" i="1"/>
  <c r="J436" i="1" s="1"/>
  <c r="I422" i="1"/>
  <c r="I394" i="1"/>
  <c r="I345" i="1"/>
  <c r="I338" i="1"/>
  <c r="I415" i="1"/>
  <c r="I408" i="1"/>
  <c r="I401" i="1"/>
  <c r="I387" i="1"/>
  <c r="J387" i="1" s="1"/>
  <c r="I380" i="1"/>
  <c r="I373" i="1"/>
  <c r="J373" i="1" s="1"/>
  <c r="I366" i="1"/>
  <c r="J366" i="1" s="1"/>
  <c r="I359" i="1"/>
  <c r="I352" i="1"/>
  <c r="I331" i="1"/>
  <c r="J331" i="1" s="1"/>
  <c r="I324" i="1"/>
  <c r="I317" i="1"/>
  <c r="I310" i="1"/>
  <c r="I303" i="1"/>
  <c r="I261" i="1"/>
  <c r="I254" i="1"/>
  <c r="H954" i="1"/>
  <c r="H912" i="1"/>
  <c r="K912" i="1" s="1"/>
  <c r="H905" i="1"/>
  <c r="H898" i="1"/>
  <c r="H891" i="1"/>
  <c r="H884" i="1"/>
  <c r="H870" i="1"/>
  <c r="K870" i="1" s="1"/>
  <c r="H863" i="1"/>
  <c r="H856" i="1"/>
  <c r="H842" i="1"/>
  <c r="H835" i="1"/>
  <c r="H828" i="1"/>
  <c r="H821" i="1"/>
  <c r="H807" i="1"/>
  <c r="H793" i="1"/>
  <c r="H786" i="1"/>
  <c r="H765" i="1"/>
  <c r="H758" i="1"/>
  <c r="H744" i="1"/>
  <c r="H737" i="1"/>
  <c r="H730" i="1"/>
  <c r="K730" i="1" s="1"/>
  <c r="H723" i="1"/>
  <c r="K723" i="1" s="1"/>
  <c r="H716" i="1"/>
  <c r="H695" i="1"/>
  <c r="H674" i="1"/>
  <c r="H667" i="1"/>
  <c r="H660" i="1"/>
  <c r="H653" i="1"/>
  <c r="H646" i="1"/>
  <c r="H639" i="1"/>
  <c r="H632" i="1"/>
  <c r="H625" i="1"/>
  <c r="H618" i="1"/>
  <c r="K618" i="1" s="1"/>
  <c r="H611" i="1"/>
  <c r="K611" i="1" s="1"/>
  <c r="H597" i="1"/>
  <c r="H583" i="1"/>
  <c r="H576" i="1"/>
  <c r="H569" i="1"/>
  <c r="H555" i="1"/>
  <c r="H548" i="1"/>
  <c r="H541" i="1"/>
  <c r="H527" i="1"/>
  <c r="H520" i="1"/>
  <c r="H513" i="1"/>
  <c r="H506" i="1"/>
  <c r="K506" i="1" s="1"/>
  <c r="H499" i="1"/>
  <c r="K499" i="1" s="1"/>
  <c r="H492" i="1"/>
  <c r="H485" i="1"/>
  <c r="H478" i="1"/>
  <c r="H471" i="1"/>
  <c r="H464" i="1"/>
  <c r="H457" i="1"/>
  <c r="H450" i="1"/>
  <c r="H443" i="1"/>
  <c r="H436" i="1"/>
  <c r="H429" i="1"/>
  <c r="H422" i="1"/>
  <c r="H408" i="1"/>
  <c r="H373" i="1"/>
  <c r="H317" i="1"/>
  <c r="H226" i="1"/>
  <c r="H219" i="1"/>
  <c r="H163" i="1"/>
  <c r="I1247" i="1"/>
  <c r="I1240" i="1"/>
  <c r="I1233" i="1"/>
  <c r="I1226" i="1"/>
  <c r="I1219" i="1"/>
  <c r="I1205" i="1"/>
  <c r="I1198" i="1"/>
  <c r="I1191" i="1"/>
  <c r="I1170" i="1"/>
  <c r="I1156" i="1"/>
  <c r="I1149" i="1"/>
  <c r="I1142" i="1"/>
  <c r="I1135" i="1"/>
  <c r="I1100" i="1"/>
  <c r="I1093" i="1"/>
  <c r="J1093" i="1" s="1"/>
  <c r="I1058" i="1"/>
  <c r="I1051" i="1"/>
  <c r="I1023" i="1"/>
  <c r="I932" i="1"/>
  <c r="I897" i="1"/>
  <c r="I792" i="1"/>
  <c r="I498" i="1"/>
  <c r="M844" i="1"/>
  <c r="H1245" i="1"/>
  <c r="K1245" i="1" s="1"/>
  <c r="H1231" i="1"/>
  <c r="H1217" i="1"/>
  <c r="H1210" i="1"/>
  <c r="H1196" i="1"/>
  <c r="H1189" i="1"/>
  <c r="H1175" i="1"/>
  <c r="K1175" i="1" s="1"/>
  <c r="H1168" i="1"/>
  <c r="H1154" i="1"/>
  <c r="H1147" i="1"/>
  <c r="H1133" i="1"/>
  <c r="H1119" i="1"/>
  <c r="H1105" i="1"/>
  <c r="H1091" i="1"/>
  <c r="H1077" i="1"/>
  <c r="H1063" i="1"/>
  <c r="K1063" i="1" s="1"/>
  <c r="H1049" i="1"/>
  <c r="K1049" i="1" s="1"/>
  <c r="H1035" i="1"/>
  <c r="H1021" i="1"/>
  <c r="K1021" i="1" s="1"/>
  <c r="H1007" i="1"/>
  <c r="H993" i="1"/>
  <c r="H979" i="1"/>
  <c r="K979" i="1" s="1"/>
  <c r="H965" i="1"/>
  <c r="H951" i="1"/>
  <c r="H937" i="1"/>
  <c r="H923" i="1"/>
  <c r="H909" i="1"/>
  <c r="H902" i="1"/>
  <c r="H888" i="1"/>
  <c r="K888" i="1" s="1"/>
  <c r="H881" i="1"/>
  <c r="K881" i="1" s="1"/>
  <c r="H867" i="1"/>
  <c r="H853" i="1"/>
  <c r="K853" i="1" s="1"/>
  <c r="H839" i="1"/>
  <c r="H825" i="1"/>
  <c r="K825" i="1" s="1"/>
  <c r="H811" i="1"/>
  <c r="K811" i="1" s="1"/>
  <c r="H804" i="1"/>
  <c r="H790" i="1"/>
  <c r="K790" i="1" s="1"/>
  <c r="H776" i="1"/>
  <c r="H762" i="1"/>
  <c r="H748" i="1"/>
  <c r="H734" i="1"/>
  <c r="H720" i="1"/>
  <c r="H713" i="1"/>
  <c r="H699" i="1"/>
  <c r="H678" i="1"/>
  <c r="H657" i="1"/>
  <c r="K657" i="1" s="1"/>
  <c r="H643" i="1"/>
  <c r="H629" i="1"/>
  <c r="K629" i="1" s="1"/>
  <c r="H622" i="1"/>
  <c r="H608" i="1"/>
  <c r="H594" i="1"/>
  <c r="K594" i="1" s="1"/>
  <c r="H580" i="1"/>
  <c r="H566" i="1"/>
  <c r="H552" i="1"/>
  <c r="H538" i="1"/>
  <c r="H531" i="1"/>
  <c r="H517" i="1"/>
  <c r="H510" i="1"/>
  <c r="K510" i="1" s="1"/>
  <c r="H496" i="1"/>
  <c r="K496" i="1" s="1"/>
  <c r="H482" i="1"/>
  <c r="H468" i="1"/>
  <c r="H461" i="1"/>
  <c r="H447" i="1"/>
  <c r="K447" i="1" s="1"/>
  <c r="H440" i="1"/>
  <c r="H426" i="1"/>
  <c r="H412" i="1"/>
  <c r="H405" i="1"/>
  <c r="H391" i="1"/>
  <c r="H377" i="1"/>
  <c r="H356" i="1"/>
  <c r="H335" i="1"/>
  <c r="H321" i="1"/>
  <c r="K321" i="1" s="1"/>
  <c r="H307" i="1"/>
  <c r="H293" i="1"/>
  <c r="K293" i="1" s="1"/>
  <c r="H279" i="1"/>
  <c r="H265" i="1"/>
  <c r="H251" i="1"/>
  <c r="K251" i="1" s="1"/>
  <c r="H237" i="1"/>
  <c r="H223" i="1"/>
  <c r="H209" i="1"/>
  <c r="H202" i="1"/>
  <c r="H188" i="1"/>
  <c r="H181" i="1"/>
  <c r="H167" i="1"/>
  <c r="H160" i="1"/>
  <c r="H146" i="1"/>
  <c r="K146" i="1" s="1"/>
  <c r="H132" i="1"/>
  <c r="H118" i="1"/>
  <c r="K118" i="1" s="1"/>
  <c r="H104" i="1"/>
  <c r="H90" i="1"/>
  <c r="K90" i="1" s="1"/>
  <c r="H76" i="1"/>
  <c r="K76" i="1" s="1"/>
  <c r="H62" i="1"/>
  <c r="H55" i="1"/>
  <c r="H41" i="1"/>
  <c r="H34" i="1"/>
  <c r="H27" i="1"/>
  <c r="H13" i="1"/>
  <c r="M828" i="1"/>
  <c r="Q829" i="1" s="1"/>
  <c r="H1252" i="1"/>
  <c r="H1238" i="1"/>
  <c r="K1238" i="1" s="1"/>
  <c r="H1224" i="1"/>
  <c r="H1203" i="1"/>
  <c r="H1182" i="1"/>
  <c r="K1182" i="1" s="1"/>
  <c r="H1161" i="1"/>
  <c r="H1140" i="1"/>
  <c r="H1126" i="1"/>
  <c r="H1112" i="1"/>
  <c r="H1098" i="1"/>
  <c r="H1084" i="1"/>
  <c r="K1084" i="1" s="1"/>
  <c r="H1070" i="1"/>
  <c r="K1070" i="1" s="1"/>
  <c r="H1056" i="1"/>
  <c r="H1042" i="1"/>
  <c r="H1028" i="1"/>
  <c r="H1014" i="1"/>
  <c r="H1000" i="1"/>
  <c r="H986" i="1"/>
  <c r="K986" i="1" s="1"/>
  <c r="H972" i="1"/>
  <c r="H958" i="1"/>
  <c r="K958" i="1" s="1"/>
  <c r="H944" i="1"/>
  <c r="H930" i="1"/>
  <c r="H916" i="1"/>
  <c r="H895" i="1"/>
  <c r="H874" i="1"/>
  <c r="H860" i="1"/>
  <c r="H846" i="1"/>
  <c r="H832" i="1"/>
  <c r="H818" i="1"/>
  <c r="H797" i="1"/>
  <c r="H783" i="1"/>
  <c r="K783" i="1" s="1"/>
  <c r="H769" i="1"/>
  <c r="H755" i="1"/>
  <c r="K755" i="1" s="1"/>
  <c r="H741" i="1"/>
  <c r="K741" i="1" s="1"/>
  <c r="H727" i="1"/>
  <c r="H706" i="1"/>
  <c r="H692" i="1"/>
  <c r="K692" i="1" s="1"/>
  <c r="H685" i="1"/>
  <c r="H636" i="1"/>
  <c r="H615" i="1"/>
  <c r="H601" i="1"/>
  <c r="H587" i="1"/>
  <c r="H573" i="1"/>
  <c r="H559" i="1"/>
  <c r="H545" i="1"/>
  <c r="K545" i="1" s="1"/>
  <c r="H524" i="1"/>
  <c r="H503" i="1"/>
  <c r="H489" i="1"/>
  <c r="K489" i="1" s="1"/>
  <c r="H475" i="1"/>
  <c r="H454" i="1"/>
  <c r="H433" i="1"/>
  <c r="H419" i="1"/>
  <c r="H398" i="1"/>
  <c r="H384" i="1"/>
  <c r="H370" i="1"/>
  <c r="H363" i="1"/>
  <c r="H349" i="1"/>
  <c r="K349" i="1" s="1"/>
  <c r="H342" i="1"/>
  <c r="K342" i="1" s="1"/>
  <c r="H328" i="1"/>
  <c r="H314" i="1"/>
  <c r="K314" i="1" s="1"/>
  <c r="H300" i="1"/>
  <c r="H286" i="1"/>
  <c r="K286" i="1" s="1"/>
  <c r="H272" i="1"/>
  <c r="K272" i="1" s="1"/>
  <c r="H258" i="1"/>
  <c r="H244" i="1"/>
  <c r="H230" i="1"/>
  <c r="H216" i="1"/>
  <c r="H195" i="1"/>
  <c r="H174" i="1"/>
  <c r="H153" i="1"/>
  <c r="K153" i="1" s="1"/>
  <c r="H139" i="1"/>
  <c r="H125" i="1"/>
  <c r="K125" i="1" s="1"/>
  <c r="H111" i="1"/>
  <c r="H97" i="1"/>
  <c r="K97" i="1" s="1"/>
  <c r="H83" i="1"/>
  <c r="H69" i="1"/>
  <c r="H48" i="1"/>
  <c r="K48" i="1" s="1"/>
  <c r="H20" i="1"/>
  <c r="M1206" i="1"/>
  <c r="Q1207" i="1" s="1"/>
  <c r="I4" i="1"/>
  <c r="H5" i="1"/>
  <c r="I296" i="1"/>
  <c r="I289" i="1"/>
  <c r="I282" i="1"/>
  <c r="I275" i="1"/>
  <c r="J275" i="1" s="1"/>
  <c r="I268" i="1"/>
  <c r="J268" i="1" s="1"/>
  <c r="I247" i="1"/>
  <c r="I240" i="1"/>
  <c r="I233" i="1"/>
  <c r="I226" i="1"/>
  <c r="J226" i="1" s="1"/>
  <c r="I219" i="1"/>
  <c r="I205" i="1"/>
  <c r="I198" i="1"/>
  <c r="I191" i="1"/>
  <c r="I184" i="1"/>
  <c r="I177" i="1"/>
  <c r="I170" i="1"/>
  <c r="I163" i="1"/>
  <c r="H380" i="1"/>
  <c r="K380" i="1" s="1"/>
  <c r="H359" i="1"/>
  <c r="H352" i="1"/>
  <c r="H345" i="1"/>
  <c r="H324" i="1"/>
  <c r="H310" i="1"/>
  <c r="H296" i="1"/>
  <c r="H289" i="1"/>
  <c r="H282" i="1"/>
  <c r="H275" i="1"/>
  <c r="H268" i="1"/>
  <c r="H261" i="1"/>
  <c r="H247" i="1"/>
  <c r="H240" i="1"/>
  <c r="H233" i="1"/>
  <c r="H212" i="1"/>
  <c r="H198" i="1"/>
  <c r="H184" i="1"/>
  <c r="H177" i="1"/>
  <c r="H170" i="1"/>
  <c r="H156" i="1"/>
  <c r="H149" i="1"/>
  <c r="H142" i="1"/>
  <c r="I1228" i="1"/>
  <c r="I1179" i="1"/>
  <c r="I1172" i="1"/>
  <c r="I1165" i="1"/>
  <c r="J1165" i="1" s="1"/>
  <c r="I1151" i="1"/>
  <c r="I1102" i="1"/>
  <c r="I1081" i="1"/>
  <c r="I1074" i="1"/>
  <c r="I1067" i="1"/>
  <c r="I1018" i="1"/>
  <c r="I1011" i="1"/>
  <c r="I1004" i="1"/>
  <c r="I976" i="1"/>
  <c r="I969" i="1"/>
  <c r="J969" i="1" s="1"/>
  <c r="I955" i="1"/>
  <c r="I948" i="1"/>
  <c r="I920" i="1"/>
  <c r="I906" i="1"/>
  <c r="I899" i="1"/>
  <c r="I885" i="1"/>
  <c r="I878" i="1"/>
  <c r="I871" i="1"/>
  <c r="I864" i="1"/>
  <c r="I850" i="1"/>
  <c r="I822" i="1"/>
  <c r="J822" i="1" s="1"/>
  <c r="I815" i="1"/>
  <c r="I808" i="1"/>
  <c r="I787" i="1"/>
  <c r="I780" i="1"/>
  <c r="I766" i="1"/>
  <c r="I752" i="1"/>
  <c r="I738" i="1"/>
  <c r="J738" i="1" s="1"/>
  <c r="I724" i="1"/>
  <c r="J724" i="1" s="1"/>
  <c r="I717" i="1"/>
  <c r="J717" i="1" s="1"/>
  <c r="I710" i="1"/>
  <c r="J710" i="1" s="1"/>
  <c r="I696" i="1"/>
  <c r="I682" i="1"/>
  <c r="I675" i="1"/>
  <c r="I668" i="1"/>
  <c r="I661" i="1"/>
  <c r="I647" i="1"/>
  <c r="I633" i="1"/>
  <c r="I626" i="1"/>
  <c r="I605" i="1"/>
  <c r="I598" i="1"/>
  <c r="I584" i="1"/>
  <c r="I570" i="1"/>
  <c r="I535" i="1"/>
  <c r="I528" i="1"/>
  <c r="J528" i="1" s="1"/>
  <c r="I500" i="1"/>
  <c r="I493" i="1"/>
  <c r="I479" i="1"/>
  <c r="J479" i="1" s="1"/>
  <c r="I472" i="1"/>
  <c r="I465" i="1"/>
  <c r="I451" i="1"/>
  <c r="I437" i="1"/>
  <c r="I430" i="1"/>
  <c r="I423" i="1"/>
  <c r="I409" i="1"/>
  <c r="I402" i="1"/>
  <c r="I388" i="1"/>
  <c r="J388" i="1" s="1"/>
  <c r="I381" i="1"/>
  <c r="I374" i="1"/>
  <c r="J374" i="1" s="1"/>
  <c r="I367" i="1"/>
  <c r="I360" i="1"/>
  <c r="I353" i="1"/>
  <c r="J353" i="1" s="1"/>
  <c r="I346" i="1"/>
  <c r="I332" i="1"/>
  <c r="I318" i="1"/>
  <c r="I311" i="1"/>
  <c r="I297" i="1"/>
  <c r="I290" i="1"/>
  <c r="J290" i="1" s="1"/>
  <c r="I276" i="1"/>
  <c r="J276" i="1" s="1"/>
  <c r="I269" i="1"/>
  <c r="J269" i="1" s="1"/>
  <c r="I255" i="1"/>
  <c r="I234" i="1"/>
  <c r="I220" i="1"/>
  <c r="I213" i="1"/>
  <c r="I199" i="1"/>
  <c r="I192" i="1"/>
  <c r="I178" i="1"/>
  <c r="J178" i="1" s="1"/>
  <c r="I171" i="1"/>
  <c r="I164" i="1"/>
  <c r="I157" i="1"/>
  <c r="I150" i="1"/>
  <c r="I143" i="1"/>
  <c r="I122" i="1"/>
  <c r="I115" i="1"/>
  <c r="I101" i="1"/>
  <c r="I94" i="1"/>
  <c r="I87" i="1"/>
  <c r="J87" i="1" s="1"/>
  <c r="I80" i="1"/>
  <c r="J80" i="1" s="1"/>
  <c r="I73" i="1"/>
  <c r="I66" i="1"/>
  <c r="I59" i="1"/>
  <c r="J59" i="1" s="1"/>
  <c r="I45" i="1"/>
  <c r="I38" i="1"/>
  <c r="I10" i="1"/>
  <c r="I1044" i="1"/>
  <c r="I1037" i="1"/>
  <c r="I1016" i="1"/>
  <c r="J1016" i="1" s="1"/>
  <c r="I1002" i="1"/>
  <c r="I988" i="1"/>
  <c r="I953" i="1"/>
  <c r="J953" i="1" s="1"/>
  <c r="I939" i="1"/>
  <c r="I918" i="1"/>
  <c r="I890" i="1"/>
  <c r="I841" i="1"/>
  <c r="I834" i="1"/>
  <c r="I820" i="1"/>
  <c r="I813" i="1"/>
  <c r="I806" i="1"/>
  <c r="I778" i="1"/>
  <c r="I757" i="1"/>
  <c r="I729" i="1"/>
  <c r="I708" i="1"/>
  <c r="I694" i="1"/>
  <c r="I680" i="1"/>
  <c r="I659" i="1"/>
  <c r="J659" i="1" s="1"/>
  <c r="I645" i="1"/>
  <c r="I638" i="1"/>
  <c r="J638" i="1" s="1"/>
  <c r="I631" i="1"/>
  <c r="I624" i="1"/>
  <c r="I610" i="1"/>
  <c r="I596" i="1"/>
  <c r="I589" i="1"/>
  <c r="I568" i="1"/>
  <c r="I561" i="1"/>
  <c r="I554" i="1"/>
  <c r="I540" i="1"/>
  <c r="I533" i="1"/>
  <c r="I512" i="1"/>
  <c r="I505" i="1"/>
  <c r="I491" i="1"/>
  <c r="J491" i="1" s="1"/>
  <c r="I484" i="1"/>
  <c r="I477" i="1"/>
  <c r="I463" i="1"/>
  <c r="I456" i="1"/>
  <c r="I442" i="1"/>
  <c r="I435" i="1"/>
  <c r="I428" i="1"/>
  <c r="I421" i="1"/>
  <c r="I414" i="1"/>
  <c r="I407" i="1"/>
  <c r="I400" i="1"/>
  <c r="I393" i="1"/>
  <c r="I386" i="1"/>
  <c r="I379" i="1"/>
  <c r="I372" i="1"/>
  <c r="I358" i="1"/>
  <c r="J358" i="1" s="1"/>
  <c r="I351" i="1"/>
  <c r="J351" i="1" s="1"/>
  <c r="I344" i="1"/>
  <c r="J344" i="1" s="1"/>
  <c r="I323" i="1"/>
  <c r="I302" i="1"/>
  <c r="I281" i="1"/>
  <c r="I246" i="1"/>
  <c r="I232" i="1"/>
  <c r="I218" i="1"/>
  <c r="I197" i="1"/>
  <c r="I169" i="1"/>
  <c r="I162" i="1"/>
  <c r="I155" i="1"/>
  <c r="I148" i="1"/>
  <c r="I141" i="1"/>
  <c r="I127" i="1"/>
  <c r="I120" i="1"/>
  <c r="I92" i="1"/>
  <c r="I85" i="1"/>
  <c r="I71" i="1"/>
  <c r="J71" i="1" s="1"/>
  <c r="I64" i="1"/>
  <c r="I50" i="1"/>
  <c r="I36" i="1"/>
  <c r="I29" i="1"/>
  <c r="I8" i="1"/>
  <c r="H1044" i="1"/>
  <c r="K1044" i="1" s="1"/>
  <c r="H1037" i="1"/>
  <c r="H1009" i="1"/>
  <c r="H988" i="1"/>
  <c r="H981" i="1"/>
  <c r="K981" i="1" s="1"/>
  <c r="H939" i="1"/>
  <c r="H932" i="1"/>
  <c r="H911" i="1"/>
  <c r="H897" i="1"/>
  <c r="H890" i="1"/>
  <c r="H855" i="1"/>
  <c r="H834" i="1"/>
  <c r="H827" i="1"/>
  <c r="H813" i="1"/>
  <c r="H806" i="1"/>
  <c r="H778" i="1"/>
  <c r="K778" i="1" s="1"/>
  <c r="H771" i="1"/>
  <c r="H736" i="1"/>
  <c r="H729" i="1"/>
  <c r="H715" i="1"/>
  <c r="K715" i="1" s="1"/>
  <c r="H708" i="1"/>
  <c r="H687" i="1"/>
  <c r="H673" i="1"/>
  <c r="H659" i="1"/>
  <c r="H631" i="1"/>
  <c r="H624" i="1"/>
  <c r="H617" i="1"/>
  <c r="K617" i="1" s="1"/>
  <c r="H610" i="1"/>
  <c r="H603" i="1"/>
  <c r="K603" i="1" s="1"/>
  <c r="H589" i="1"/>
  <c r="H561" i="1"/>
  <c r="H540" i="1"/>
  <c r="H533" i="1"/>
  <c r="K533" i="1" s="1"/>
  <c r="H519" i="1"/>
  <c r="H512" i="1"/>
  <c r="H505" i="1"/>
  <c r="H491" i="1"/>
  <c r="H484" i="1"/>
  <c r="H470" i="1"/>
  <c r="K470" i="1" s="1"/>
  <c r="H463" i="1"/>
  <c r="H456" i="1"/>
  <c r="H449" i="1"/>
  <c r="H442" i="1"/>
  <c r="H414" i="1"/>
  <c r="H407" i="1"/>
  <c r="H400" i="1"/>
  <c r="H393" i="1"/>
  <c r="H386" i="1"/>
  <c r="H379" i="1"/>
  <c r="H372" i="1"/>
  <c r="H358" i="1"/>
  <c r="H344" i="1"/>
  <c r="H337" i="1"/>
  <c r="H330" i="1"/>
  <c r="H323" i="1"/>
  <c r="H309" i="1"/>
  <c r="K309" i="1" s="1"/>
  <c r="H302" i="1"/>
  <c r="H295" i="1"/>
  <c r="K295" i="1" s="1"/>
  <c r="H281" i="1"/>
  <c r="K281" i="1" s="1"/>
  <c r="H274" i="1"/>
  <c r="H267" i="1"/>
  <c r="K267" i="1" s="1"/>
  <c r="H246" i="1"/>
  <c r="K246" i="1" s="1"/>
  <c r="H232" i="1"/>
  <c r="H218" i="1"/>
  <c r="H211" i="1"/>
  <c r="H204" i="1"/>
  <c r="H197" i="1"/>
  <c r="H190" i="1"/>
  <c r="H183" i="1"/>
  <c r="H176" i="1"/>
  <c r="H169" i="1"/>
  <c r="K169" i="1" s="1"/>
  <c r="H162" i="1"/>
  <c r="H155" i="1"/>
  <c r="H148" i="1"/>
  <c r="H141" i="1"/>
  <c r="K141" i="1" s="1"/>
  <c r="H127" i="1"/>
  <c r="H113" i="1"/>
  <c r="H106" i="1"/>
  <c r="K106" i="1" s="1"/>
  <c r="H85" i="1"/>
  <c r="H64" i="1"/>
  <c r="K64" i="1" s="1"/>
  <c r="H50" i="1"/>
  <c r="K50" i="1" s="1"/>
  <c r="H43" i="1"/>
  <c r="H36" i="1"/>
  <c r="H29" i="1"/>
  <c r="H22" i="1"/>
  <c r="H15" i="1"/>
  <c r="H8" i="1"/>
  <c r="N968" i="1"/>
  <c r="R969" i="1" s="1"/>
  <c r="M467" i="1"/>
  <c r="M938" i="1"/>
  <c r="Q939" i="1" s="1"/>
  <c r="M896" i="1"/>
  <c r="Q897" i="1" s="1"/>
  <c r="M686" i="1"/>
  <c r="Q687" i="1" s="1"/>
  <c r="M224" i="1"/>
  <c r="Q225" i="1" s="1"/>
  <c r="M1210" i="1"/>
  <c r="Q1211" i="1" s="1"/>
  <c r="N1199" i="1"/>
  <c r="R1200" i="1" s="1"/>
  <c r="N1113" i="1"/>
  <c r="R1114" i="1" s="1"/>
  <c r="M986" i="1"/>
  <c r="Q987" i="1" s="1"/>
  <c r="M937" i="1"/>
  <c r="M891" i="1"/>
  <c r="Q892" i="1" s="1"/>
  <c r="N791" i="1"/>
  <c r="R792" i="1" s="1"/>
  <c r="N725" i="1"/>
  <c r="R726" i="1" s="1"/>
  <c r="M97" i="1"/>
  <c r="N1129" i="1"/>
  <c r="R1130" i="1" s="1"/>
  <c r="O950" i="1"/>
  <c r="S950" i="1" s="1"/>
  <c r="N798" i="1"/>
  <c r="R799" i="1" s="1"/>
  <c r="N630" i="1"/>
  <c r="R631" i="1" s="1"/>
  <c r="M349" i="1"/>
  <c r="Q350" i="1" s="1"/>
  <c r="O815" i="1"/>
  <c r="S815" i="1" s="1"/>
  <c r="M1112" i="1"/>
  <c r="Q1113" i="1" s="1"/>
  <c r="M521" i="1"/>
  <c r="Q522" i="1" s="1"/>
  <c r="N381" i="1"/>
  <c r="R382" i="1" s="1"/>
  <c r="N170" i="1"/>
  <c r="R171" i="1" s="1"/>
  <c r="M20" i="1"/>
  <c r="Q21" i="1" s="1"/>
  <c r="N35" i="1"/>
  <c r="R36" i="1" s="1"/>
  <c r="M393" i="1"/>
  <c r="Q394" i="1" s="1"/>
  <c r="N726" i="1"/>
  <c r="R727" i="1" s="1"/>
  <c r="N1203" i="1"/>
  <c r="R1204" i="1" s="1"/>
  <c r="O1110" i="1"/>
  <c r="S1110" i="1" s="1"/>
  <c r="M1053" i="1"/>
  <c r="Q1054" i="1" s="1"/>
  <c r="N560" i="1"/>
  <c r="R561" i="1" s="1"/>
  <c r="N288" i="1"/>
  <c r="R289" i="1" s="1"/>
  <c r="M1051" i="1"/>
  <c r="Q1052" i="1" s="1"/>
  <c r="N804" i="1"/>
  <c r="R805" i="1" s="1"/>
  <c r="M1164" i="1"/>
  <c r="Q1165" i="1" s="1"/>
  <c r="O255" i="1"/>
  <c r="S255" i="1" s="1"/>
  <c r="M731" i="1"/>
  <c r="Q732" i="1" s="1"/>
  <c r="P828" i="1"/>
  <c r="M635" i="1"/>
  <c r="Q636" i="1" s="1"/>
  <c r="O1047" i="1"/>
  <c r="S1047" i="1" s="1"/>
  <c r="O986" i="1"/>
  <c r="S986" i="1" s="1"/>
  <c r="N874" i="1"/>
  <c r="R875" i="1" s="1"/>
  <c r="M734" i="1"/>
  <c r="Q735" i="1" s="1"/>
  <c r="P803" i="1"/>
  <c r="T803" i="1" s="1"/>
  <c r="N482" i="1"/>
  <c r="R483" i="1" s="1"/>
  <c r="M1211" i="1"/>
  <c r="Q1212" i="1" s="1"/>
  <c r="N1044" i="1"/>
  <c r="R1045" i="1" s="1"/>
  <c r="N484" i="1"/>
  <c r="R485" i="1" s="1"/>
  <c r="M793" i="1"/>
  <c r="Q794" i="1" s="1"/>
  <c r="M1190" i="1"/>
  <c r="Q1191" i="1" s="1"/>
  <c r="M1003" i="1"/>
  <c r="Q1004" i="1" s="1"/>
  <c r="M448" i="1"/>
  <c r="Q449" i="1" s="1"/>
  <c r="M163" i="1"/>
  <c r="Q164" i="1" s="1"/>
  <c r="O91" i="1"/>
  <c r="S91" i="1" s="1"/>
  <c r="M400" i="1"/>
  <c r="Q401" i="1" s="1"/>
  <c r="O452" i="1"/>
  <c r="S452" i="1" s="1"/>
  <c r="M619" i="1"/>
  <c r="Q620" i="1" s="1"/>
  <c r="M143" i="1"/>
  <c r="Q144" i="1" s="1"/>
  <c r="N969" i="1"/>
  <c r="O644" i="1"/>
  <c r="S644" i="1" s="1"/>
  <c r="M1052" i="1"/>
  <c r="Q1053" i="1" s="1"/>
  <c r="M954" i="1"/>
  <c r="Q955" i="1" s="1"/>
  <c r="M940" i="1"/>
  <c r="Q941" i="1" s="1"/>
  <c r="P1073" i="1"/>
  <c r="T1073" i="1" s="1"/>
  <c r="M687" i="1"/>
  <c r="Q688" i="1" s="1"/>
  <c r="N654" i="1"/>
  <c r="R655" i="1" s="1"/>
  <c r="M576" i="1"/>
  <c r="M522" i="1"/>
  <c r="Q523" i="1" s="1"/>
  <c r="M1207" i="1"/>
  <c r="Q1208" i="1" s="1"/>
  <c r="M1097" i="1"/>
  <c r="Q1098" i="1" s="1"/>
  <c r="P1138" i="1"/>
  <c r="T1138" i="1" s="1"/>
  <c r="O946" i="1"/>
  <c r="S946" i="1" s="1"/>
  <c r="N697" i="1"/>
  <c r="R698" i="1" s="1"/>
  <c r="M622" i="1"/>
  <c r="Q623" i="1" s="1"/>
  <c r="M451" i="1"/>
  <c r="Q452" i="1" s="1"/>
  <c r="O1220" i="1"/>
  <c r="S1220" i="1" s="1"/>
  <c r="O1106" i="1"/>
  <c r="S1106" i="1" s="1"/>
  <c r="P1010" i="1"/>
  <c r="T1010" i="1" s="1"/>
  <c r="O776" i="1"/>
  <c r="S776" i="1" s="1"/>
  <c r="O502" i="1"/>
  <c r="S502" i="1" s="1"/>
  <c r="O175" i="1"/>
  <c r="S175" i="1" s="1"/>
  <c r="M735" i="1"/>
  <c r="N1207" i="1"/>
  <c r="R1208" i="1" s="1"/>
  <c r="N1144" i="1"/>
  <c r="M1023" i="1"/>
  <c r="Q1024" i="1" s="1"/>
  <c r="O1006" i="1"/>
  <c r="S1006" i="1" s="1"/>
  <c r="N824" i="1"/>
  <c r="R825" i="1" s="1"/>
  <c r="M756" i="1"/>
  <c r="Q757" i="1" s="1"/>
  <c r="M706" i="1"/>
  <c r="Q707" i="1" s="1"/>
  <c r="N658" i="1"/>
  <c r="R659" i="1" s="1"/>
  <c r="N589" i="1"/>
  <c r="R590" i="1" s="1"/>
  <c r="N492" i="1"/>
  <c r="M575" i="1"/>
  <c r="Q576" i="1" s="1"/>
  <c r="N1242" i="1"/>
  <c r="R1243" i="1" s="1"/>
  <c r="M1218" i="1"/>
  <c r="Q1219" i="1" s="1"/>
  <c r="N1214" i="1"/>
  <c r="R1215" i="1" s="1"/>
  <c r="M1176" i="1"/>
  <c r="Q1177" i="1" s="1"/>
  <c r="M1106" i="1"/>
  <c r="Q1107" i="1" s="1"/>
  <c r="M1036" i="1"/>
  <c r="Q1037" i="1" s="1"/>
  <c r="N1018" i="1"/>
  <c r="R1019" i="1" s="1"/>
  <c r="N948" i="1"/>
  <c r="R949" i="1" s="1"/>
  <c r="P1044" i="1"/>
  <c r="T1044" i="1" s="1"/>
  <c r="N850" i="1"/>
  <c r="R851" i="1" s="1"/>
  <c r="M812" i="1"/>
  <c r="Q813" i="1" s="1"/>
  <c r="N808" i="1"/>
  <c r="R809" i="1" s="1"/>
  <c r="O782" i="1"/>
  <c r="S782" i="1" s="1"/>
  <c r="M700" i="1"/>
  <c r="Q701" i="1" s="1"/>
  <c r="M672" i="1"/>
  <c r="Q673" i="1" s="1"/>
  <c r="P680" i="1"/>
  <c r="T680" i="1" s="1"/>
  <c r="O474" i="1"/>
  <c r="S474" i="1" s="1"/>
  <c r="M406" i="1"/>
  <c r="N388" i="1"/>
  <c r="M308" i="1"/>
  <c r="Q309" i="1" s="1"/>
  <c r="O334" i="1"/>
  <c r="S334" i="1" s="1"/>
  <c r="N94" i="1"/>
  <c r="R95" i="1" s="1"/>
  <c r="M56" i="1"/>
  <c r="Q57" i="1" s="1"/>
  <c r="N52" i="1"/>
  <c r="R53" i="1" s="1"/>
  <c r="O54" i="1"/>
  <c r="S54" i="1" s="1"/>
  <c r="P1223" i="1"/>
  <c r="T1223" i="1" s="1"/>
  <c r="O1109" i="1"/>
  <c r="S1109" i="1" s="1"/>
  <c r="P1070" i="1"/>
  <c r="T1070" i="1" s="1"/>
  <c r="M845" i="1"/>
  <c r="Q846" i="1" s="1"/>
  <c r="M1255" i="1"/>
  <c r="Q1256" i="1" s="1"/>
  <c r="N1196" i="1"/>
  <c r="R1197" i="1" s="1"/>
  <c r="M1157" i="1"/>
  <c r="M999" i="1"/>
  <c r="Q1000" i="1" s="1"/>
  <c r="M890" i="1"/>
  <c r="Q891" i="1" s="1"/>
  <c r="M776" i="1"/>
  <c r="Q777" i="1" s="1"/>
  <c r="M732" i="1"/>
  <c r="Q733" i="1" s="1"/>
  <c r="M342" i="1"/>
  <c r="Q343" i="1" s="1"/>
  <c r="N258" i="1"/>
  <c r="R259" i="1" s="1"/>
  <c r="M156" i="1"/>
  <c r="N76" i="1"/>
  <c r="R77" i="1" s="1"/>
  <c r="M450" i="1"/>
  <c r="Q451" i="1" s="1"/>
  <c r="M1094" i="1"/>
  <c r="Q1095" i="1" s="1"/>
  <c r="O1063" i="1"/>
  <c r="S1063" i="1" s="1"/>
  <c r="N938" i="1"/>
  <c r="N870" i="1"/>
  <c r="R871" i="1" s="1"/>
  <c r="N794" i="1"/>
  <c r="R795" i="1" s="1"/>
  <c r="N771" i="1"/>
  <c r="R772" i="1" s="1"/>
  <c r="O707" i="1"/>
  <c r="S707" i="1" s="1"/>
  <c r="O636" i="1"/>
  <c r="S636" i="1" s="1"/>
  <c r="N551" i="1"/>
  <c r="R552" i="1" s="1"/>
  <c r="P520" i="1"/>
  <c r="T520" i="1" s="1"/>
  <c r="O301" i="1"/>
  <c r="S301" i="1" s="1"/>
  <c r="O240" i="1"/>
  <c r="S240" i="1" s="1"/>
  <c r="M1166" i="1"/>
  <c r="Q1167" i="1" s="1"/>
  <c r="O1161" i="1"/>
  <c r="S1161" i="1" s="1"/>
  <c r="M1068" i="1"/>
  <c r="Q1069" i="1" s="1"/>
  <c r="M1008" i="1"/>
  <c r="Q1009" i="1" s="1"/>
  <c r="O997" i="1"/>
  <c r="S997" i="1" s="1"/>
  <c r="N836" i="1"/>
  <c r="R837" i="1" s="1"/>
  <c r="O827" i="1"/>
  <c r="S827" i="1" s="1"/>
  <c r="M749" i="1"/>
  <c r="P848" i="1"/>
  <c r="T848" i="1" s="1"/>
  <c r="M592" i="1"/>
  <c r="M525" i="1"/>
  <c r="Q526" i="1" s="1"/>
  <c r="M1163" i="1"/>
  <c r="Q1164" i="1" s="1"/>
  <c r="P536" i="1"/>
  <c r="T536" i="1" s="1"/>
  <c r="M1143" i="1"/>
  <c r="Q1144" i="1" s="1"/>
  <c r="M842" i="1"/>
  <c r="Q843" i="1" s="1"/>
  <c r="M681" i="1"/>
  <c r="Q682" i="1" s="1"/>
  <c r="M275" i="1"/>
  <c r="Q276" i="1" s="1"/>
  <c r="M214" i="1"/>
  <c r="Q215" i="1" s="1"/>
  <c r="M79" i="1"/>
  <c r="Q80" i="1" s="1"/>
  <c r="N896" i="1"/>
  <c r="R897" i="1" s="1"/>
  <c r="P1240" i="1"/>
  <c r="T1240" i="1" s="1"/>
  <c r="N964" i="1"/>
  <c r="R965" i="1" s="1"/>
  <c r="O930" i="1"/>
  <c r="S930" i="1" s="1"/>
  <c r="N629" i="1"/>
  <c r="R630" i="1" s="1"/>
  <c r="M367" i="1"/>
  <c r="Q368" i="1" s="1"/>
  <c r="N26" i="1"/>
  <c r="R27" i="1" s="1"/>
  <c r="M1224" i="1"/>
  <c r="Q1225" i="1" s="1"/>
  <c r="M1092" i="1"/>
  <c r="Q1093" i="1" s="1"/>
  <c r="N996" i="1"/>
  <c r="R997" i="1" s="1"/>
  <c r="P1090" i="1"/>
  <c r="T1090" i="1" s="1"/>
  <c r="M847" i="1"/>
  <c r="Q848" i="1" s="1"/>
  <c r="M801" i="1"/>
  <c r="Q802" i="1" s="1"/>
  <c r="N729" i="1"/>
  <c r="R730" i="1" s="1"/>
  <c r="M689" i="1"/>
  <c r="Q690" i="1" s="1"/>
  <c r="O648" i="1"/>
  <c r="S648" i="1" s="1"/>
  <c r="N514" i="1"/>
  <c r="R515" i="1" s="1"/>
  <c r="M294" i="1"/>
  <c r="Q295" i="1" s="1"/>
  <c r="N821" i="1"/>
  <c r="R822" i="1" s="1"/>
  <c r="M811" i="1"/>
  <c r="Q812" i="1" s="1"/>
  <c r="O851" i="1"/>
  <c r="S851" i="1" s="1"/>
  <c r="N819" i="1"/>
  <c r="R820" i="1" s="1"/>
  <c r="N820" i="1"/>
  <c r="R821" i="1" s="1"/>
  <c r="N763" i="1"/>
  <c r="R764" i="1" s="1"/>
  <c r="P945" i="1"/>
  <c r="T945" i="1" s="1"/>
  <c r="N765" i="1"/>
  <c r="R766" i="1" s="1"/>
  <c r="O795" i="1"/>
  <c r="S795" i="1" s="1"/>
  <c r="P903" i="1"/>
  <c r="T903" i="1" s="1"/>
  <c r="O753" i="1"/>
  <c r="S753" i="1" s="1"/>
  <c r="N722" i="1"/>
  <c r="R723" i="1" s="1"/>
  <c r="N723" i="1"/>
  <c r="R724" i="1" s="1"/>
  <c r="O739" i="1"/>
  <c r="S739" i="1" s="1"/>
  <c r="N709" i="1"/>
  <c r="R710" i="1" s="1"/>
  <c r="P889" i="1"/>
  <c r="T889" i="1" s="1"/>
  <c r="P887" i="1"/>
  <c r="T887" i="1" s="1"/>
  <c r="P888" i="1"/>
  <c r="T888" i="1" s="1"/>
  <c r="N707" i="1"/>
  <c r="R708" i="1" s="1"/>
  <c r="M699" i="1"/>
  <c r="Q700" i="1" s="1"/>
  <c r="N708" i="1"/>
  <c r="R709" i="1" s="1"/>
  <c r="P861" i="1"/>
  <c r="M671" i="1"/>
  <c r="Q672" i="1" s="1"/>
  <c r="P859" i="1"/>
  <c r="T859" i="1" s="1"/>
  <c r="N680" i="1"/>
  <c r="R681" i="1" s="1"/>
  <c r="N681" i="1"/>
  <c r="R682" i="1" s="1"/>
  <c r="P833" i="1"/>
  <c r="P831" i="1"/>
  <c r="T831" i="1" s="1"/>
  <c r="N653" i="1"/>
  <c r="R654" i="1" s="1"/>
  <c r="P832" i="1"/>
  <c r="O683" i="1"/>
  <c r="S683" i="1" s="1"/>
  <c r="P777" i="1"/>
  <c r="T777" i="1" s="1"/>
  <c r="O627" i="1"/>
  <c r="S627" i="1" s="1"/>
  <c r="N597" i="1"/>
  <c r="R598" i="1" s="1"/>
  <c r="M587" i="1"/>
  <c r="Q588" i="1" s="1"/>
  <c r="P776" i="1"/>
  <c r="T776" i="1" s="1"/>
  <c r="N596" i="1"/>
  <c r="R597" i="1" s="1"/>
  <c r="N582" i="1"/>
  <c r="R583" i="1" s="1"/>
  <c r="P762" i="1"/>
  <c r="P763" i="1"/>
  <c r="T763" i="1" s="1"/>
  <c r="N583" i="1"/>
  <c r="R584" i="1" s="1"/>
  <c r="P761" i="1"/>
  <c r="T761" i="1" s="1"/>
  <c r="O613" i="1"/>
  <c r="S613" i="1" s="1"/>
  <c r="P749" i="1"/>
  <c r="T749" i="1" s="1"/>
  <c r="O599" i="1"/>
  <c r="S599" i="1" s="1"/>
  <c r="N569" i="1"/>
  <c r="R570" i="1" s="1"/>
  <c r="P747" i="1"/>
  <c r="T747" i="1" s="1"/>
  <c r="N567" i="1"/>
  <c r="R568" i="1" s="1"/>
  <c r="M559" i="1"/>
  <c r="P734" i="1"/>
  <c r="T734" i="1" s="1"/>
  <c r="P735" i="1"/>
  <c r="N555" i="1"/>
  <c r="R556" i="1" s="1"/>
  <c r="O585" i="1"/>
  <c r="S585" i="1" s="1"/>
  <c r="M545" i="1"/>
  <c r="Q546" i="1" s="1"/>
  <c r="P721" i="1"/>
  <c r="T721" i="1" s="1"/>
  <c r="N540" i="1"/>
  <c r="R541" i="1" s="1"/>
  <c r="M531" i="1"/>
  <c r="Q532" i="1" s="1"/>
  <c r="N539" i="1"/>
  <c r="R540" i="1" s="1"/>
  <c r="N541" i="1"/>
  <c r="R542" i="1" s="1"/>
  <c r="P707" i="1"/>
  <c r="T707" i="1" s="1"/>
  <c r="O557" i="1"/>
  <c r="S557" i="1" s="1"/>
  <c r="P705" i="1"/>
  <c r="T705" i="1" s="1"/>
  <c r="M517" i="1"/>
  <c r="Q518" i="1" s="1"/>
  <c r="N513" i="1"/>
  <c r="R514" i="1" s="1"/>
  <c r="P693" i="1"/>
  <c r="T693" i="1" s="1"/>
  <c r="P692" i="1"/>
  <c r="T692" i="1" s="1"/>
  <c r="O543" i="1"/>
  <c r="S543" i="1" s="1"/>
  <c r="N512" i="1"/>
  <c r="R513" i="1" s="1"/>
  <c r="N511" i="1"/>
  <c r="R512" i="1" s="1"/>
  <c r="M503" i="1"/>
  <c r="Q504" i="1" s="1"/>
  <c r="P679" i="1"/>
  <c r="T679" i="1" s="1"/>
  <c r="O528" i="1"/>
  <c r="S528" i="1" s="1"/>
  <c r="P677" i="1"/>
  <c r="T677" i="1" s="1"/>
  <c r="O527" i="1"/>
  <c r="S527" i="1" s="1"/>
  <c r="N499" i="1"/>
  <c r="R500" i="1" s="1"/>
  <c r="M489" i="1"/>
  <c r="Q490" i="1" s="1"/>
  <c r="N497" i="1"/>
  <c r="R498" i="1" s="1"/>
  <c r="N471" i="1"/>
  <c r="R472" i="1" s="1"/>
  <c r="P650" i="1"/>
  <c r="T650" i="1" s="1"/>
  <c r="P651" i="1"/>
  <c r="T651" i="1" s="1"/>
  <c r="O501" i="1"/>
  <c r="S501" i="1" s="1"/>
  <c r="M461" i="1"/>
  <c r="Q462" i="1" s="1"/>
  <c r="N469" i="1"/>
  <c r="R470" i="1" s="1"/>
  <c r="N470" i="1"/>
  <c r="R471" i="1" s="1"/>
  <c r="O499" i="1"/>
  <c r="S499" i="1" s="1"/>
  <c r="P637" i="1"/>
  <c r="T637" i="1" s="1"/>
  <c r="N457" i="1"/>
  <c r="R458" i="1" s="1"/>
  <c r="O487" i="1"/>
  <c r="S487" i="1" s="1"/>
  <c r="O485" i="1"/>
  <c r="S485" i="1" s="1"/>
  <c r="O486" i="1"/>
  <c r="S486" i="1" s="1"/>
  <c r="P621" i="1"/>
  <c r="T621" i="1" s="1"/>
  <c r="O473" i="1"/>
  <c r="S473" i="1" s="1"/>
  <c r="M433" i="1"/>
  <c r="Q434" i="1" s="1"/>
  <c r="N443" i="1"/>
  <c r="R444" i="1" s="1"/>
  <c r="P609" i="1"/>
  <c r="T609" i="1" s="1"/>
  <c r="P608" i="1"/>
  <c r="T608" i="1" s="1"/>
  <c r="N429" i="1"/>
  <c r="R430" i="1" s="1"/>
  <c r="O458" i="1"/>
  <c r="S458" i="1" s="1"/>
  <c r="O459" i="1"/>
  <c r="S459" i="1" s="1"/>
  <c r="N427" i="1"/>
  <c r="R428" i="1" s="1"/>
  <c r="N428" i="1"/>
  <c r="R429" i="1" s="1"/>
  <c r="O445" i="1"/>
  <c r="S445" i="1" s="1"/>
  <c r="M405" i="1"/>
  <c r="P595" i="1"/>
  <c r="T595" i="1" s="1"/>
  <c r="P581" i="1"/>
  <c r="T581" i="1" s="1"/>
  <c r="P580" i="1"/>
  <c r="T580" i="1" s="1"/>
  <c r="O429" i="1"/>
  <c r="S429" i="1" s="1"/>
  <c r="N399" i="1"/>
  <c r="R400" i="1" s="1"/>
  <c r="N401" i="1"/>
  <c r="R402" i="1" s="1"/>
  <c r="N400" i="1"/>
  <c r="R401" i="1" s="1"/>
  <c r="M391" i="1"/>
  <c r="O430" i="1"/>
  <c r="S430" i="1" s="1"/>
  <c r="P579" i="1"/>
  <c r="T579" i="1" s="1"/>
  <c r="O431" i="1"/>
  <c r="S431" i="1" s="1"/>
  <c r="O417" i="1"/>
  <c r="S417" i="1" s="1"/>
  <c r="P566" i="1"/>
  <c r="T566" i="1" s="1"/>
  <c r="N385" i="1"/>
  <c r="R386" i="1" s="1"/>
  <c r="N387" i="1"/>
  <c r="R388" i="1" s="1"/>
  <c r="N386" i="1"/>
  <c r="R387" i="1" s="1"/>
  <c r="P567" i="1"/>
  <c r="T567" i="1" s="1"/>
  <c r="O415" i="1"/>
  <c r="S415" i="1" s="1"/>
  <c r="O416" i="1"/>
  <c r="S416" i="1" s="1"/>
  <c r="N373" i="1"/>
  <c r="R374" i="1" s="1"/>
  <c r="O403" i="1"/>
  <c r="S403" i="1" s="1"/>
  <c r="P552" i="1"/>
  <c r="T552" i="1" s="1"/>
  <c r="P553" i="1"/>
  <c r="T553" i="1" s="1"/>
  <c r="O401" i="1"/>
  <c r="S401" i="1" s="1"/>
  <c r="M363" i="1"/>
  <c r="Q364" i="1" s="1"/>
  <c r="O389" i="1"/>
  <c r="S389" i="1" s="1"/>
  <c r="P539" i="1"/>
  <c r="T539" i="1" s="1"/>
  <c r="N359" i="1"/>
  <c r="R360" i="1" s="1"/>
  <c r="O388" i="1"/>
  <c r="S388" i="1" s="1"/>
  <c r="O387" i="1"/>
  <c r="S387" i="1" s="1"/>
  <c r="O375" i="1"/>
  <c r="S375" i="1" s="1"/>
  <c r="P524" i="1"/>
  <c r="T524" i="1" s="1"/>
  <c r="P525" i="1"/>
  <c r="N345" i="1"/>
  <c r="R346" i="1" s="1"/>
  <c r="M335" i="1"/>
  <c r="Q336" i="1" s="1"/>
  <c r="P511" i="1"/>
  <c r="T511" i="1" s="1"/>
  <c r="O361" i="1"/>
  <c r="S361" i="1" s="1"/>
  <c r="N331" i="1"/>
  <c r="R332" i="1" s="1"/>
  <c r="M321" i="1"/>
  <c r="Q322" i="1" s="1"/>
  <c r="P497" i="1"/>
  <c r="O346" i="1"/>
  <c r="S346" i="1" s="1"/>
  <c r="O347" i="1"/>
  <c r="S347" i="1" s="1"/>
  <c r="N317" i="1"/>
  <c r="R318" i="1" s="1"/>
  <c r="M307" i="1"/>
  <c r="Q308" i="1" s="1"/>
  <c r="N315" i="1"/>
  <c r="R316" i="1" s="1"/>
  <c r="P483" i="1"/>
  <c r="T483" i="1" s="1"/>
  <c r="O332" i="1"/>
  <c r="S332" i="1" s="1"/>
  <c r="M293" i="1"/>
  <c r="N302" i="1"/>
  <c r="R303" i="1" s="1"/>
  <c r="O333" i="1"/>
  <c r="S333" i="1" s="1"/>
  <c r="N303" i="1"/>
  <c r="R304" i="1" s="1"/>
  <c r="P469" i="1"/>
  <c r="T469" i="1" s="1"/>
  <c r="N289" i="1"/>
  <c r="R290" i="1" s="1"/>
  <c r="P455" i="1"/>
  <c r="T455" i="1" s="1"/>
  <c r="O305" i="1"/>
  <c r="S305" i="1" s="1"/>
  <c r="P454" i="1"/>
  <c r="T454" i="1" s="1"/>
  <c r="O303" i="1"/>
  <c r="S303" i="1" s="1"/>
  <c r="M265" i="1"/>
  <c r="N275" i="1"/>
  <c r="R276" i="1" s="1"/>
  <c r="O291" i="1"/>
  <c r="S291" i="1" s="1"/>
  <c r="O290" i="1"/>
  <c r="S290" i="1" s="1"/>
  <c r="N260" i="1"/>
  <c r="R261" i="1" s="1"/>
  <c r="N261" i="1"/>
  <c r="R262" i="1" s="1"/>
  <c r="P440" i="1"/>
  <c r="T440" i="1" s="1"/>
  <c r="N259" i="1"/>
  <c r="R260" i="1" s="1"/>
  <c r="O289" i="1"/>
  <c r="S289" i="1" s="1"/>
  <c r="O277" i="1"/>
  <c r="S277" i="1" s="1"/>
  <c r="P425" i="1"/>
  <c r="T425" i="1" s="1"/>
  <c r="O276" i="1"/>
  <c r="S276" i="1" s="1"/>
  <c r="N246" i="1"/>
  <c r="R247" i="1" s="1"/>
  <c r="P427" i="1"/>
  <c r="T427" i="1" s="1"/>
  <c r="O275" i="1"/>
  <c r="S275" i="1" s="1"/>
  <c r="P426" i="1"/>
  <c r="T426" i="1" s="1"/>
  <c r="N245" i="1"/>
  <c r="R246" i="1" s="1"/>
  <c r="M237" i="1"/>
  <c r="Q238" i="1" s="1"/>
  <c r="O263" i="1"/>
  <c r="S263" i="1" s="1"/>
  <c r="N233" i="1"/>
  <c r="R234" i="1" s="1"/>
  <c r="O261" i="1"/>
  <c r="S261" i="1" s="1"/>
  <c r="O262" i="1"/>
  <c r="S262" i="1" s="1"/>
  <c r="N231" i="1"/>
  <c r="N232" i="1"/>
  <c r="R233" i="1" s="1"/>
  <c r="P399" i="1"/>
  <c r="T399" i="1" s="1"/>
  <c r="N219" i="1"/>
  <c r="R220" i="1" s="1"/>
  <c r="O249" i="1"/>
  <c r="S249" i="1" s="1"/>
  <c r="N217" i="1"/>
  <c r="R218" i="1" s="1"/>
  <c r="M209" i="1"/>
  <c r="N205" i="1"/>
  <c r="R206" i="1" s="1"/>
  <c r="P385" i="1"/>
  <c r="T385" i="1" s="1"/>
  <c r="M195" i="1"/>
  <c r="Q196" i="1" s="1"/>
  <c r="O233" i="1"/>
  <c r="S233" i="1" s="1"/>
  <c r="P371" i="1"/>
  <c r="N189" i="1"/>
  <c r="R190" i="1" s="1"/>
  <c r="N191" i="1"/>
  <c r="R192" i="1" s="1"/>
  <c r="P369" i="1"/>
  <c r="T369" i="1" s="1"/>
  <c r="P370" i="1"/>
  <c r="T370" i="1" s="1"/>
  <c r="M181" i="1"/>
  <c r="Q182" i="1" s="1"/>
  <c r="O219" i="1"/>
  <c r="S219" i="1" s="1"/>
  <c r="O220" i="1"/>
  <c r="S220" i="1" s="1"/>
  <c r="P356" i="1"/>
  <c r="T356" i="1" s="1"/>
  <c r="N177" i="1"/>
  <c r="R178" i="1" s="1"/>
  <c r="P357" i="1"/>
  <c r="T357" i="1" s="1"/>
  <c r="O207" i="1"/>
  <c r="S207" i="1" s="1"/>
  <c r="O193" i="1"/>
  <c r="S193" i="1" s="1"/>
  <c r="P343" i="1"/>
  <c r="T343" i="1" s="1"/>
  <c r="N163" i="1"/>
  <c r="R164" i="1" s="1"/>
  <c r="O192" i="1"/>
  <c r="S192" i="1" s="1"/>
  <c r="M153" i="1"/>
  <c r="Q154" i="1" s="1"/>
  <c r="O179" i="1"/>
  <c r="S179" i="1" s="1"/>
  <c r="N149" i="1"/>
  <c r="R150" i="1" s="1"/>
  <c r="P329" i="1"/>
  <c r="T329" i="1" s="1"/>
  <c r="M139" i="1"/>
  <c r="Q140" i="1" s="1"/>
  <c r="N147" i="1"/>
  <c r="R148" i="1" s="1"/>
  <c r="P327" i="1"/>
  <c r="T327" i="1" s="1"/>
  <c r="P328" i="1"/>
  <c r="T328" i="1" s="1"/>
  <c r="N148" i="1"/>
  <c r="R149" i="1" s="1"/>
  <c r="O165" i="1"/>
  <c r="S165" i="1" s="1"/>
  <c r="M123" i="1"/>
  <c r="Q124" i="1" s="1"/>
  <c r="M124" i="1"/>
  <c r="Q125" i="1" s="1"/>
  <c r="M125" i="1"/>
  <c r="Q126" i="1" s="1"/>
  <c r="P301" i="1"/>
  <c r="T301" i="1" s="1"/>
  <c r="N121" i="1"/>
  <c r="R122" i="1" s="1"/>
  <c r="O151" i="1"/>
  <c r="S151" i="1" s="1"/>
  <c r="N120" i="1"/>
  <c r="R121" i="1" s="1"/>
  <c r="O150" i="1"/>
  <c r="S150" i="1" s="1"/>
  <c r="N119" i="1"/>
  <c r="P299" i="1"/>
  <c r="T299" i="1" s="1"/>
  <c r="M111" i="1"/>
  <c r="Q112" i="1" s="1"/>
  <c r="P287" i="1"/>
  <c r="T287" i="1" s="1"/>
  <c r="O137" i="1"/>
  <c r="S137" i="1" s="1"/>
  <c r="N106" i="1"/>
  <c r="R107" i="1" s="1"/>
  <c r="N107" i="1"/>
  <c r="R108" i="1" s="1"/>
  <c r="O136" i="1"/>
  <c r="S136" i="1" s="1"/>
  <c r="M95" i="1"/>
  <c r="Q96" i="1" s="1"/>
  <c r="M96" i="1"/>
  <c r="Q97" i="1" s="1"/>
  <c r="N91" i="1"/>
  <c r="R92" i="1" s="1"/>
  <c r="O121" i="1"/>
  <c r="S121" i="1" s="1"/>
  <c r="P271" i="1"/>
  <c r="T271" i="1" s="1"/>
  <c r="M81" i="1"/>
  <c r="Q82" i="1" s="1"/>
  <c r="M83" i="1"/>
  <c r="Q84" i="1" s="1"/>
  <c r="P273" i="1"/>
  <c r="T273" i="1" s="1"/>
  <c r="M82" i="1"/>
  <c r="Q83" i="1" s="1"/>
  <c r="N92" i="1"/>
  <c r="R93" i="1" s="1"/>
  <c r="N93" i="1"/>
  <c r="R94" i="1" s="1"/>
  <c r="O123" i="1"/>
  <c r="S123" i="1" s="1"/>
  <c r="P259" i="1"/>
  <c r="T259" i="1" s="1"/>
  <c r="N79" i="1"/>
  <c r="R80" i="1" s="1"/>
  <c r="O107" i="1"/>
  <c r="S107" i="1" s="1"/>
  <c r="O109" i="1"/>
  <c r="S109" i="1" s="1"/>
  <c r="M68" i="1"/>
  <c r="Q69" i="1" s="1"/>
  <c r="M67" i="1"/>
  <c r="Q68" i="1" s="1"/>
  <c r="O95" i="1"/>
  <c r="S95" i="1" s="1"/>
  <c r="P245" i="1"/>
  <c r="N65" i="1"/>
  <c r="R66" i="1" s="1"/>
  <c r="P243" i="1"/>
  <c r="T243" i="1" s="1"/>
  <c r="M53" i="1"/>
  <c r="Q54" i="1" s="1"/>
  <c r="M54" i="1"/>
  <c r="Q55" i="1" s="1"/>
  <c r="M55" i="1"/>
  <c r="Q56" i="1" s="1"/>
  <c r="P244" i="1"/>
  <c r="T244" i="1" s="1"/>
  <c r="O79" i="1"/>
  <c r="S79" i="1" s="1"/>
  <c r="M41" i="1"/>
  <c r="Q42" i="1" s="1"/>
  <c r="P231" i="1"/>
  <c r="N49" i="1"/>
  <c r="P230" i="1"/>
  <c r="T230" i="1" s="1"/>
  <c r="N50" i="1"/>
  <c r="R51" i="1" s="1"/>
  <c r="N51" i="1"/>
  <c r="O80" i="1"/>
  <c r="S80" i="1" s="1"/>
  <c r="O81" i="1"/>
  <c r="S81" i="1" s="1"/>
  <c r="M39" i="1"/>
  <c r="Q40" i="1" s="1"/>
  <c r="P217" i="1"/>
  <c r="T217" i="1" s="1"/>
  <c r="O65" i="1"/>
  <c r="S65" i="1" s="1"/>
  <c r="N37" i="1"/>
  <c r="R38" i="1" s="1"/>
  <c r="O67" i="1"/>
  <c r="S67" i="1" s="1"/>
  <c r="N34" i="1"/>
  <c r="R35" i="1" s="1"/>
  <c r="M24" i="1"/>
  <c r="Q25" i="1" s="1"/>
  <c r="M25" i="1"/>
  <c r="Q26" i="1" s="1"/>
  <c r="P214" i="1"/>
  <c r="T214" i="1" s="1"/>
  <c r="M26" i="1"/>
  <c r="Q27" i="1" s="1"/>
  <c r="M27" i="1"/>
  <c r="Q28" i="1" s="1"/>
  <c r="P203" i="1"/>
  <c r="T203" i="1" s="1"/>
  <c r="N23" i="1"/>
  <c r="R24" i="1" s="1"/>
  <c r="O53" i="1"/>
  <c r="M13" i="1"/>
  <c r="Q14" i="1" s="1"/>
  <c r="M1098" i="1"/>
  <c r="Q1099" i="1" s="1"/>
  <c r="M1002" i="1"/>
  <c r="Q1003" i="1" s="1"/>
  <c r="M623" i="1"/>
  <c r="Q624" i="1" s="1"/>
  <c r="M453" i="1"/>
  <c r="Q454" i="1" s="1"/>
  <c r="M399" i="1"/>
  <c r="Q400" i="1" s="1"/>
  <c r="M345" i="1"/>
  <c r="Q346" i="1" s="1"/>
  <c r="M279" i="1"/>
  <c r="Q280" i="1" s="1"/>
  <c r="M223" i="1"/>
  <c r="M161" i="1"/>
  <c r="Q162" i="1" s="1"/>
  <c r="M80" i="1"/>
  <c r="Q81" i="1" s="1"/>
  <c r="M19" i="1"/>
  <c r="Q20" i="1" s="1"/>
  <c r="N1114" i="1"/>
  <c r="R1115" i="1" s="1"/>
  <c r="N1043" i="1"/>
  <c r="R1044" i="1" s="1"/>
  <c r="N559" i="1"/>
  <c r="R560" i="1" s="1"/>
  <c r="N372" i="1"/>
  <c r="R373" i="1" s="1"/>
  <c r="N287" i="1"/>
  <c r="R288" i="1" s="1"/>
  <c r="N162" i="1"/>
  <c r="R163" i="1" s="1"/>
  <c r="N30" i="1"/>
  <c r="R31" i="1" s="1"/>
  <c r="O813" i="1"/>
  <c r="S813" i="1" s="1"/>
  <c r="O643" i="1"/>
  <c r="S643" i="1" s="1"/>
  <c r="O451" i="1"/>
  <c r="S451" i="1" s="1"/>
  <c r="O245" i="1"/>
  <c r="S245" i="1" s="1"/>
  <c r="P1244" i="1"/>
  <c r="T1244" i="1" s="1"/>
  <c r="P826" i="1"/>
  <c r="T826" i="1" s="1"/>
  <c r="P521" i="1"/>
  <c r="T521" i="1" s="1"/>
  <c r="M1216" i="1"/>
  <c r="Q1217" i="1" s="1"/>
  <c r="N1155" i="1"/>
  <c r="R1156" i="1" s="1"/>
  <c r="M1118" i="1"/>
  <c r="Q1119" i="1" s="1"/>
  <c r="M1048" i="1"/>
  <c r="Q1049" i="1" s="1"/>
  <c r="M880" i="1"/>
  <c r="Q881" i="1" s="1"/>
  <c r="M824" i="1"/>
  <c r="Q825" i="1" s="1"/>
  <c r="M754" i="1"/>
  <c r="Q755" i="1" s="1"/>
  <c r="N652" i="1"/>
  <c r="R653" i="1" s="1"/>
  <c r="N554" i="1"/>
  <c r="R555" i="1" s="1"/>
  <c r="M418" i="1"/>
  <c r="M348" i="1"/>
  <c r="Q349" i="1" s="1"/>
  <c r="M278" i="1"/>
  <c r="Q279" i="1" s="1"/>
  <c r="N274" i="1"/>
  <c r="R275" i="1" s="1"/>
  <c r="M194" i="1"/>
  <c r="Q195" i="1" s="1"/>
  <c r="M137" i="1"/>
  <c r="Q138" i="1" s="1"/>
  <c r="M939" i="1"/>
  <c r="Q940" i="1" s="1"/>
  <c r="M778" i="1"/>
  <c r="Q779" i="1" s="1"/>
  <c r="M573" i="1"/>
  <c r="Q574" i="1" s="1"/>
  <c r="M397" i="1"/>
  <c r="Q398" i="1" s="1"/>
  <c r="M218" i="1"/>
  <c r="Q219" i="1" s="1"/>
  <c r="M18" i="1"/>
  <c r="Q19" i="1" s="1"/>
  <c r="N1037" i="1"/>
  <c r="R1038" i="1" s="1"/>
  <c r="N721" i="1"/>
  <c r="R722" i="1" s="1"/>
  <c r="N478" i="1"/>
  <c r="R479" i="1" s="1"/>
  <c r="N371" i="1"/>
  <c r="R372" i="1" s="1"/>
  <c r="N161" i="1"/>
  <c r="R162" i="1" s="1"/>
  <c r="O444" i="1"/>
  <c r="S444" i="1" s="1"/>
  <c r="M1217" i="1"/>
  <c r="Q1218" i="1" s="1"/>
  <c r="O1256" i="1"/>
  <c r="S1256" i="1" s="1"/>
  <c r="O1257" i="1"/>
  <c r="S1257" i="1" s="1"/>
  <c r="N1226" i="1"/>
  <c r="R1227" i="1" s="1"/>
  <c r="O1229" i="1"/>
  <c r="S1229" i="1" s="1"/>
  <c r="N1198" i="1"/>
  <c r="R1199" i="1" s="1"/>
  <c r="N1197" i="1"/>
  <c r="R1198" i="1" s="1"/>
  <c r="O1187" i="1"/>
  <c r="S1187" i="1" s="1"/>
  <c r="N1156" i="1"/>
  <c r="R1157" i="1" s="1"/>
  <c r="N1157" i="1"/>
  <c r="R1158" i="1" s="1"/>
  <c r="O1173" i="1"/>
  <c r="S1173" i="1" s="1"/>
  <c r="N1143" i="1"/>
  <c r="R1144" i="1" s="1"/>
  <c r="M1133" i="1"/>
  <c r="Q1134" i="1" s="1"/>
  <c r="O1145" i="1"/>
  <c r="S1145" i="1" s="1"/>
  <c r="N1115" i="1"/>
  <c r="R1116" i="1" s="1"/>
  <c r="M1105" i="1"/>
  <c r="Q1106" i="1" s="1"/>
  <c r="O1117" i="1"/>
  <c r="S1117" i="1" s="1"/>
  <c r="N1087" i="1"/>
  <c r="R1088" i="1" s="1"/>
  <c r="N1085" i="1"/>
  <c r="R1086" i="1" s="1"/>
  <c r="P1238" i="1"/>
  <c r="T1238" i="1" s="1"/>
  <c r="M1049" i="1"/>
  <c r="P1239" i="1"/>
  <c r="T1239" i="1" s="1"/>
  <c r="O1089" i="1"/>
  <c r="S1089" i="1" s="1"/>
  <c r="N1059" i="1"/>
  <c r="R1060" i="1" s="1"/>
  <c r="P1211" i="1"/>
  <c r="T1211" i="1" s="1"/>
  <c r="O1061" i="1"/>
  <c r="S1061" i="1" s="1"/>
  <c r="P1209" i="1"/>
  <c r="T1209" i="1" s="1"/>
  <c r="N1030" i="1"/>
  <c r="R1031" i="1" s="1"/>
  <c r="N1031" i="1"/>
  <c r="R1032" i="1" s="1"/>
  <c r="N1029" i="1"/>
  <c r="R1030" i="1" s="1"/>
  <c r="M1021" i="1"/>
  <c r="Q1022" i="1" s="1"/>
  <c r="P1155" i="1"/>
  <c r="T1155" i="1" s="1"/>
  <c r="N974" i="1"/>
  <c r="R975" i="1" s="1"/>
  <c r="N975" i="1"/>
  <c r="R976" i="1" s="1"/>
  <c r="P1153" i="1"/>
  <c r="T1153" i="1" s="1"/>
  <c r="O1005" i="1"/>
  <c r="S1005" i="1" s="1"/>
  <c r="O949" i="1"/>
  <c r="S949" i="1" s="1"/>
  <c r="P1099" i="1"/>
  <c r="T1099" i="1" s="1"/>
  <c r="N918" i="1"/>
  <c r="R919" i="1" s="1"/>
  <c r="N917" i="1"/>
  <c r="N919" i="1"/>
  <c r="R920" i="1" s="1"/>
  <c r="M909" i="1"/>
  <c r="Q910" i="1" s="1"/>
  <c r="O921" i="1"/>
  <c r="S921" i="1" s="1"/>
  <c r="N889" i="1"/>
  <c r="R890" i="1" s="1"/>
  <c r="P1071" i="1"/>
  <c r="T1071" i="1" s="1"/>
  <c r="M881" i="1"/>
  <c r="Q882" i="1" s="1"/>
  <c r="N891" i="1"/>
  <c r="R892" i="1" s="1"/>
  <c r="P1069" i="1"/>
  <c r="T1069" i="1" s="1"/>
  <c r="N877" i="1"/>
  <c r="R878" i="1" s="1"/>
  <c r="P1057" i="1"/>
  <c r="T1057" i="1" s="1"/>
  <c r="O907" i="1"/>
  <c r="S907" i="1" s="1"/>
  <c r="N876" i="1"/>
  <c r="R877" i="1" s="1"/>
  <c r="P1015" i="1"/>
  <c r="T1015" i="1" s="1"/>
  <c r="O865" i="1"/>
  <c r="S865" i="1" s="1"/>
  <c r="N833" i="1"/>
  <c r="R834" i="1" s="1"/>
  <c r="N835" i="1"/>
  <c r="R836" i="1" s="1"/>
  <c r="O837" i="1"/>
  <c r="S837" i="1" s="1"/>
  <c r="N806" i="1"/>
  <c r="R807" i="1" s="1"/>
  <c r="P986" i="1"/>
  <c r="T986" i="1" s="1"/>
  <c r="N807" i="1"/>
  <c r="R808" i="1" s="1"/>
  <c r="P987" i="1"/>
  <c r="T987" i="1" s="1"/>
  <c r="M797" i="1"/>
  <c r="Q798" i="1" s="1"/>
  <c r="N779" i="1"/>
  <c r="R780" i="1" s="1"/>
  <c r="P959" i="1"/>
  <c r="T959" i="1" s="1"/>
  <c r="N777" i="1"/>
  <c r="R778" i="1" s="1"/>
  <c r="N778" i="1"/>
  <c r="R779" i="1" s="1"/>
  <c r="M769" i="1"/>
  <c r="P957" i="1"/>
  <c r="T957" i="1" s="1"/>
  <c r="P958" i="1"/>
  <c r="T958" i="1" s="1"/>
  <c r="O809" i="1"/>
  <c r="S809" i="1" s="1"/>
  <c r="P917" i="1"/>
  <c r="T917" i="1" s="1"/>
  <c r="N735" i="1"/>
  <c r="R736" i="1" s="1"/>
  <c r="N736" i="1"/>
  <c r="R737" i="1" s="1"/>
  <c r="P875" i="1"/>
  <c r="T875" i="1" s="1"/>
  <c r="O725" i="1"/>
  <c r="S725" i="1" s="1"/>
  <c r="P874" i="1"/>
  <c r="T874" i="1" s="1"/>
  <c r="N695" i="1"/>
  <c r="R696" i="1" s="1"/>
  <c r="M685" i="1"/>
  <c r="Q686" i="1" s="1"/>
  <c r="P847" i="1"/>
  <c r="T847" i="1" s="1"/>
  <c r="N666" i="1"/>
  <c r="R667" i="1" s="1"/>
  <c r="O697" i="1"/>
  <c r="S697" i="1" s="1"/>
  <c r="N667" i="1"/>
  <c r="N665" i="1"/>
  <c r="R666" i="1" s="1"/>
  <c r="M657" i="1"/>
  <c r="Q658" i="1" s="1"/>
  <c r="P817" i="1"/>
  <c r="T817" i="1" s="1"/>
  <c r="O669" i="1"/>
  <c r="S669" i="1" s="1"/>
  <c r="P818" i="1"/>
  <c r="T818" i="1" s="1"/>
  <c r="P819" i="1"/>
  <c r="T819" i="1" s="1"/>
  <c r="N637" i="1"/>
  <c r="R638" i="1" s="1"/>
  <c r="N638" i="1"/>
  <c r="R639" i="1" s="1"/>
  <c r="M629" i="1"/>
  <c r="Q630" i="1" s="1"/>
  <c r="N639" i="1"/>
  <c r="R640" i="1" s="1"/>
  <c r="P665" i="1"/>
  <c r="T665" i="1" s="1"/>
  <c r="O515" i="1"/>
  <c r="S515" i="1" s="1"/>
  <c r="M1254" i="1"/>
  <c r="M1045" i="1"/>
  <c r="Q1046" i="1" s="1"/>
  <c r="M777" i="1"/>
  <c r="Q778" i="1" s="1"/>
  <c r="M667" i="1"/>
  <c r="Q668" i="1" s="1"/>
  <c r="M569" i="1"/>
  <c r="Q570" i="1" s="1"/>
  <c r="M396" i="1"/>
  <c r="M274" i="1"/>
  <c r="Q275" i="1" s="1"/>
  <c r="N22" i="1"/>
  <c r="R23" i="1" s="1"/>
  <c r="N1109" i="1"/>
  <c r="R1110" i="1" s="1"/>
  <c r="N1035" i="1"/>
  <c r="R1036" i="1" s="1"/>
  <c r="N945" i="1"/>
  <c r="N793" i="1"/>
  <c r="R794" i="1" s="1"/>
  <c r="N627" i="1"/>
  <c r="N549" i="1"/>
  <c r="R550" i="1" s="1"/>
  <c r="N370" i="1"/>
  <c r="R371" i="1" s="1"/>
  <c r="N135" i="1"/>
  <c r="R136" i="1" s="1"/>
  <c r="O1105" i="1"/>
  <c r="S1105" i="1" s="1"/>
  <c r="O767" i="1"/>
  <c r="S767" i="1" s="1"/>
  <c r="O235" i="1"/>
  <c r="S235" i="1" s="1"/>
  <c r="M1256" i="1"/>
  <c r="Q1257" i="1" s="1"/>
  <c r="M1214" i="1"/>
  <c r="Q1215" i="1" s="1"/>
  <c r="O1254" i="1"/>
  <c r="S1254" i="1" s="1"/>
  <c r="N1224" i="1"/>
  <c r="R1225" i="1" s="1"/>
  <c r="M1200" i="1"/>
  <c r="Q1201" i="1" s="1"/>
  <c r="O1240" i="1"/>
  <c r="S1240" i="1" s="1"/>
  <c r="N1210" i="1"/>
  <c r="R1211" i="1" s="1"/>
  <c r="M1186" i="1"/>
  <c r="Q1187" i="1" s="1"/>
  <c r="O1226" i="1"/>
  <c r="S1226" i="1" s="1"/>
  <c r="M1172" i="1"/>
  <c r="Q1173" i="1" s="1"/>
  <c r="O1212" i="1"/>
  <c r="S1212" i="1" s="1"/>
  <c r="N1182" i="1"/>
  <c r="R1183" i="1" s="1"/>
  <c r="M1158" i="1"/>
  <c r="Q1159" i="1" s="1"/>
  <c r="O1198" i="1"/>
  <c r="S1198" i="1" s="1"/>
  <c r="M1130" i="1"/>
  <c r="Q1131" i="1" s="1"/>
  <c r="O1170" i="1"/>
  <c r="S1170" i="1" s="1"/>
  <c r="N1140" i="1"/>
  <c r="R1141" i="1" s="1"/>
  <c r="M1102" i="1"/>
  <c r="Q1103" i="1" s="1"/>
  <c r="N1112" i="1"/>
  <c r="R1113" i="1" s="1"/>
  <c r="O1142" i="1"/>
  <c r="S1142" i="1" s="1"/>
  <c r="M1088" i="1"/>
  <c r="Q1089" i="1" s="1"/>
  <c r="O1128" i="1"/>
  <c r="S1128" i="1" s="1"/>
  <c r="N1098" i="1"/>
  <c r="R1099" i="1" s="1"/>
  <c r="M1060" i="1"/>
  <c r="Q1061" i="1" s="1"/>
  <c r="P1250" i="1"/>
  <c r="T1250" i="1" s="1"/>
  <c r="O1100" i="1"/>
  <c r="S1100" i="1" s="1"/>
  <c r="N1056" i="1"/>
  <c r="R1057" i="1" s="1"/>
  <c r="M1046" i="1"/>
  <c r="Q1047" i="1" s="1"/>
  <c r="P1236" i="1"/>
  <c r="T1236" i="1" s="1"/>
  <c r="O1086" i="1"/>
  <c r="S1086" i="1" s="1"/>
  <c r="M1032" i="1"/>
  <c r="Q1033" i="1" s="1"/>
  <c r="N1042" i="1"/>
  <c r="R1043" i="1" s="1"/>
  <c r="P1222" i="1"/>
  <c r="T1222" i="1" s="1"/>
  <c r="O1072" i="1"/>
  <c r="S1072" i="1" s="1"/>
  <c r="P1194" i="1"/>
  <c r="T1194" i="1" s="1"/>
  <c r="M1004" i="1"/>
  <c r="Q1005" i="1" s="1"/>
  <c r="O1044" i="1"/>
  <c r="S1044" i="1" s="1"/>
  <c r="O1030" i="1"/>
  <c r="S1030" i="1" s="1"/>
  <c r="M990" i="1"/>
  <c r="Q991" i="1" s="1"/>
  <c r="P1180" i="1"/>
  <c r="T1180" i="1" s="1"/>
  <c r="N1000" i="1"/>
  <c r="R1001" i="1" s="1"/>
  <c r="P1166" i="1"/>
  <c r="M976" i="1"/>
  <c r="Q977" i="1" s="1"/>
  <c r="O1016" i="1"/>
  <c r="S1016" i="1" s="1"/>
  <c r="N986" i="1"/>
  <c r="R987" i="1" s="1"/>
  <c r="M934" i="1"/>
  <c r="Q935" i="1" s="1"/>
  <c r="P1124" i="1"/>
  <c r="T1124" i="1" s="1"/>
  <c r="N944" i="1"/>
  <c r="R945" i="1" s="1"/>
  <c r="O974" i="1"/>
  <c r="S974" i="1" s="1"/>
  <c r="O960" i="1"/>
  <c r="S960" i="1" s="1"/>
  <c r="M920" i="1"/>
  <c r="Q921" i="1" s="1"/>
  <c r="P1110" i="1"/>
  <c r="T1110" i="1" s="1"/>
  <c r="N930" i="1"/>
  <c r="R931" i="1" s="1"/>
  <c r="M906" i="1"/>
  <c r="Q907" i="1" s="1"/>
  <c r="P1096" i="1"/>
  <c r="T1096" i="1" s="1"/>
  <c r="N916" i="1"/>
  <c r="R917" i="1" s="1"/>
  <c r="P1082" i="1"/>
  <c r="T1082" i="1" s="1"/>
  <c r="M892" i="1"/>
  <c r="Q893" i="1" s="1"/>
  <c r="O932" i="1"/>
  <c r="S932" i="1" s="1"/>
  <c r="O890" i="1"/>
  <c r="S890" i="1" s="1"/>
  <c r="N860" i="1"/>
  <c r="M850" i="1"/>
  <c r="Q851" i="1" s="1"/>
  <c r="P1040" i="1"/>
  <c r="P1026" i="1"/>
  <c r="M836" i="1"/>
  <c r="Q837" i="1" s="1"/>
  <c r="N846" i="1"/>
  <c r="R847" i="1" s="1"/>
  <c r="P1012" i="1"/>
  <c r="T1012" i="1" s="1"/>
  <c r="M822" i="1"/>
  <c r="Q823" i="1" s="1"/>
  <c r="O862" i="1"/>
  <c r="S862" i="1" s="1"/>
  <c r="M808" i="1"/>
  <c r="Q809" i="1" s="1"/>
  <c r="O848" i="1"/>
  <c r="S848" i="1" s="1"/>
  <c r="P998" i="1"/>
  <c r="T998" i="1" s="1"/>
  <c r="N818" i="1"/>
  <c r="R819" i="1" s="1"/>
  <c r="M794" i="1"/>
  <c r="Q795" i="1" s="1"/>
  <c r="P984" i="1"/>
  <c r="O834" i="1"/>
  <c r="S834" i="1" s="1"/>
  <c r="P942" i="1"/>
  <c r="M752" i="1"/>
  <c r="Q753" i="1" s="1"/>
  <c r="O792" i="1"/>
  <c r="S792" i="1" s="1"/>
  <c r="M738" i="1"/>
  <c r="Q739" i="1" s="1"/>
  <c r="N748" i="1"/>
  <c r="R749" i="1" s="1"/>
  <c r="O778" i="1"/>
  <c r="S778" i="1" s="1"/>
  <c r="P928" i="1"/>
  <c r="T928" i="1" s="1"/>
  <c r="M724" i="1"/>
  <c r="Q725" i="1" s="1"/>
  <c r="P914" i="1"/>
  <c r="T914" i="1" s="1"/>
  <c r="N734" i="1"/>
  <c r="R735" i="1" s="1"/>
  <c r="O764" i="1"/>
  <c r="S764" i="1" s="1"/>
  <c r="P900" i="1"/>
  <c r="T900" i="1" s="1"/>
  <c r="M710" i="1"/>
  <c r="Q711" i="1" s="1"/>
  <c r="O750" i="1"/>
  <c r="S750" i="1" s="1"/>
  <c r="N720" i="1"/>
  <c r="R721" i="1" s="1"/>
  <c r="M668" i="1"/>
  <c r="Q669" i="1" s="1"/>
  <c r="P858" i="1"/>
  <c r="N678" i="1"/>
  <c r="R679" i="1" s="1"/>
  <c r="N664" i="1"/>
  <c r="R665" i="1" s="1"/>
  <c r="O694" i="1"/>
  <c r="S694" i="1" s="1"/>
  <c r="M654" i="1"/>
  <c r="P844" i="1"/>
  <c r="T844" i="1" s="1"/>
  <c r="P830" i="1"/>
  <c r="N650" i="1"/>
  <c r="R651" i="1" s="1"/>
  <c r="M640" i="1"/>
  <c r="Q641" i="1" s="1"/>
  <c r="O680" i="1"/>
  <c r="S680" i="1" s="1"/>
  <c r="P816" i="1"/>
  <c r="T816" i="1" s="1"/>
  <c r="M626" i="1"/>
  <c r="Q627" i="1" s="1"/>
  <c r="N636" i="1"/>
  <c r="R637" i="1" s="1"/>
  <c r="O666" i="1"/>
  <c r="S666" i="1" s="1"/>
  <c r="M612" i="1"/>
  <c r="Q613" i="1" s="1"/>
  <c r="N622" i="1"/>
  <c r="R623" i="1" s="1"/>
  <c r="O652" i="1"/>
  <c r="S652" i="1" s="1"/>
  <c r="P802" i="1"/>
  <c r="T802" i="1" s="1"/>
  <c r="P760" i="1"/>
  <c r="T760" i="1" s="1"/>
  <c r="M570" i="1"/>
  <c r="Q571" i="1" s="1"/>
  <c r="O610" i="1"/>
  <c r="S610" i="1" s="1"/>
  <c r="N580" i="1"/>
  <c r="R581" i="1" s="1"/>
  <c r="M556" i="1"/>
  <c r="Q557" i="1" s="1"/>
  <c r="O596" i="1"/>
  <c r="S596" i="1" s="1"/>
  <c r="N566" i="1"/>
  <c r="R567" i="1" s="1"/>
  <c r="P732" i="1"/>
  <c r="T732" i="1" s="1"/>
  <c r="N552" i="1"/>
  <c r="R553" i="1" s="1"/>
  <c r="M542" i="1"/>
  <c r="O582" i="1"/>
  <c r="S582" i="1" s="1"/>
  <c r="O554" i="1"/>
  <c r="S554" i="1" s="1"/>
  <c r="M514" i="1"/>
  <c r="Q515" i="1" s="1"/>
  <c r="N524" i="1"/>
  <c r="R525" i="1" s="1"/>
  <c r="P704" i="1"/>
  <c r="T704" i="1" s="1"/>
  <c r="O526" i="1"/>
  <c r="S526" i="1" s="1"/>
  <c r="P676" i="1"/>
  <c r="T676" i="1" s="1"/>
  <c r="M486" i="1"/>
  <c r="Q487" i="1" s="1"/>
  <c r="N496" i="1"/>
  <c r="R497" i="1" s="1"/>
  <c r="O512" i="1"/>
  <c r="S512" i="1" s="1"/>
  <c r="M472" i="1"/>
  <c r="Q473" i="1" s="1"/>
  <c r="P662" i="1"/>
  <c r="O498" i="1"/>
  <c r="S498" i="1" s="1"/>
  <c r="N468" i="1"/>
  <c r="R469" i="1" s="1"/>
  <c r="M458" i="1"/>
  <c r="P648" i="1"/>
  <c r="O470" i="1"/>
  <c r="S470" i="1" s="1"/>
  <c r="M430" i="1"/>
  <c r="Q431" i="1" s="1"/>
  <c r="N440" i="1"/>
  <c r="R441" i="1" s="1"/>
  <c r="P620" i="1"/>
  <c r="T620" i="1" s="1"/>
  <c r="O456" i="1"/>
  <c r="S456" i="1" s="1"/>
  <c r="P606" i="1"/>
  <c r="T606" i="1" s="1"/>
  <c r="M416" i="1"/>
  <c r="Q417" i="1" s="1"/>
  <c r="N426" i="1"/>
  <c r="R427" i="1" s="1"/>
  <c r="O428" i="1"/>
  <c r="S428" i="1" s="1"/>
  <c r="P578" i="1"/>
  <c r="T578" i="1" s="1"/>
  <c r="M388" i="1"/>
  <c r="Q389" i="1" s="1"/>
  <c r="N398" i="1"/>
  <c r="O414" i="1"/>
  <c r="S414" i="1" s="1"/>
  <c r="P564" i="1"/>
  <c r="M374" i="1"/>
  <c r="N384" i="1"/>
  <c r="R385" i="1" s="1"/>
  <c r="O400" i="1"/>
  <c r="S400" i="1" s="1"/>
  <c r="P550" i="1"/>
  <c r="T550" i="1" s="1"/>
  <c r="M360" i="1"/>
  <c r="Q361" i="1" s="1"/>
  <c r="O386" i="1"/>
  <c r="S386" i="1" s="1"/>
  <c r="M346" i="1"/>
  <c r="Q347" i="1" s="1"/>
  <c r="N356" i="1"/>
  <c r="R357" i="1" s="1"/>
  <c r="O358" i="1"/>
  <c r="S358" i="1" s="1"/>
  <c r="P508" i="1"/>
  <c r="T508" i="1" s="1"/>
  <c r="M318" i="1"/>
  <c r="Q319" i="1" s="1"/>
  <c r="N328" i="1"/>
  <c r="R329" i="1" s="1"/>
  <c r="O344" i="1"/>
  <c r="S344" i="1" s="1"/>
  <c r="M304" i="1"/>
  <c r="Q305" i="1" s="1"/>
  <c r="N314" i="1"/>
  <c r="P494" i="1"/>
  <c r="T494" i="1" s="1"/>
  <c r="O316" i="1"/>
  <c r="S316" i="1" s="1"/>
  <c r="P466" i="1"/>
  <c r="T466" i="1" s="1"/>
  <c r="M276" i="1"/>
  <c r="Q277" i="1" s="1"/>
  <c r="N286" i="1"/>
  <c r="R287" i="1" s="1"/>
  <c r="O302" i="1"/>
  <c r="S302" i="1" s="1"/>
  <c r="N272" i="1"/>
  <c r="R273" i="1" s="1"/>
  <c r="M262" i="1"/>
  <c r="Q263" i="1" s="1"/>
  <c r="P452" i="1"/>
  <c r="T452" i="1" s="1"/>
  <c r="O288" i="1"/>
  <c r="S288" i="1" s="1"/>
  <c r="P438" i="1"/>
  <c r="T438" i="1" s="1"/>
  <c r="M248" i="1"/>
  <c r="Q249" i="1" s="1"/>
  <c r="O274" i="1"/>
  <c r="S274" i="1" s="1"/>
  <c r="M234" i="1"/>
  <c r="Q235" i="1" s="1"/>
  <c r="P424" i="1"/>
  <c r="T424" i="1" s="1"/>
  <c r="N244" i="1"/>
  <c r="O246" i="1"/>
  <c r="S246" i="1" s="1"/>
  <c r="M206" i="1"/>
  <c r="Q207" i="1" s="1"/>
  <c r="P396" i="1"/>
  <c r="T396" i="1" s="1"/>
  <c r="N216" i="1"/>
  <c r="R217" i="1" s="1"/>
  <c r="O232" i="1"/>
  <c r="S232" i="1" s="1"/>
  <c r="P382" i="1"/>
  <c r="T382" i="1" s="1"/>
  <c r="N202" i="1"/>
  <c r="R203" i="1" s="1"/>
  <c r="M192" i="1"/>
  <c r="Q193" i="1" s="1"/>
  <c r="O218" i="1"/>
  <c r="S218" i="1" s="1"/>
  <c r="P368" i="1"/>
  <c r="T368" i="1" s="1"/>
  <c r="M178" i="1"/>
  <c r="Q179" i="1" s="1"/>
  <c r="N188" i="1"/>
  <c r="R189" i="1" s="1"/>
  <c r="O204" i="1"/>
  <c r="S204" i="1" s="1"/>
  <c r="P354" i="1"/>
  <c r="T354" i="1" s="1"/>
  <c r="M164" i="1"/>
  <c r="Q165" i="1" s="1"/>
  <c r="N174" i="1"/>
  <c r="O176" i="1"/>
  <c r="S176" i="1" s="1"/>
  <c r="M136" i="1"/>
  <c r="Q137" i="1" s="1"/>
  <c r="N146" i="1"/>
  <c r="R147" i="1" s="1"/>
  <c r="O162" i="1"/>
  <c r="S162" i="1" s="1"/>
  <c r="P312" i="1"/>
  <c r="T312" i="1" s="1"/>
  <c r="N132" i="1"/>
  <c r="R133" i="1" s="1"/>
  <c r="M122" i="1"/>
  <c r="Q123" i="1" s="1"/>
  <c r="O148" i="1"/>
  <c r="S148" i="1" s="1"/>
  <c r="P298" i="1"/>
  <c r="N118" i="1"/>
  <c r="R119" i="1" s="1"/>
  <c r="M108" i="1"/>
  <c r="Q109" i="1" s="1"/>
  <c r="O134" i="1"/>
  <c r="S134" i="1" s="1"/>
  <c r="P284" i="1"/>
  <c r="T284" i="1" s="1"/>
  <c r="N104" i="1"/>
  <c r="R105" i="1" s="1"/>
  <c r="M94" i="1"/>
  <c r="Q95" i="1" s="1"/>
  <c r="O120" i="1"/>
  <c r="S120" i="1" s="1"/>
  <c r="N90" i="1"/>
  <c r="R91" i="1" s="1"/>
  <c r="P270" i="1"/>
  <c r="T270" i="1" s="1"/>
  <c r="O92" i="1"/>
  <c r="S92" i="1" s="1"/>
  <c r="P242" i="1"/>
  <c r="T242" i="1" s="1"/>
  <c r="N62" i="1"/>
  <c r="R63" i="1" s="1"/>
  <c r="O78" i="1"/>
  <c r="S78" i="1" s="1"/>
  <c r="P228" i="1"/>
  <c r="T228" i="1" s="1"/>
  <c r="N48" i="1"/>
  <c r="M1253" i="1"/>
  <c r="Q1254" i="1" s="1"/>
  <c r="M1043" i="1"/>
  <c r="Q1044" i="1" s="1"/>
  <c r="M618" i="1"/>
  <c r="Q619" i="1" s="1"/>
  <c r="M272" i="1"/>
  <c r="Q273" i="1" s="1"/>
  <c r="M138" i="1"/>
  <c r="Q139" i="1" s="1"/>
  <c r="M74" i="1"/>
  <c r="Q75" i="1" s="1"/>
  <c r="N1177" i="1"/>
  <c r="R1178" i="1" s="1"/>
  <c r="N1032" i="1"/>
  <c r="R1033" i="1" s="1"/>
  <c r="N940" i="1"/>
  <c r="R941" i="1" s="1"/>
  <c r="N626" i="1"/>
  <c r="R627" i="1" s="1"/>
  <c r="N458" i="1"/>
  <c r="R459" i="1" s="1"/>
  <c r="N252" i="1"/>
  <c r="R253" i="1" s="1"/>
  <c r="O1222" i="1"/>
  <c r="S1222" i="1" s="1"/>
  <c r="O937" i="1"/>
  <c r="S937" i="1" s="1"/>
  <c r="O588" i="1"/>
  <c r="S588" i="1" s="1"/>
  <c r="P1224" i="1"/>
  <c r="T1224" i="1" s="1"/>
  <c r="P1005" i="1"/>
  <c r="T1005" i="1" s="1"/>
  <c r="P441" i="1"/>
  <c r="T441" i="1" s="1"/>
  <c r="N1251" i="1"/>
  <c r="R1252" i="1" s="1"/>
  <c r="M1241" i="1"/>
  <c r="Q1242" i="1" s="1"/>
  <c r="O1253" i="1"/>
  <c r="S1253" i="1" s="1"/>
  <c r="M1213" i="1"/>
  <c r="Q1214" i="1" s="1"/>
  <c r="N1223" i="1"/>
  <c r="R1224" i="1" s="1"/>
  <c r="O1211" i="1"/>
  <c r="S1211" i="1" s="1"/>
  <c r="M1171" i="1"/>
  <c r="Q1172" i="1" s="1"/>
  <c r="N1181" i="1"/>
  <c r="R1182" i="1" s="1"/>
  <c r="N1153" i="1"/>
  <c r="R1154" i="1" s="1"/>
  <c r="O1183" i="1"/>
  <c r="S1183" i="1" s="1"/>
  <c r="W1183" i="1" s="1"/>
  <c r="O1127" i="1"/>
  <c r="S1127" i="1" s="1"/>
  <c r="N1097" i="1"/>
  <c r="R1098" i="1" s="1"/>
  <c r="M1087" i="1"/>
  <c r="Q1088" i="1" s="1"/>
  <c r="N1055" i="1"/>
  <c r="P1235" i="1"/>
  <c r="T1235" i="1" s="1"/>
  <c r="O1085" i="1"/>
  <c r="S1085" i="1" s="1"/>
  <c r="O1057" i="1"/>
  <c r="S1057" i="1" s="1"/>
  <c r="P1207" i="1"/>
  <c r="T1207" i="1" s="1"/>
  <c r="N1027" i="1"/>
  <c r="R1028" i="1" s="1"/>
  <c r="M1017" i="1"/>
  <c r="Q1018" i="1" s="1"/>
  <c r="P1179" i="1"/>
  <c r="T1179" i="1" s="1"/>
  <c r="O1029" i="1"/>
  <c r="S1029" i="1" s="1"/>
  <c r="M989" i="1"/>
  <c r="Q990" i="1" s="1"/>
  <c r="N999" i="1"/>
  <c r="R1000" i="1" s="1"/>
  <c r="P1137" i="1"/>
  <c r="T1137" i="1" s="1"/>
  <c r="O987" i="1"/>
  <c r="S987" i="1" s="1"/>
  <c r="N957" i="1"/>
  <c r="R958" i="1" s="1"/>
  <c r="M947" i="1"/>
  <c r="Q948" i="1" s="1"/>
  <c r="O959" i="1"/>
  <c r="S959" i="1" s="1"/>
  <c r="P1109" i="1"/>
  <c r="T1109" i="1" s="1"/>
  <c r="M919" i="1"/>
  <c r="Q920" i="1" s="1"/>
  <c r="P1067" i="1"/>
  <c r="T1067" i="1" s="1"/>
  <c r="O917" i="1"/>
  <c r="S917" i="1" s="1"/>
  <c r="N887" i="1"/>
  <c r="R888" i="1" s="1"/>
  <c r="M877" i="1"/>
  <c r="Q878" i="1" s="1"/>
  <c r="N845" i="1"/>
  <c r="R846" i="1" s="1"/>
  <c r="P1025" i="1"/>
  <c r="T1025" i="1" s="1"/>
  <c r="O875" i="1"/>
  <c r="S875" i="1" s="1"/>
  <c r="M835" i="1"/>
  <c r="Q836" i="1" s="1"/>
  <c r="O847" i="1"/>
  <c r="S847" i="1" s="1"/>
  <c r="P997" i="1"/>
  <c r="M807" i="1"/>
  <c r="Q808" i="1" s="1"/>
  <c r="N817" i="1"/>
  <c r="R818" i="1" s="1"/>
  <c r="O819" i="1"/>
  <c r="S819" i="1" s="1"/>
  <c r="P969" i="1"/>
  <c r="T969" i="1" s="1"/>
  <c r="M779" i="1"/>
  <c r="N789" i="1"/>
  <c r="R790" i="1" s="1"/>
  <c r="N733" i="1"/>
  <c r="O763" i="1"/>
  <c r="S763" i="1" s="1"/>
  <c r="M723" i="1"/>
  <c r="Q724" i="1" s="1"/>
  <c r="P885" i="1"/>
  <c r="T885" i="1" s="1"/>
  <c r="O735" i="1"/>
  <c r="S735" i="1" s="1"/>
  <c r="N705" i="1"/>
  <c r="R706" i="1" s="1"/>
  <c r="M695" i="1"/>
  <c r="Q696" i="1" s="1"/>
  <c r="P843" i="1"/>
  <c r="T843" i="1" s="1"/>
  <c r="N663" i="1"/>
  <c r="R664" i="1" s="1"/>
  <c r="O693" i="1"/>
  <c r="S693" i="1" s="1"/>
  <c r="M653" i="1"/>
  <c r="Q654" i="1" s="1"/>
  <c r="P801" i="1"/>
  <c r="T801" i="1" s="1"/>
  <c r="O651" i="1"/>
  <c r="S651" i="1" s="1"/>
  <c r="M611" i="1"/>
  <c r="Q612" i="1" s="1"/>
  <c r="O637" i="1"/>
  <c r="S637" i="1" s="1"/>
  <c r="P787" i="1"/>
  <c r="T787" i="1" s="1"/>
  <c r="N607" i="1"/>
  <c r="R608" i="1" s="1"/>
  <c r="P773" i="1"/>
  <c r="T773" i="1" s="1"/>
  <c r="O623" i="1"/>
  <c r="S623" i="1" s="1"/>
  <c r="M583" i="1"/>
  <c r="Q584" i="1" s="1"/>
  <c r="P745" i="1"/>
  <c r="T745" i="1" s="1"/>
  <c r="O595" i="1"/>
  <c r="S595" i="1" s="1"/>
  <c r="N565" i="1"/>
  <c r="R566" i="1" s="1"/>
  <c r="M555" i="1"/>
  <c r="Q556" i="1" s="1"/>
  <c r="N537" i="1"/>
  <c r="R538" i="1" s="1"/>
  <c r="P717" i="1"/>
  <c r="T717" i="1" s="1"/>
  <c r="M527" i="1"/>
  <c r="Q528" i="1" s="1"/>
  <c r="O567" i="1"/>
  <c r="S567" i="1" s="1"/>
  <c r="P703" i="1"/>
  <c r="T703" i="1" s="1"/>
  <c r="N523" i="1"/>
  <c r="R524" i="1" s="1"/>
  <c r="M513" i="1"/>
  <c r="Q514" i="1" s="1"/>
  <c r="O553" i="1"/>
  <c r="S553" i="1" s="1"/>
  <c r="O539" i="1"/>
  <c r="S539" i="1" s="1"/>
  <c r="P689" i="1"/>
  <c r="T689" i="1" s="1"/>
  <c r="N509" i="1"/>
  <c r="R510" i="1" s="1"/>
  <c r="P675" i="1"/>
  <c r="T675" i="1" s="1"/>
  <c r="O525" i="1"/>
  <c r="S525" i="1" s="1"/>
  <c r="N495" i="1"/>
  <c r="R496" i="1" s="1"/>
  <c r="M485" i="1"/>
  <c r="Q486" i="1" s="1"/>
  <c r="P647" i="1"/>
  <c r="T647" i="1" s="1"/>
  <c r="N467" i="1"/>
  <c r="R468" i="1" s="1"/>
  <c r="M457" i="1"/>
  <c r="Q458" i="1" s="1"/>
  <c r="O497" i="1"/>
  <c r="S497" i="1" s="1"/>
  <c r="N453" i="1"/>
  <c r="R454" i="1" s="1"/>
  <c r="P633" i="1"/>
  <c r="T633" i="1" s="1"/>
  <c r="O483" i="1"/>
  <c r="S483" i="1" s="1"/>
  <c r="M443" i="1"/>
  <c r="Q444" i="1" s="1"/>
  <c r="P619" i="1"/>
  <c r="T619" i="1" s="1"/>
  <c r="N439" i="1"/>
  <c r="R440" i="1" s="1"/>
  <c r="O469" i="1"/>
  <c r="S469" i="1" s="1"/>
  <c r="M429" i="1"/>
  <c r="Q430" i="1" s="1"/>
  <c r="P605" i="1"/>
  <c r="T605" i="1" s="1"/>
  <c r="N425" i="1"/>
  <c r="R426" i="1" s="1"/>
  <c r="O455" i="1"/>
  <c r="S455" i="1" s="1"/>
  <c r="M415" i="1"/>
  <c r="Q416" i="1" s="1"/>
  <c r="P577" i="1"/>
  <c r="O427" i="1"/>
  <c r="S427" i="1" s="1"/>
  <c r="M387" i="1"/>
  <c r="Q388" i="1" s="1"/>
  <c r="N397" i="1"/>
  <c r="R398" i="1" s="1"/>
  <c r="O399" i="1"/>
  <c r="S399" i="1" s="1"/>
  <c r="P549" i="1"/>
  <c r="T549" i="1" s="1"/>
  <c r="M359" i="1"/>
  <c r="Q360" i="1" s="1"/>
  <c r="O385" i="1"/>
  <c r="S385" i="1" s="1"/>
  <c r="P535" i="1"/>
  <c r="T535" i="1" s="1"/>
  <c r="N355" i="1"/>
  <c r="R356" i="1" s="1"/>
  <c r="N341" i="1"/>
  <c r="R342" i="1" s="1"/>
  <c r="M331" i="1"/>
  <c r="Q332" i="1" s="1"/>
  <c r="N327" i="1"/>
  <c r="R328" i="1" s="1"/>
  <c r="P507" i="1"/>
  <c r="T507" i="1" s="1"/>
  <c r="O357" i="1"/>
  <c r="S357" i="1" s="1"/>
  <c r="M317" i="1"/>
  <c r="Q318" i="1" s="1"/>
  <c r="N322" i="1"/>
  <c r="R323" i="1" s="1"/>
  <c r="O343" i="1"/>
  <c r="S343" i="1" s="1"/>
  <c r="N313" i="1"/>
  <c r="R314" i="1" s="1"/>
  <c r="P493" i="1"/>
  <c r="T493" i="1" s="1"/>
  <c r="M303" i="1"/>
  <c r="Q304" i="1" s="1"/>
  <c r="P479" i="1"/>
  <c r="N299" i="1"/>
  <c r="R300" i="1" s="1"/>
  <c r="O329" i="1"/>
  <c r="S329" i="1" s="1"/>
  <c r="M289" i="1"/>
  <c r="Q290" i="1" s="1"/>
  <c r="N285" i="1"/>
  <c r="R286" i="1" s="1"/>
  <c r="O315" i="1"/>
  <c r="S315" i="1" s="1"/>
  <c r="P465" i="1"/>
  <c r="T465" i="1" s="1"/>
  <c r="N279" i="1"/>
  <c r="N257" i="1"/>
  <c r="R258" i="1" s="1"/>
  <c r="P437" i="1"/>
  <c r="T437" i="1" s="1"/>
  <c r="M247" i="1"/>
  <c r="Q248" i="1" s="1"/>
  <c r="O287" i="1"/>
  <c r="S287" i="1" s="1"/>
  <c r="N229" i="1"/>
  <c r="R230" i="1" s="1"/>
  <c r="P409" i="1"/>
  <c r="T409" i="1" s="1"/>
  <c r="O259" i="1"/>
  <c r="S259" i="1" s="1"/>
  <c r="M219" i="1"/>
  <c r="Q220" i="1" s="1"/>
  <c r="N215" i="1"/>
  <c r="P395" i="1"/>
  <c r="T395" i="1" s="1"/>
  <c r="M205" i="1"/>
  <c r="Q206" i="1" s="1"/>
  <c r="N201" i="1"/>
  <c r="O231" i="1"/>
  <c r="S231" i="1" s="1"/>
  <c r="M191" i="1"/>
  <c r="Q192" i="1" s="1"/>
  <c r="P381" i="1"/>
  <c r="T381" i="1" s="1"/>
  <c r="N197" i="1"/>
  <c r="R198" i="1" s="1"/>
  <c r="N187" i="1"/>
  <c r="R188" i="1" s="1"/>
  <c r="P367" i="1"/>
  <c r="T367" i="1" s="1"/>
  <c r="O217" i="1"/>
  <c r="S217" i="1" s="1"/>
  <c r="M177" i="1"/>
  <c r="Q178" i="1" s="1"/>
  <c r="N173" i="1"/>
  <c r="R174" i="1" s="1"/>
  <c r="P353" i="1"/>
  <c r="T353" i="1" s="1"/>
  <c r="O203" i="1"/>
  <c r="S203" i="1" s="1"/>
  <c r="N159" i="1"/>
  <c r="R160" i="1" s="1"/>
  <c r="P339" i="1"/>
  <c r="T339" i="1" s="1"/>
  <c r="O189" i="1"/>
  <c r="S189" i="1" s="1"/>
  <c r="M149" i="1"/>
  <c r="N156" i="1"/>
  <c r="R157" i="1" s="1"/>
  <c r="N131" i="1"/>
  <c r="R132" i="1" s="1"/>
  <c r="P311" i="1"/>
  <c r="T311" i="1" s="1"/>
  <c r="M121" i="1"/>
  <c r="Q122" i="1" s="1"/>
  <c r="O161" i="1"/>
  <c r="S161" i="1" s="1"/>
  <c r="N103" i="1"/>
  <c r="R104" i="1" s="1"/>
  <c r="O133" i="1"/>
  <c r="S133" i="1" s="1"/>
  <c r="P283" i="1"/>
  <c r="T283" i="1" s="1"/>
  <c r="M93" i="1"/>
  <c r="Q94" i="1" s="1"/>
  <c r="N89" i="1"/>
  <c r="R90" i="1" s="1"/>
  <c r="P269" i="1"/>
  <c r="T269" i="1" s="1"/>
  <c r="O119" i="1"/>
  <c r="S119" i="1" s="1"/>
  <c r="N75" i="1"/>
  <c r="R76" i="1" s="1"/>
  <c r="P255" i="1"/>
  <c r="T255" i="1" s="1"/>
  <c r="M65" i="1"/>
  <c r="Q66" i="1" s="1"/>
  <c r="N67" i="1"/>
  <c r="N61" i="1"/>
  <c r="R62" i="1" s="1"/>
  <c r="P241" i="1"/>
  <c r="T241" i="1" s="1"/>
  <c r="P227" i="1"/>
  <c r="T227" i="1" s="1"/>
  <c r="N47" i="1"/>
  <c r="R48" i="1" s="1"/>
  <c r="O77" i="1"/>
  <c r="S77" i="1" s="1"/>
  <c r="M37" i="1"/>
  <c r="Q38" i="1" s="1"/>
  <c r="N33" i="1"/>
  <c r="R34" i="1" s="1"/>
  <c r="O63" i="1"/>
  <c r="S63" i="1" s="1"/>
  <c r="M23" i="1"/>
  <c r="Q24" i="1" s="1"/>
  <c r="P213" i="1"/>
  <c r="T213" i="1" s="1"/>
  <c r="M1141" i="1"/>
  <c r="Q1142" i="1" s="1"/>
  <c r="M1031" i="1"/>
  <c r="Q1032" i="1" s="1"/>
  <c r="M984" i="1"/>
  <c r="Q985" i="1" s="1"/>
  <c r="M933" i="1"/>
  <c r="Q934" i="1" s="1"/>
  <c r="M826" i="1"/>
  <c r="Q827" i="1" s="1"/>
  <c r="M775" i="1"/>
  <c r="Q776" i="1" s="1"/>
  <c r="M715" i="1"/>
  <c r="Q716" i="1" s="1"/>
  <c r="M665" i="1"/>
  <c r="Q666" i="1" s="1"/>
  <c r="M552" i="1"/>
  <c r="Q553" i="1" s="1"/>
  <c r="M498" i="1"/>
  <c r="Q499" i="1" s="1"/>
  <c r="M447" i="1"/>
  <c r="Q448" i="1" s="1"/>
  <c r="M271" i="1"/>
  <c r="Q272" i="1" s="1"/>
  <c r="M198" i="1"/>
  <c r="Q199" i="1" s="1"/>
  <c r="M134" i="1"/>
  <c r="Q135" i="1" s="1"/>
  <c r="M73" i="1"/>
  <c r="Q74" i="1" s="1"/>
  <c r="N1172" i="1"/>
  <c r="R1173" i="1" s="1"/>
  <c r="N1107" i="1"/>
  <c r="R1108" i="1" s="1"/>
  <c r="N1014" i="1"/>
  <c r="R1015" i="1" s="1"/>
  <c r="N696" i="1"/>
  <c r="R697" i="1" s="1"/>
  <c r="N621" i="1"/>
  <c r="R622" i="1" s="1"/>
  <c r="N451" i="1"/>
  <c r="R452" i="1" s="1"/>
  <c r="N365" i="1"/>
  <c r="R366" i="1" s="1"/>
  <c r="N249" i="1"/>
  <c r="R250" i="1" s="1"/>
  <c r="O760" i="1"/>
  <c r="S760" i="1" s="1"/>
  <c r="O378" i="1"/>
  <c r="S378" i="1" s="1"/>
  <c r="P1001" i="1"/>
  <c r="T1001" i="1" s="1"/>
  <c r="P743" i="1"/>
  <c r="P433" i="1"/>
  <c r="T433" i="1" s="1"/>
  <c r="N1241" i="1"/>
  <c r="R1242" i="1" s="1"/>
  <c r="N1240" i="1"/>
  <c r="R1241" i="1" s="1"/>
  <c r="N1185" i="1"/>
  <c r="R1186" i="1" s="1"/>
  <c r="O1215" i="1"/>
  <c r="S1215" i="1" s="1"/>
  <c r="W1215" i="1" s="1"/>
  <c r="M1175" i="1"/>
  <c r="Q1176" i="1" s="1"/>
  <c r="N1183" i="1"/>
  <c r="N1184" i="1"/>
  <c r="O1159" i="1"/>
  <c r="S1159" i="1" s="1"/>
  <c r="N1127" i="1"/>
  <c r="R1128" i="1" s="1"/>
  <c r="N1128" i="1"/>
  <c r="R1129" i="1" s="1"/>
  <c r="O1103" i="1"/>
  <c r="S1103" i="1" s="1"/>
  <c r="N1072" i="1"/>
  <c r="R1073" i="1" s="1"/>
  <c r="N1073" i="1"/>
  <c r="R1074" i="1" s="1"/>
  <c r="P1253" i="1"/>
  <c r="T1253" i="1" s="1"/>
  <c r="P1252" i="1"/>
  <c r="T1252" i="1" s="1"/>
  <c r="M1063" i="1"/>
  <c r="Q1064" i="1" s="1"/>
  <c r="P1183" i="1"/>
  <c r="T1183" i="1" s="1"/>
  <c r="O1033" i="1"/>
  <c r="S1033" i="1" s="1"/>
  <c r="N1001" i="1"/>
  <c r="R1002" i="1" s="1"/>
  <c r="N1002" i="1"/>
  <c r="R1003" i="1" s="1"/>
  <c r="P1181" i="1"/>
  <c r="T1181" i="1" s="1"/>
  <c r="P1182" i="1"/>
  <c r="T1182" i="1" s="1"/>
  <c r="M993" i="1"/>
  <c r="Q994" i="1" s="1"/>
  <c r="P1139" i="1"/>
  <c r="T1139" i="1" s="1"/>
  <c r="P1140" i="1"/>
  <c r="T1140" i="1" s="1"/>
  <c r="O991" i="1"/>
  <c r="S991" i="1" s="1"/>
  <c r="P1141" i="1"/>
  <c r="T1141" i="1" s="1"/>
  <c r="M951" i="1"/>
  <c r="Q952" i="1" s="1"/>
  <c r="N961" i="1"/>
  <c r="R962" i="1" s="1"/>
  <c r="O935" i="1"/>
  <c r="S935" i="1" s="1"/>
  <c r="N905" i="1"/>
  <c r="R906" i="1" s="1"/>
  <c r="P1084" i="1"/>
  <c r="T1084" i="1" s="1"/>
  <c r="M895" i="1"/>
  <c r="Q896" i="1" s="1"/>
  <c r="P1085" i="1"/>
  <c r="T1085" i="1" s="1"/>
  <c r="P1027" i="1"/>
  <c r="N848" i="1"/>
  <c r="R849" i="1" s="1"/>
  <c r="P1029" i="1"/>
  <c r="T1029" i="1" s="1"/>
  <c r="P1028" i="1"/>
  <c r="T1028" i="1" s="1"/>
  <c r="N849" i="1"/>
  <c r="R850" i="1" s="1"/>
  <c r="M839" i="1"/>
  <c r="P931" i="1"/>
  <c r="T931" i="1" s="1"/>
  <c r="P929" i="1"/>
  <c r="T929" i="1" s="1"/>
  <c r="P930" i="1"/>
  <c r="N750" i="1"/>
  <c r="R751" i="1" s="1"/>
  <c r="O781" i="1"/>
  <c r="S781" i="1" s="1"/>
  <c r="M741" i="1"/>
  <c r="Q742" i="1" s="1"/>
  <c r="N751" i="1"/>
  <c r="R752" i="1" s="1"/>
  <c r="P805" i="1"/>
  <c r="T805" i="1" s="1"/>
  <c r="N625" i="1"/>
  <c r="R626" i="1" s="1"/>
  <c r="N623" i="1"/>
  <c r="R624" i="1" s="1"/>
  <c r="N624" i="1"/>
  <c r="R625" i="1" s="1"/>
  <c r="O655" i="1"/>
  <c r="S655" i="1" s="1"/>
  <c r="M1096" i="1"/>
  <c r="Q1097" i="1" s="1"/>
  <c r="M217" i="1"/>
  <c r="Q218" i="1" s="1"/>
  <c r="N1178" i="1"/>
  <c r="R1179" i="1" s="1"/>
  <c r="N702" i="1"/>
  <c r="R703" i="1" s="1"/>
  <c r="N253" i="1"/>
  <c r="R254" i="1" s="1"/>
  <c r="O945" i="1"/>
  <c r="S945" i="1" s="1"/>
  <c r="O437" i="1"/>
  <c r="S437" i="1" s="1"/>
  <c r="P1006" i="1"/>
  <c r="T1006" i="1" s="1"/>
  <c r="P504" i="1"/>
  <c r="T504" i="1" s="1"/>
  <c r="M1242" i="1"/>
  <c r="Q1243" i="1" s="1"/>
  <c r="N1252" i="1"/>
  <c r="R1253" i="1" s="1"/>
  <c r="M1144" i="1"/>
  <c r="Q1145" i="1" s="1"/>
  <c r="N1154" i="1"/>
  <c r="R1155" i="1" s="1"/>
  <c r="O1184" i="1"/>
  <c r="S1184" i="1" s="1"/>
  <c r="M1074" i="1"/>
  <c r="Q1075" i="1" s="1"/>
  <c r="O1114" i="1"/>
  <c r="S1114" i="1" s="1"/>
  <c r="N1084" i="1"/>
  <c r="R1085" i="1" s="1"/>
  <c r="M962" i="1"/>
  <c r="P1152" i="1"/>
  <c r="T1152" i="1" s="1"/>
  <c r="O1002" i="1"/>
  <c r="S1002" i="1" s="1"/>
  <c r="M864" i="1"/>
  <c r="Q865" i="1" s="1"/>
  <c r="O904" i="1"/>
  <c r="S904" i="1" s="1"/>
  <c r="P1054" i="1"/>
  <c r="M766" i="1"/>
  <c r="Q767" i="1" s="1"/>
  <c r="P956" i="1"/>
  <c r="N776" i="1"/>
  <c r="R777" i="1" s="1"/>
  <c r="O806" i="1"/>
  <c r="S806" i="1" s="1"/>
  <c r="P872" i="1"/>
  <c r="T872" i="1" s="1"/>
  <c r="M682" i="1"/>
  <c r="Q683" i="1" s="1"/>
  <c r="O722" i="1"/>
  <c r="S722" i="1" s="1"/>
  <c r="M584" i="1"/>
  <c r="Q585" i="1" s="1"/>
  <c r="P774" i="1"/>
  <c r="T774" i="1" s="1"/>
  <c r="O624" i="1"/>
  <c r="S624" i="1" s="1"/>
  <c r="O540" i="1"/>
  <c r="S540" i="1" s="1"/>
  <c r="P690" i="1"/>
  <c r="T690" i="1" s="1"/>
  <c r="M500" i="1"/>
  <c r="Q501" i="1" s="1"/>
  <c r="N510" i="1"/>
  <c r="R511" i="1" s="1"/>
  <c r="O442" i="1"/>
  <c r="S442" i="1" s="1"/>
  <c r="M402" i="1"/>
  <c r="Q403" i="1" s="1"/>
  <c r="P592" i="1"/>
  <c r="T592" i="1" s="1"/>
  <c r="N412" i="1"/>
  <c r="R413" i="1" s="1"/>
  <c r="O330" i="1"/>
  <c r="S330" i="1" s="1"/>
  <c r="P480" i="1"/>
  <c r="T480" i="1" s="1"/>
  <c r="N300" i="1"/>
  <c r="R301" i="1" s="1"/>
  <c r="M290" i="1"/>
  <c r="Q291" i="1" s="1"/>
  <c r="O190" i="1"/>
  <c r="S190" i="1" s="1"/>
  <c r="N160" i="1"/>
  <c r="R161" i="1" s="1"/>
  <c r="P340" i="1"/>
  <c r="T340" i="1" s="1"/>
  <c r="M150" i="1"/>
  <c r="Q151" i="1" s="1"/>
  <c r="M985" i="1"/>
  <c r="Q986" i="1" s="1"/>
  <c r="M827" i="1"/>
  <c r="Q828" i="1" s="1"/>
  <c r="M666" i="1"/>
  <c r="Q667" i="1" s="1"/>
  <c r="M499" i="1"/>
  <c r="Q500" i="1" s="1"/>
  <c r="N1108" i="1"/>
  <c r="R1109" i="1" s="1"/>
  <c r="N369" i="1"/>
  <c r="R370" i="1" s="1"/>
  <c r="O1104" i="1"/>
  <c r="S1104" i="1" s="1"/>
  <c r="O384" i="1"/>
  <c r="S384" i="1" s="1"/>
  <c r="O1239" i="1"/>
  <c r="S1239" i="1" s="1"/>
  <c r="N1209" i="1"/>
  <c r="R1210" i="1" s="1"/>
  <c r="M1199" i="1"/>
  <c r="Q1200" i="1" s="1"/>
  <c r="O1197" i="1"/>
  <c r="S1197" i="1" s="1"/>
  <c r="O1155" i="1"/>
  <c r="S1155" i="1" s="1"/>
  <c r="N1125" i="1"/>
  <c r="R1126" i="1" s="1"/>
  <c r="O1113" i="1"/>
  <c r="S1113" i="1" s="1"/>
  <c r="N1083" i="1"/>
  <c r="P1193" i="1"/>
  <c r="T1193" i="1" s="1"/>
  <c r="O1043" i="1"/>
  <c r="S1043" i="1" s="1"/>
  <c r="N1013" i="1"/>
  <c r="R1014" i="1" s="1"/>
  <c r="P1151" i="1"/>
  <c r="T1151" i="1" s="1"/>
  <c r="O1001" i="1"/>
  <c r="S1001" i="1" s="1"/>
  <c r="P1095" i="1"/>
  <c r="T1095" i="1" s="1"/>
  <c r="N915" i="1"/>
  <c r="R916" i="1" s="1"/>
  <c r="M905" i="1"/>
  <c r="Q906" i="1" s="1"/>
  <c r="P1053" i="1"/>
  <c r="T1053" i="1" s="1"/>
  <c r="O903" i="1"/>
  <c r="S903" i="1" s="1"/>
  <c r="N873" i="1"/>
  <c r="M863" i="1"/>
  <c r="Q864" i="1" s="1"/>
  <c r="N831" i="1"/>
  <c r="R832" i="1" s="1"/>
  <c r="P1011" i="1"/>
  <c r="T1011" i="1" s="1"/>
  <c r="M821" i="1"/>
  <c r="Q822" i="1" s="1"/>
  <c r="O861" i="1"/>
  <c r="S861" i="1" s="1"/>
  <c r="P955" i="1"/>
  <c r="O805" i="1"/>
  <c r="S805" i="1" s="1"/>
  <c r="N775" i="1"/>
  <c r="R776" i="1" s="1"/>
  <c r="M765" i="1"/>
  <c r="Q766" i="1" s="1"/>
  <c r="P927" i="1"/>
  <c r="T927" i="1" s="1"/>
  <c r="N747" i="1"/>
  <c r="R748" i="1" s="1"/>
  <c r="O777" i="1"/>
  <c r="S777" i="1" s="1"/>
  <c r="M737" i="1"/>
  <c r="Q738" i="1" s="1"/>
  <c r="O721" i="1"/>
  <c r="S721" i="1" s="1"/>
  <c r="P871" i="1"/>
  <c r="N691" i="1"/>
  <c r="R692" i="1" s="1"/>
  <c r="P829" i="1"/>
  <c r="T829" i="1" s="1"/>
  <c r="O679" i="1"/>
  <c r="S679" i="1" s="1"/>
  <c r="N649" i="1"/>
  <c r="O581" i="1"/>
  <c r="S581" i="1" s="1"/>
  <c r="O441" i="1"/>
  <c r="S441" i="1" s="1"/>
  <c r="P591" i="1"/>
  <c r="N402" i="1"/>
  <c r="R403" i="1" s="1"/>
  <c r="P423" i="1"/>
  <c r="T423" i="1" s="1"/>
  <c r="N243" i="1"/>
  <c r="R244" i="1" s="1"/>
  <c r="O273" i="1"/>
  <c r="S273" i="1" s="1"/>
  <c r="M233" i="1"/>
  <c r="Q234" i="1" s="1"/>
  <c r="N241" i="1"/>
  <c r="O147" i="1"/>
  <c r="S147" i="1" s="1"/>
  <c r="N117" i="1"/>
  <c r="R118" i="1" s="1"/>
  <c r="M107" i="1"/>
  <c r="Q108" i="1" s="1"/>
  <c r="P297" i="1"/>
  <c r="T297" i="1" s="1"/>
  <c r="N112" i="1"/>
  <c r="R113" i="1" s="1"/>
  <c r="M379" i="1"/>
  <c r="Q380" i="1" s="1"/>
  <c r="N1249" i="1"/>
  <c r="R1250" i="1" s="1"/>
  <c r="M1239" i="1"/>
  <c r="Q1240" i="1" s="1"/>
  <c r="M1240" i="1"/>
  <c r="Q1241" i="1" s="1"/>
  <c r="N1250" i="1"/>
  <c r="R1251" i="1" s="1"/>
  <c r="O1252" i="1"/>
  <c r="S1252" i="1" s="1"/>
  <c r="N1221" i="1"/>
  <c r="R1222" i="1" s="1"/>
  <c r="N1222" i="1"/>
  <c r="R1223" i="1" s="1"/>
  <c r="O1251" i="1"/>
  <c r="S1251" i="1" s="1"/>
  <c r="M1205" i="1"/>
  <c r="Q1206" i="1" s="1"/>
  <c r="O1224" i="1"/>
  <c r="S1224" i="1" s="1"/>
  <c r="N1194" i="1"/>
  <c r="R1195" i="1" s="1"/>
  <c r="O1223" i="1"/>
  <c r="S1223" i="1" s="1"/>
  <c r="M1182" i="1"/>
  <c r="Q1183" i="1" s="1"/>
  <c r="N1166" i="1"/>
  <c r="R1167" i="1" s="1"/>
  <c r="M1156" i="1"/>
  <c r="Q1157" i="1" s="1"/>
  <c r="O1196" i="1"/>
  <c r="S1196" i="1" s="1"/>
  <c r="N1165" i="1"/>
  <c r="R1166" i="1" s="1"/>
  <c r="N1124" i="1"/>
  <c r="R1125" i="1" s="1"/>
  <c r="O1154" i="1"/>
  <c r="S1154" i="1" s="1"/>
  <c r="N1123" i="1"/>
  <c r="M1113" i="1"/>
  <c r="Q1114" i="1" s="1"/>
  <c r="P1248" i="1"/>
  <c r="N1068" i="1"/>
  <c r="R1069" i="1" s="1"/>
  <c r="N1067" i="1"/>
  <c r="R1068" i="1" s="1"/>
  <c r="O1098" i="1"/>
  <c r="S1098" i="1" s="1"/>
  <c r="M1057" i="1"/>
  <c r="Q1058" i="1" s="1"/>
  <c r="M1058" i="1"/>
  <c r="O1092" i="1"/>
  <c r="S1092" i="1" s="1"/>
  <c r="N1012" i="1"/>
  <c r="R1013" i="1" s="1"/>
  <c r="P1192" i="1"/>
  <c r="T1192" i="1" s="1"/>
  <c r="O1042" i="1"/>
  <c r="S1042" i="1" s="1"/>
  <c r="M1001" i="1"/>
  <c r="Q1002" i="1" s="1"/>
  <c r="N928" i="1"/>
  <c r="R929" i="1" s="1"/>
  <c r="M918" i="1"/>
  <c r="Q919" i="1" s="1"/>
  <c r="P1108" i="1"/>
  <c r="T1108" i="1" s="1"/>
  <c r="O958" i="1"/>
  <c r="S958" i="1" s="1"/>
  <c r="M911" i="1"/>
  <c r="Q912" i="1" s="1"/>
  <c r="N788" i="1"/>
  <c r="R789" i="1" s="1"/>
  <c r="P968" i="1"/>
  <c r="T968" i="1" s="1"/>
  <c r="O818" i="1"/>
  <c r="S818" i="1" s="1"/>
  <c r="N787" i="1"/>
  <c r="M774" i="1"/>
  <c r="Q775" i="1" s="1"/>
  <c r="N564" i="1"/>
  <c r="R565" i="1" s="1"/>
  <c r="M554" i="1"/>
  <c r="Q555" i="1" s="1"/>
  <c r="O594" i="1"/>
  <c r="S594" i="1" s="1"/>
  <c r="M553" i="1"/>
  <c r="Q554" i="1" s="1"/>
  <c r="O369" i="1"/>
  <c r="S369" i="1" s="1"/>
  <c r="P1156" i="1"/>
  <c r="T1156" i="1" s="1"/>
  <c r="P641" i="1"/>
  <c r="T641" i="1" s="1"/>
  <c r="M1183" i="1"/>
  <c r="Q1184" i="1" s="1"/>
  <c r="M1073" i="1"/>
  <c r="M915" i="1"/>
  <c r="Q916" i="1" s="1"/>
  <c r="M805" i="1"/>
  <c r="Q806" i="1" s="1"/>
  <c r="M596" i="1"/>
  <c r="Q597" i="1" s="1"/>
  <c r="M477" i="1"/>
  <c r="M369" i="1"/>
  <c r="Q370" i="1" s="1"/>
  <c r="M251" i="1"/>
  <c r="Q252" i="1" s="1"/>
  <c r="M112" i="1"/>
  <c r="Q113" i="1" s="1"/>
  <c r="N1145" i="1"/>
  <c r="R1146" i="1" s="1"/>
  <c r="N1003" i="1"/>
  <c r="R1004" i="1" s="1"/>
  <c r="N661" i="1"/>
  <c r="R662" i="1" s="1"/>
  <c r="N517" i="1"/>
  <c r="R518" i="1" s="1"/>
  <c r="N330" i="1"/>
  <c r="R331" i="1" s="1"/>
  <c r="N82" i="1"/>
  <c r="O319" i="1"/>
  <c r="S319" i="1" s="1"/>
  <c r="P1154" i="1"/>
  <c r="T1154" i="1" s="1"/>
  <c r="P630" i="1"/>
  <c r="T630" i="1" s="1"/>
  <c r="M1219" i="1"/>
  <c r="O1233" i="1"/>
  <c r="S1233" i="1" s="1"/>
  <c r="N1160" i="1"/>
  <c r="R1161" i="1" s="1"/>
  <c r="N1118" i="1"/>
  <c r="R1119" i="1" s="1"/>
  <c r="M1064" i="1"/>
  <c r="Q1065" i="1" s="1"/>
  <c r="O1080" i="1"/>
  <c r="S1080" i="1" s="1"/>
  <c r="M997" i="1"/>
  <c r="Q998" i="1" s="1"/>
  <c r="M968" i="1"/>
  <c r="Q969" i="1" s="1"/>
  <c r="N949" i="1"/>
  <c r="R950" i="1" s="1"/>
  <c r="O953" i="1"/>
  <c r="S953" i="1" s="1"/>
  <c r="O897" i="1"/>
  <c r="S897" i="1" s="1"/>
  <c r="N840" i="1"/>
  <c r="R841" i="1" s="1"/>
  <c r="O841" i="1"/>
  <c r="S841" i="1" s="1"/>
  <c r="O798" i="1"/>
  <c r="S798" i="1" s="1"/>
  <c r="M701" i="1"/>
  <c r="Q702" i="1" s="1"/>
  <c r="P793" i="1"/>
  <c r="T793" i="1" s="1"/>
  <c r="O614" i="1"/>
  <c r="S614" i="1" s="1"/>
  <c r="M534" i="1"/>
  <c r="Q535" i="1" s="1"/>
  <c r="M490" i="1"/>
  <c r="Q491" i="1" s="1"/>
  <c r="O476" i="1"/>
  <c r="S476" i="1" s="1"/>
  <c r="P583" i="1"/>
  <c r="T583" i="1" s="1"/>
  <c r="M365" i="1"/>
  <c r="Q366" i="1" s="1"/>
  <c r="M339" i="1"/>
  <c r="Q340" i="1" s="1"/>
  <c r="O335" i="1"/>
  <c r="S335" i="1" s="1"/>
  <c r="O279" i="1"/>
  <c r="S279" i="1" s="1"/>
  <c r="P347" i="1"/>
  <c r="T347" i="1" s="1"/>
  <c r="N139" i="1"/>
  <c r="P263" i="1"/>
  <c r="T263" i="1" s="1"/>
  <c r="O55" i="1"/>
  <c r="S55" i="1" s="1"/>
  <c r="M1181" i="1"/>
  <c r="Q1182" i="1" s="1"/>
  <c r="M914" i="1"/>
  <c r="Q915" i="1" s="1"/>
  <c r="M803" i="1"/>
  <c r="Q804" i="1" s="1"/>
  <c r="M646" i="1"/>
  <c r="Q647" i="1" s="1"/>
  <c r="M595" i="1"/>
  <c r="Q596" i="1" s="1"/>
  <c r="M541" i="1"/>
  <c r="Q542" i="1" s="1"/>
  <c r="M422" i="1"/>
  <c r="Q423" i="1" s="1"/>
  <c r="M301" i="1"/>
  <c r="Q302" i="1" s="1"/>
  <c r="M244" i="1"/>
  <c r="Q245" i="1" s="1"/>
  <c r="M186" i="1"/>
  <c r="Q187" i="1" s="1"/>
  <c r="M110" i="1"/>
  <c r="Q111" i="1" s="1"/>
  <c r="M48" i="1"/>
  <c r="Q49" i="1" s="1"/>
  <c r="N1225" i="1"/>
  <c r="R1226" i="1" s="1"/>
  <c r="N1076" i="1"/>
  <c r="R1077" i="1" s="1"/>
  <c r="N904" i="1"/>
  <c r="R905" i="1" s="1"/>
  <c r="N834" i="1"/>
  <c r="R835" i="1" s="1"/>
  <c r="N753" i="1"/>
  <c r="R754" i="1" s="1"/>
  <c r="N660" i="1"/>
  <c r="R661" i="1" s="1"/>
  <c r="N591" i="1"/>
  <c r="R592" i="1" s="1"/>
  <c r="N415" i="1"/>
  <c r="R416" i="1" s="1"/>
  <c r="N208" i="1"/>
  <c r="R209" i="1" s="1"/>
  <c r="N78" i="1"/>
  <c r="R79" i="1" s="1"/>
  <c r="O1166" i="1"/>
  <c r="S1166" i="1" s="1"/>
  <c r="O1009" i="1"/>
  <c r="S1009" i="1" s="1"/>
  <c r="O876" i="1"/>
  <c r="S876" i="1" s="1"/>
  <c r="O703" i="1"/>
  <c r="S703" i="1" s="1"/>
  <c r="O511" i="1"/>
  <c r="S511" i="1" s="1"/>
  <c r="O310" i="1"/>
  <c r="S310" i="1" s="1"/>
  <c r="O108" i="1"/>
  <c r="S108" i="1" s="1"/>
  <c r="P912" i="1"/>
  <c r="T912" i="1" s="1"/>
  <c r="P629" i="1"/>
  <c r="P315" i="1"/>
  <c r="T315" i="1" s="1"/>
  <c r="M1231" i="1"/>
  <c r="Q1232" i="1" s="1"/>
  <c r="M1167" i="1"/>
  <c r="Q1168" i="1" s="1"/>
  <c r="M1119" i="1"/>
  <c r="Q1120" i="1" s="1"/>
  <c r="M1070" i="1"/>
  <c r="M1009" i="1"/>
  <c r="Q1010" i="1" s="1"/>
  <c r="M960" i="1"/>
  <c r="Q961" i="1" s="1"/>
  <c r="M913" i="1"/>
  <c r="Q914" i="1" s="1"/>
  <c r="M848" i="1"/>
  <c r="Q849" i="1" s="1"/>
  <c r="M802" i="1"/>
  <c r="Q803" i="1" s="1"/>
  <c r="M755" i="1"/>
  <c r="M690" i="1"/>
  <c r="Q691" i="1" s="1"/>
  <c r="M644" i="1"/>
  <c r="Q645" i="1" s="1"/>
  <c r="M594" i="1"/>
  <c r="Q595" i="1" s="1"/>
  <c r="M526" i="1"/>
  <c r="Q527" i="1" s="1"/>
  <c r="M475" i="1"/>
  <c r="Q476" i="1" s="1"/>
  <c r="M421" i="1"/>
  <c r="Q422" i="1" s="1"/>
  <c r="M352" i="1"/>
  <c r="Q353" i="1" s="1"/>
  <c r="M298" i="1"/>
  <c r="Q299" i="1" s="1"/>
  <c r="M243" i="1"/>
  <c r="Q244" i="1" s="1"/>
  <c r="M170" i="1"/>
  <c r="Q171" i="1" s="1"/>
  <c r="M109" i="1"/>
  <c r="Q110" i="1" s="1"/>
  <c r="M40" i="1"/>
  <c r="Q41" i="1" s="1"/>
  <c r="N1208" i="1"/>
  <c r="V1208" i="1" s="1"/>
  <c r="N1142" i="1"/>
  <c r="R1143" i="1" s="1"/>
  <c r="N1070" i="1"/>
  <c r="R1071" i="1" s="1"/>
  <c r="N973" i="1"/>
  <c r="R974" i="1" s="1"/>
  <c r="N903" i="1"/>
  <c r="R904" i="1" s="1"/>
  <c r="N832" i="1"/>
  <c r="R833" i="1" s="1"/>
  <c r="N737" i="1"/>
  <c r="R738" i="1" s="1"/>
  <c r="N659" i="1"/>
  <c r="R660" i="1" s="1"/>
  <c r="N493" i="1"/>
  <c r="R494" i="1" s="1"/>
  <c r="N414" i="1"/>
  <c r="R415" i="1" s="1"/>
  <c r="N301" i="1"/>
  <c r="R302" i="1" s="1"/>
  <c r="N207" i="1"/>
  <c r="R208" i="1" s="1"/>
  <c r="N77" i="1"/>
  <c r="R78" i="1" s="1"/>
  <c r="O1165" i="1"/>
  <c r="S1165" i="1" s="1"/>
  <c r="O831" i="1"/>
  <c r="S831" i="1" s="1"/>
  <c r="O692" i="1"/>
  <c r="S692" i="1" s="1"/>
  <c r="O507" i="1"/>
  <c r="S507" i="1" s="1"/>
  <c r="O304" i="1"/>
  <c r="S304" i="1" s="1"/>
  <c r="O105" i="1"/>
  <c r="S105" i="1" s="1"/>
  <c r="P1091" i="1"/>
  <c r="T1091" i="1" s="1"/>
  <c r="P911" i="1"/>
  <c r="T911" i="1" s="1"/>
  <c r="P623" i="1"/>
  <c r="T623" i="1" s="1"/>
  <c r="P310" i="1"/>
  <c r="T310" i="1" s="1"/>
  <c r="M1115" i="1"/>
  <c r="Q1116" i="1" s="1"/>
  <c r="M957" i="1"/>
  <c r="Q958" i="1" s="1"/>
  <c r="M910" i="1"/>
  <c r="Q911" i="1" s="1"/>
  <c r="M643" i="1"/>
  <c r="Q644" i="1" s="1"/>
  <c r="M471" i="1"/>
  <c r="Q472" i="1" s="1"/>
  <c r="M419" i="1"/>
  <c r="Q420" i="1" s="1"/>
  <c r="M351" i="1"/>
  <c r="M297" i="1"/>
  <c r="Q298" i="1" s="1"/>
  <c r="M241" i="1"/>
  <c r="Q242" i="1" s="1"/>
  <c r="M169" i="1"/>
  <c r="Q170" i="1" s="1"/>
  <c r="M104" i="1"/>
  <c r="Q105" i="1" s="1"/>
  <c r="M38" i="1"/>
  <c r="Q39" i="1" s="1"/>
  <c r="N1141" i="1"/>
  <c r="R1142" i="1" s="1"/>
  <c r="N1064" i="1"/>
  <c r="R1065" i="1" s="1"/>
  <c r="N972" i="1"/>
  <c r="R973" i="1" s="1"/>
  <c r="N902" i="1"/>
  <c r="R903" i="1" s="1"/>
  <c r="N581" i="1"/>
  <c r="R582" i="1" s="1"/>
  <c r="N413" i="1"/>
  <c r="R414" i="1" s="1"/>
  <c r="N298" i="1"/>
  <c r="R299" i="1" s="1"/>
  <c r="N176" i="1"/>
  <c r="R177" i="1" s="1"/>
  <c r="O104" i="1"/>
  <c r="S104" i="1" s="1"/>
  <c r="P622" i="1"/>
  <c r="P303" i="1"/>
  <c r="T303" i="1" s="1"/>
  <c r="M1245" i="1"/>
  <c r="Q1246" i="1" s="1"/>
  <c r="N1253" i="1"/>
  <c r="R1254" i="1" s="1"/>
  <c r="N1254" i="1"/>
  <c r="R1255" i="1" s="1"/>
  <c r="O1243" i="1"/>
  <c r="S1243" i="1" s="1"/>
  <c r="N1211" i="1"/>
  <c r="R1212" i="1" s="1"/>
  <c r="N1213" i="1"/>
  <c r="R1214" i="1" s="1"/>
  <c r="N1212" i="1"/>
  <c r="R1213" i="1" s="1"/>
  <c r="M1203" i="1"/>
  <c r="Q1204" i="1" s="1"/>
  <c r="N1169" i="1"/>
  <c r="R1170" i="1" s="1"/>
  <c r="N1171" i="1"/>
  <c r="R1172" i="1" s="1"/>
  <c r="O1201" i="1"/>
  <c r="S1201" i="1" s="1"/>
  <c r="M1161" i="1"/>
  <c r="Q1162" i="1" s="1"/>
  <c r="O1131" i="1"/>
  <c r="S1131" i="1" s="1"/>
  <c r="N1101" i="1"/>
  <c r="R1102" i="1" s="1"/>
  <c r="N1099" i="1"/>
  <c r="R1100" i="1" s="1"/>
  <c r="M1091" i="1"/>
  <c r="Q1092" i="1" s="1"/>
  <c r="N1100" i="1"/>
  <c r="R1101" i="1" s="1"/>
  <c r="O1075" i="1"/>
  <c r="S1075" i="1" s="1"/>
  <c r="N1045" i="1"/>
  <c r="R1046" i="1" s="1"/>
  <c r="M1035" i="1"/>
  <c r="Q1036" i="1" s="1"/>
  <c r="N1017" i="1"/>
  <c r="R1018" i="1" s="1"/>
  <c r="P1195" i="1"/>
  <c r="T1195" i="1" s="1"/>
  <c r="P1196" i="1"/>
  <c r="T1196" i="1" s="1"/>
  <c r="N1015" i="1"/>
  <c r="R1016" i="1" s="1"/>
  <c r="P1197" i="1"/>
  <c r="T1197" i="1" s="1"/>
  <c r="N1016" i="1"/>
  <c r="R1017" i="1" s="1"/>
  <c r="P1169" i="1"/>
  <c r="T1169" i="1" s="1"/>
  <c r="O1019" i="1"/>
  <c r="S1019" i="1" s="1"/>
  <c r="M979" i="1"/>
  <c r="Q980" i="1" s="1"/>
  <c r="N988" i="1"/>
  <c r="R989" i="1" s="1"/>
  <c r="N989" i="1"/>
  <c r="R990" i="1" s="1"/>
  <c r="N987" i="1"/>
  <c r="R988" i="1" s="1"/>
  <c r="P1127" i="1"/>
  <c r="T1127" i="1" s="1"/>
  <c r="P1125" i="1"/>
  <c r="T1125" i="1" s="1"/>
  <c r="P1126" i="1"/>
  <c r="T1126" i="1" s="1"/>
  <c r="N946" i="1"/>
  <c r="R947" i="1" s="1"/>
  <c r="N947" i="1"/>
  <c r="R948" i="1" s="1"/>
  <c r="O977" i="1"/>
  <c r="S977" i="1" s="1"/>
  <c r="P1113" i="1"/>
  <c r="T1113" i="1" s="1"/>
  <c r="O963" i="1"/>
  <c r="S963" i="1" s="1"/>
  <c r="N932" i="1"/>
  <c r="R933" i="1" s="1"/>
  <c r="N933" i="1"/>
  <c r="R934" i="1" s="1"/>
  <c r="M923" i="1"/>
  <c r="Q924" i="1" s="1"/>
  <c r="P1043" i="1"/>
  <c r="T1043" i="1" s="1"/>
  <c r="N861" i="1"/>
  <c r="R862" i="1" s="1"/>
  <c r="N863" i="1"/>
  <c r="R864" i="1" s="1"/>
  <c r="O893" i="1"/>
  <c r="S893" i="1" s="1"/>
  <c r="M853" i="1"/>
  <c r="Q854" i="1" s="1"/>
  <c r="P1041" i="1"/>
  <c r="T1041" i="1" s="1"/>
  <c r="P971" i="1"/>
  <c r="T971" i="1" s="1"/>
  <c r="P973" i="1"/>
  <c r="T973" i="1" s="1"/>
  <c r="O823" i="1"/>
  <c r="S823" i="1" s="1"/>
  <c r="M783" i="1"/>
  <c r="Q784" i="1" s="1"/>
  <c r="N792" i="1"/>
  <c r="R793" i="1" s="1"/>
  <c r="O641" i="1"/>
  <c r="S641" i="1" s="1"/>
  <c r="N611" i="1"/>
  <c r="R612" i="1" s="1"/>
  <c r="N609" i="1"/>
  <c r="R610" i="1" s="1"/>
  <c r="P791" i="1"/>
  <c r="T791" i="1" s="1"/>
  <c r="N610" i="1"/>
  <c r="R611" i="1" s="1"/>
  <c r="M1147" i="1"/>
  <c r="Q1148" i="1" s="1"/>
  <c r="M889" i="1"/>
  <c r="Q890" i="1" s="1"/>
  <c r="M328" i="1"/>
  <c r="Q329" i="1" s="1"/>
  <c r="M78" i="1"/>
  <c r="Q79" i="1" s="1"/>
  <c r="N869" i="1"/>
  <c r="R870" i="1" s="1"/>
  <c r="N459" i="1"/>
  <c r="N25" i="1"/>
  <c r="R26" i="1" s="1"/>
  <c r="O589" i="1"/>
  <c r="S589" i="1" s="1"/>
  <c r="P1225" i="1"/>
  <c r="T1225" i="1" s="1"/>
  <c r="P746" i="1"/>
  <c r="M1228" i="1"/>
  <c r="Q1229" i="1" s="1"/>
  <c r="N1238" i="1"/>
  <c r="R1239" i="1" s="1"/>
  <c r="M1116" i="1"/>
  <c r="Q1117" i="1" s="1"/>
  <c r="O1156" i="1"/>
  <c r="S1156" i="1" s="1"/>
  <c r="N1126" i="1"/>
  <c r="R1127" i="1" s="1"/>
  <c r="P1208" i="1"/>
  <c r="T1208" i="1" s="1"/>
  <c r="M1018" i="1"/>
  <c r="Q1019" i="1" s="1"/>
  <c r="N1028" i="1"/>
  <c r="R1029" i="1" s="1"/>
  <c r="N958" i="1"/>
  <c r="R959" i="1" s="1"/>
  <c r="M948" i="1"/>
  <c r="Q949" i="1" s="1"/>
  <c r="O988" i="1"/>
  <c r="S988" i="1" s="1"/>
  <c r="P1068" i="1"/>
  <c r="T1068" i="1" s="1"/>
  <c r="M878" i="1"/>
  <c r="Q879" i="1" s="1"/>
  <c r="N888" i="1"/>
  <c r="R889" i="1" s="1"/>
  <c r="O918" i="1"/>
  <c r="S918" i="1" s="1"/>
  <c r="O820" i="1"/>
  <c r="S820" i="1" s="1"/>
  <c r="M780" i="1"/>
  <c r="Q781" i="1" s="1"/>
  <c r="P970" i="1"/>
  <c r="T970" i="1" s="1"/>
  <c r="N790" i="1"/>
  <c r="R791" i="1" s="1"/>
  <c r="P886" i="1"/>
  <c r="T886" i="1" s="1"/>
  <c r="M696" i="1"/>
  <c r="Q697" i="1" s="1"/>
  <c r="N706" i="1"/>
  <c r="R707" i="1" s="1"/>
  <c r="O736" i="1"/>
  <c r="S736" i="1" s="1"/>
  <c r="P788" i="1"/>
  <c r="T788" i="1" s="1"/>
  <c r="M598" i="1"/>
  <c r="Q599" i="1" s="1"/>
  <c r="O638" i="1"/>
  <c r="S638" i="1" s="1"/>
  <c r="W638" i="1" s="1"/>
  <c r="N608" i="1"/>
  <c r="R609" i="1" s="1"/>
  <c r="O568" i="1"/>
  <c r="S568" i="1" s="1"/>
  <c r="M528" i="1"/>
  <c r="Q529" i="1" s="1"/>
  <c r="N538" i="1"/>
  <c r="R539" i="1" s="1"/>
  <c r="P718" i="1"/>
  <c r="O484" i="1"/>
  <c r="S484" i="1" s="1"/>
  <c r="P634" i="1"/>
  <c r="T634" i="1" s="1"/>
  <c r="M444" i="1"/>
  <c r="Q445" i="1" s="1"/>
  <c r="N454" i="1"/>
  <c r="R455" i="1" s="1"/>
  <c r="O372" i="1"/>
  <c r="S372" i="1" s="1"/>
  <c r="M332" i="1"/>
  <c r="Q333" i="1" s="1"/>
  <c r="N342" i="1"/>
  <c r="P522" i="1"/>
  <c r="T522" i="1" s="1"/>
  <c r="O260" i="1"/>
  <c r="S260" i="1" s="1"/>
  <c r="P410" i="1"/>
  <c r="T410" i="1" s="1"/>
  <c r="M220" i="1"/>
  <c r="Q221" i="1" s="1"/>
  <c r="N230" i="1"/>
  <c r="O106" i="1"/>
  <c r="S106" i="1" s="1"/>
  <c r="P256" i="1"/>
  <c r="T256" i="1" s="1"/>
  <c r="M66" i="1"/>
  <c r="Q67" i="1" s="1"/>
  <c r="M1095" i="1"/>
  <c r="Q1096" i="1" s="1"/>
  <c r="M885" i="1"/>
  <c r="Q886" i="1" s="1"/>
  <c r="M727" i="1"/>
  <c r="Q728" i="1" s="1"/>
  <c r="M565" i="1"/>
  <c r="Q566" i="1" s="1"/>
  <c r="M326" i="1"/>
  <c r="Q327" i="1" s="1"/>
  <c r="N1255" i="1"/>
  <c r="R1256" i="1" s="1"/>
  <c r="N865" i="1"/>
  <c r="R866" i="1" s="1"/>
  <c r="N547" i="1"/>
  <c r="R548" i="1" s="1"/>
  <c r="N130" i="1"/>
  <c r="R131" i="1" s="1"/>
  <c r="O761" i="1"/>
  <c r="S761" i="1" s="1"/>
  <c r="O221" i="1"/>
  <c r="S221" i="1" s="1"/>
  <c r="P744" i="1"/>
  <c r="T744" i="1" s="1"/>
  <c r="M1227" i="1"/>
  <c r="Q1228" i="1" s="1"/>
  <c r="O1225" i="1"/>
  <c r="S1225" i="1" s="1"/>
  <c r="N1195" i="1"/>
  <c r="R1196" i="1" s="1"/>
  <c r="O1169" i="1"/>
  <c r="S1169" i="1" s="1"/>
  <c r="N1139" i="1"/>
  <c r="R1140" i="1" s="1"/>
  <c r="M1129" i="1"/>
  <c r="Q1130" i="1" s="1"/>
  <c r="N1111" i="1"/>
  <c r="R1112" i="1" s="1"/>
  <c r="M1101" i="1"/>
  <c r="Q1102" i="1" s="1"/>
  <c r="O1141" i="1"/>
  <c r="S1141" i="1" s="1"/>
  <c r="P1249" i="1"/>
  <c r="T1249" i="1" s="1"/>
  <c r="M1059" i="1"/>
  <c r="Q1060" i="1" s="1"/>
  <c r="O1099" i="1"/>
  <c r="S1099" i="1" s="1"/>
  <c r="N1069" i="1"/>
  <c r="N1041" i="1"/>
  <c r="R1042" i="1" s="1"/>
  <c r="O1071" i="1"/>
  <c r="S1071" i="1" s="1"/>
  <c r="P1221" i="1"/>
  <c r="T1221" i="1" s="1"/>
  <c r="O1015" i="1"/>
  <c r="S1015" i="1" s="1"/>
  <c r="P1165" i="1"/>
  <c r="T1165" i="1" s="1"/>
  <c r="M975" i="1"/>
  <c r="Q976" i="1" s="1"/>
  <c r="N985" i="1"/>
  <c r="R986" i="1" s="1"/>
  <c r="P1123" i="1"/>
  <c r="N943" i="1"/>
  <c r="R944" i="1" s="1"/>
  <c r="O973" i="1"/>
  <c r="S973" i="1" s="1"/>
  <c r="P1081" i="1"/>
  <c r="T1081" i="1" s="1"/>
  <c r="O931" i="1"/>
  <c r="S931" i="1" s="1"/>
  <c r="N901" i="1"/>
  <c r="R902" i="1" s="1"/>
  <c r="P1039" i="1"/>
  <c r="T1039" i="1" s="1"/>
  <c r="O889" i="1"/>
  <c r="S889" i="1" s="1"/>
  <c r="M849" i="1"/>
  <c r="Q850" i="1" s="1"/>
  <c r="N859" i="1"/>
  <c r="R860" i="1" s="1"/>
  <c r="N803" i="1"/>
  <c r="R804" i="1" s="1"/>
  <c r="P983" i="1"/>
  <c r="T983" i="1" s="1"/>
  <c r="O833" i="1"/>
  <c r="S833" i="1" s="1"/>
  <c r="O791" i="1"/>
  <c r="S791" i="1" s="1"/>
  <c r="N761" i="1"/>
  <c r="R762" i="1" s="1"/>
  <c r="P941" i="1"/>
  <c r="T941" i="1" s="1"/>
  <c r="M751" i="1"/>
  <c r="Q752" i="1" s="1"/>
  <c r="O749" i="1"/>
  <c r="S749" i="1" s="1"/>
  <c r="M709" i="1"/>
  <c r="Q710" i="1" s="1"/>
  <c r="N719" i="1"/>
  <c r="R720" i="1" s="1"/>
  <c r="P899" i="1"/>
  <c r="T899" i="1" s="1"/>
  <c r="N677" i="1"/>
  <c r="R678" i="1" s="1"/>
  <c r="P857" i="1"/>
  <c r="T857" i="1" s="1"/>
  <c r="P815" i="1"/>
  <c r="T815" i="1" s="1"/>
  <c r="N635" i="1"/>
  <c r="R636" i="1" s="1"/>
  <c r="M625" i="1"/>
  <c r="Q626" i="1" s="1"/>
  <c r="O665" i="1"/>
  <c r="S665" i="1" s="1"/>
  <c r="P759" i="1"/>
  <c r="T759" i="1" s="1"/>
  <c r="O609" i="1"/>
  <c r="S609" i="1" s="1"/>
  <c r="N579" i="1"/>
  <c r="R580" i="1" s="1"/>
  <c r="P661" i="1"/>
  <c r="T661" i="1" s="1"/>
  <c r="N481" i="1"/>
  <c r="R482" i="1" s="1"/>
  <c r="P563" i="1"/>
  <c r="T563" i="1" s="1"/>
  <c r="O413" i="1"/>
  <c r="S413" i="1" s="1"/>
  <c r="N383" i="1"/>
  <c r="R384" i="1" s="1"/>
  <c r="N271" i="1"/>
  <c r="R272" i="1" s="1"/>
  <c r="P451" i="1"/>
  <c r="T451" i="1" s="1"/>
  <c r="M261" i="1"/>
  <c r="Q262" i="1" s="1"/>
  <c r="N145" i="1"/>
  <c r="R146" i="1" s="1"/>
  <c r="M135" i="1"/>
  <c r="Q136" i="1" s="1"/>
  <c r="P325" i="1"/>
  <c r="T325" i="1" s="1"/>
  <c r="M1252" i="1"/>
  <c r="Q1253" i="1" s="1"/>
  <c r="M873" i="1"/>
  <c r="Q874" i="1" s="1"/>
  <c r="M617" i="1"/>
  <c r="Q618" i="1" s="1"/>
  <c r="M325" i="1"/>
  <c r="Q326" i="1" s="1"/>
  <c r="N1239" i="1"/>
  <c r="R1240" i="1" s="1"/>
  <c r="N864" i="1"/>
  <c r="R865" i="1" s="1"/>
  <c r="N527" i="1"/>
  <c r="R528" i="1" s="1"/>
  <c r="N128" i="1"/>
  <c r="R129" i="1" s="1"/>
  <c r="O577" i="1"/>
  <c r="S577" i="1" s="1"/>
  <c r="M1251" i="1"/>
  <c r="Q1252" i="1" s="1"/>
  <c r="M1226" i="1"/>
  <c r="Q1227" i="1" s="1"/>
  <c r="N1235" i="1"/>
  <c r="R1236" i="1" s="1"/>
  <c r="O1238" i="1"/>
  <c r="S1238" i="1" s="1"/>
  <c r="M1197" i="1"/>
  <c r="Q1198" i="1" s="1"/>
  <c r="M1198" i="1"/>
  <c r="Q1199" i="1" s="1"/>
  <c r="N1180" i="1"/>
  <c r="R1181" i="1" s="1"/>
  <c r="O1210" i="1"/>
  <c r="S1210" i="1" s="1"/>
  <c r="M1169" i="1"/>
  <c r="Q1170" i="1" s="1"/>
  <c r="M1170" i="1"/>
  <c r="Q1171" i="1" s="1"/>
  <c r="N1152" i="1"/>
  <c r="M1142" i="1"/>
  <c r="Q1143" i="1" s="1"/>
  <c r="O1182" i="1"/>
  <c r="S1182" i="1" s="1"/>
  <c r="M1136" i="1"/>
  <c r="Q1137" i="1" s="1"/>
  <c r="N1138" i="1"/>
  <c r="R1139" i="1" s="1"/>
  <c r="O1168" i="1"/>
  <c r="S1168" i="1" s="1"/>
  <c r="M1127" i="1"/>
  <c r="Q1128" i="1" s="1"/>
  <c r="M1128" i="1"/>
  <c r="Q1129" i="1" s="1"/>
  <c r="N1110" i="1"/>
  <c r="R1111" i="1" s="1"/>
  <c r="O1140" i="1"/>
  <c r="S1140" i="1" s="1"/>
  <c r="M1100" i="1"/>
  <c r="Q1101" i="1" s="1"/>
  <c r="M1099" i="1"/>
  <c r="Q1100" i="1" s="1"/>
  <c r="O1139" i="1"/>
  <c r="S1139" i="1" s="1"/>
  <c r="M1093" i="1"/>
  <c r="Q1094" i="1" s="1"/>
  <c r="N1096" i="1"/>
  <c r="R1097" i="1" s="1"/>
  <c r="O1125" i="1"/>
  <c r="S1125" i="1" s="1"/>
  <c r="M1085" i="1"/>
  <c r="Q1086" i="1" s="1"/>
  <c r="O1126" i="1"/>
  <c r="S1126" i="1" s="1"/>
  <c r="M1086" i="1"/>
  <c r="Q1087" i="1" s="1"/>
  <c r="N1082" i="1"/>
  <c r="R1083" i="1" s="1"/>
  <c r="O1112" i="1"/>
  <c r="S1112" i="1" s="1"/>
  <c r="M1069" i="1"/>
  <c r="Q1070" i="1" s="1"/>
  <c r="P1234" i="1"/>
  <c r="T1234" i="1" s="1"/>
  <c r="N1054" i="1"/>
  <c r="O1084" i="1"/>
  <c r="S1084" i="1" s="1"/>
  <c r="M1044" i="1"/>
  <c r="Q1045" i="1" s="1"/>
  <c r="P1220" i="1"/>
  <c r="T1220" i="1" s="1"/>
  <c r="N1040" i="1"/>
  <c r="R1041" i="1" s="1"/>
  <c r="M1030" i="1"/>
  <c r="Q1031" i="1" s="1"/>
  <c r="O1070" i="1"/>
  <c r="S1070" i="1" s="1"/>
  <c r="O1069" i="1"/>
  <c r="S1069" i="1" s="1"/>
  <c r="P1217" i="1"/>
  <c r="T1217" i="1" s="1"/>
  <c r="M1024" i="1"/>
  <c r="N1026" i="1"/>
  <c r="R1027" i="1" s="1"/>
  <c r="O1056" i="1"/>
  <c r="S1056" i="1" s="1"/>
  <c r="M1015" i="1"/>
  <c r="Q1016" i="1" s="1"/>
  <c r="M1016" i="1"/>
  <c r="Q1017" i="1" s="1"/>
  <c r="P1206" i="1"/>
  <c r="T1206" i="1" s="1"/>
  <c r="N998" i="1"/>
  <c r="R999" i="1" s="1"/>
  <c r="P1177" i="1"/>
  <c r="T1177" i="1" s="1"/>
  <c r="M987" i="1"/>
  <c r="Q988" i="1" s="1"/>
  <c r="O1027" i="1"/>
  <c r="S1027" i="1" s="1"/>
  <c r="P1178" i="1"/>
  <c r="T1178" i="1" s="1"/>
  <c r="M988" i="1"/>
  <c r="O1028" i="1"/>
  <c r="S1028" i="1" s="1"/>
  <c r="M980" i="1"/>
  <c r="Q981" i="1" s="1"/>
  <c r="N984" i="1"/>
  <c r="R985" i="1" s="1"/>
  <c r="P1164" i="1"/>
  <c r="T1164" i="1" s="1"/>
  <c r="O1014" i="1"/>
  <c r="S1014" i="1" s="1"/>
  <c r="N983" i="1"/>
  <c r="R984" i="1" s="1"/>
  <c r="M973" i="1"/>
  <c r="Q974" i="1" s="1"/>
  <c r="N970" i="1"/>
  <c r="R971" i="1" s="1"/>
  <c r="O1000" i="1"/>
  <c r="S1000" i="1" s="1"/>
  <c r="P1150" i="1"/>
  <c r="T1150" i="1" s="1"/>
  <c r="M955" i="1"/>
  <c r="Q956" i="1" s="1"/>
  <c r="N956" i="1"/>
  <c r="M946" i="1"/>
  <c r="Q947" i="1" s="1"/>
  <c r="P1135" i="1"/>
  <c r="O978" i="1"/>
  <c r="S978" i="1" s="1"/>
  <c r="M945" i="1"/>
  <c r="Q946" i="1" s="1"/>
  <c r="P1136" i="1"/>
  <c r="T1136" i="1" s="1"/>
  <c r="O985" i="1"/>
  <c r="S985" i="1" s="1"/>
  <c r="N942" i="1"/>
  <c r="R943" i="1" s="1"/>
  <c r="P1122" i="1"/>
  <c r="T1122" i="1" s="1"/>
  <c r="P1121" i="1"/>
  <c r="T1121" i="1" s="1"/>
  <c r="O972" i="1"/>
  <c r="S972" i="1" s="1"/>
  <c r="M932" i="1"/>
  <c r="Q933" i="1" s="1"/>
  <c r="N914" i="1"/>
  <c r="R915" i="1" s="1"/>
  <c r="O944" i="1"/>
  <c r="S944" i="1" s="1"/>
  <c r="P1094" i="1"/>
  <c r="T1094" i="1" s="1"/>
  <c r="M904" i="1"/>
  <c r="Q905" i="1" s="1"/>
  <c r="N913" i="1"/>
  <c r="R914" i="1" s="1"/>
  <c r="M903" i="1"/>
  <c r="Q904" i="1" s="1"/>
  <c r="N900" i="1"/>
  <c r="R901" i="1" s="1"/>
  <c r="P1080" i="1"/>
  <c r="T1080" i="1" s="1"/>
  <c r="O929" i="1"/>
  <c r="S929" i="1" s="1"/>
  <c r="M886" i="1"/>
  <c r="Q887" i="1" s="1"/>
  <c r="N886" i="1"/>
  <c r="R887" i="1" s="1"/>
  <c r="P1066" i="1"/>
  <c r="T1066" i="1" s="1"/>
  <c r="M876" i="1"/>
  <c r="Q877" i="1" s="1"/>
  <c r="N885" i="1"/>
  <c r="R886" i="1" s="1"/>
  <c r="O916" i="1"/>
  <c r="S916" i="1" s="1"/>
  <c r="P1052" i="1"/>
  <c r="T1052" i="1" s="1"/>
  <c r="N872" i="1"/>
  <c r="R873" i="1" s="1"/>
  <c r="O902" i="1"/>
  <c r="S902" i="1" s="1"/>
  <c r="M861" i="1"/>
  <c r="Q862" i="1" s="1"/>
  <c r="P1050" i="1"/>
  <c r="P1038" i="1"/>
  <c r="T1038" i="1" s="1"/>
  <c r="N858" i="1"/>
  <c r="R859" i="1" s="1"/>
  <c r="O888" i="1"/>
  <c r="S888" i="1" s="1"/>
  <c r="M843" i="1"/>
  <c r="Q844" i="1" s="1"/>
  <c r="N844" i="1"/>
  <c r="R845" i="1" s="1"/>
  <c r="P1024" i="1"/>
  <c r="M834" i="1"/>
  <c r="Q835" i="1" s="1"/>
  <c r="O874" i="1"/>
  <c r="S874" i="1" s="1"/>
  <c r="N830" i="1"/>
  <c r="R831" i="1" s="1"/>
  <c r="O860" i="1"/>
  <c r="S860" i="1" s="1"/>
  <c r="O859" i="1"/>
  <c r="S859" i="1" s="1"/>
  <c r="M819" i="1"/>
  <c r="Q820" i="1" s="1"/>
  <c r="N816" i="1"/>
  <c r="R817" i="1" s="1"/>
  <c r="O846" i="1"/>
  <c r="S846" i="1" s="1"/>
  <c r="P996" i="1"/>
  <c r="T996" i="1" s="1"/>
  <c r="M806" i="1"/>
  <c r="Q807" i="1" s="1"/>
  <c r="N815" i="1"/>
  <c r="O845" i="1"/>
  <c r="S845" i="1" s="1"/>
  <c r="N802" i="1"/>
  <c r="O832" i="1"/>
  <c r="S832" i="1" s="1"/>
  <c r="P982" i="1"/>
  <c r="T982" i="1" s="1"/>
  <c r="M791" i="1"/>
  <c r="Q792" i="1" s="1"/>
  <c r="M792" i="1"/>
  <c r="N774" i="1"/>
  <c r="R775" i="1" s="1"/>
  <c r="P954" i="1"/>
  <c r="T954" i="1" s="1"/>
  <c r="N773" i="1"/>
  <c r="R774" i="1" s="1"/>
  <c r="M764" i="1"/>
  <c r="O804" i="1"/>
  <c r="S804" i="1" s="1"/>
  <c r="N760" i="1"/>
  <c r="R761" i="1" s="1"/>
  <c r="P940" i="1"/>
  <c r="T940" i="1" s="1"/>
  <c r="O790" i="1"/>
  <c r="S790" i="1" s="1"/>
  <c r="M750" i="1"/>
  <c r="Q751" i="1" s="1"/>
  <c r="N746" i="1"/>
  <c r="R747" i="1" s="1"/>
  <c r="P926" i="1"/>
  <c r="T926" i="1" s="1"/>
  <c r="N745" i="1"/>
  <c r="R746" i="1" s="1"/>
  <c r="M730" i="1"/>
  <c r="Q731" i="1" s="1"/>
  <c r="N732" i="1"/>
  <c r="R733" i="1" s="1"/>
  <c r="O762" i="1"/>
  <c r="S762" i="1" s="1"/>
  <c r="M721" i="1"/>
  <c r="Q722" i="1" s="1"/>
  <c r="M722" i="1"/>
  <c r="Q723" i="1" s="1"/>
  <c r="P907" i="1"/>
  <c r="T907" i="1" s="1"/>
  <c r="N718" i="1"/>
  <c r="R719" i="1" s="1"/>
  <c r="M708" i="1"/>
  <c r="Q709" i="1" s="1"/>
  <c r="P898" i="1"/>
  <c r="N717" i="1"/>
  <c r="R718" i="1" s="1"/>
  <c r="O744" i="1"/>
  <c r="S744" i="1" s="1"/>
  <c r="O747" i="1"/>
  <c r="S747" i="1" s="1"/>
  <c r="M705" i="1"/>
  <c r="Q706" i="1" s="1"/>
  <c r="N704" i="1"/>
  <c r="R705" i="1" s="1"/>
  <c r="O734" i="1"/>
  <c r="S734" i="1" s="1"/>
  <c r="P884" i="1"/>
  <c r="T884" i="1" s="1"/>
  <c r="N703" i="1"/>
  <c r="R704" i="1" s="1"/>
  <c r="M693" i="1"/>
  <c r="Q694" i="1" s="1"/>
  <c r="M694" i="1"/>
  <c r="Q695" i="1" s="1"/>
  <c r="P870" i="1"/>
  <c r="T870" i="1" s="1"/>
  <c r="N690" i="1"/>
  <c r="R691" i="1" s="1"/>
  <c r="O720" i="1"/>
  <c r="S720" i="1" s="1"/>
  <c r="M680" i="1"/>
  <c r="Q681" i="1" s="1"/>
  <c r="N676" i="1"/>
  <c r="R677" i="1" s="1"/>
  <c r="P856" i="1"/>
  <c r="T856" i="1" s="1"/>
  <c r="O706" i="1"/>
  <c r="S706" i="1" s="1"/>
  <c r="N675" i="1"/>
  <c r="R676" i="1" s="1"/>
  <c r="M661" i="1"/>
  <c r="Q662" i="1" s="1"/>
  <c r="N662" i="1"/>
  <c r="M651" i="1"/>
  <c r="M652" i="1"/>
  <c r="Q653" i="1" s="1"/>
  <c r="O685" i="1"/>
  <c r="S685" i="1" s="1"/>
  <c r="N648" i="1"/>
  <c r="R649" i="1" s="1"/>
  <c r="O678" i="1"/>
  <c r="S678" i="1" s="1"/>
  <c r="M638" i="1"/>
  <c r="Q639" i="1" s="1"/>
  <c r="N647" i="1"/>
  <c r="R648" i="1" s="1"/>
  <c r="M636" i="1"/>
  <c r="N634" i="1"/>
  <c r="R635" i="1" s="1"/>
  <c r="P814" i="1"/>
  <c r="O664" i="1"/>
  <c r="S664" i="1" s="1"/>
  <c r="M624" i="1"/>
  <c r="Q625" i="1" s="1"/>
  <c r="O663" i="1"/>
  <c r="S663" i="1" s="1"/>
  <c r="M616" i="1"/>
  <c r="Q617" i="1" s="1"/>
  <c r="P800" i="1"/>
  <c r="T800" i="1" s="1"/>
  <c r="N620" i="1"/>
  <c r="R621" i="1" s="1"/>
  <c r="O650" i="1"/>
  <c r="S650" i="1" s="1"/>
  <c r="M609" i="1"/>
  <c r="Q610" i="1" s="1"/>
  <c r="M610" i="1"/>
  <c r="Q611" i="1" s="1"/>
  <c r="P798" i="1"/>
  <c r="T798" i="1" s="1"/>
  <c r="N606" i="1"/>
  <c r="R607" i="1" s="1"/>
  <c r="P786" i="1"/>
  <c r="T786" i="1" s="1"/>
  <c r="O630" i="1"/>
  <c r="S630" i="1" s="1"/>
  <c r="M593" i="1"/>
  <c r="Q594" i="1" s="1"/>
  <c r="P772" i="1"/>
  <c r="T772" i="1" s="1"/>
  <c r="N592" i="1"/>
  <c r="R593" i="1" s="1"/>
  <c r="O622" i="1"/>
  <c r="S622" i="1" s="1"/>
  <c r="M581" i="1"/>
  <c r="Q582" i="1" s="1"/>
  <c r="M582" i="1"/>
  <c r="Q583" i="1" s="1"/>
  <c r="N578" i="1"/>
  <c r="R579" i="1" s="1"/>
  <c r="P758" i="1"/>
  <c r="T758" i="1" s="1"/>
  <c r="O608" i="1"/>
  <c r="S608" i="1" s="1"/>
  <c r="M568" i="1"/>
  <c r="Q569" i="1" s="1"/>
  <c r="N550" i="1"/>
  <c r="R551" i="1" s="1"/>
  <c r="O580" i="1"/>
  <c r="S580" i="1" s="1"/>
  <c r="P730" i="1"/>
  <c r="M540" i="1"/>
  <c r="Q541" i="1" s="1"/>
  <c r="M539" i="1"/>
  <c r="Q540" i="1" s="1"/>
  <c r="N536" i="1"/>
  <c r="R537" i="1" s="1"/>
  <c r="O566" i="1"/>
  <c r="S566" i="1" s="1"/>
  <c r="O565" i="1"/>
  <c r="S565" i="1" s="1"/>
  <c r="P715" i="1"/>
  <c r="T715" i="1" s="1"/>
  <c r="M519" i="1"/>
  <c r="Q520" i="1" s="1"/>
  <c r="N522" i="1"/>
  <c r="R523" i="1" s="1"/>
  <c r="P702" i="1"/>
  <c r="T702" i="1" s="1"/>
  <c r="O552" i="1"/>
  <c r="S552" i="1" s="1"/>
  <c r="M512" i="1"/>
  <c r="Q513" i="1" s="1"/>
  <c r="O551" i="1"/>
  <c r="S551" i="1" s="1"/>
  <c r="M511" i="1"/>
  <c r="Q512" i="1" s="1"/>
  <c r="N508" i="1"/>
  <c r="R509" i="1" s="1"/>
  <c r="P687" i="1"/>
  <c r="T687" i="1" s="1"/>
  <c r="O538" i="1"/>
  <c r="S538" i="1" s="1"/>
  <c r="P688" i="1"/>
  <c r="T688" i="1" s="1"/>
  <c r="N507" i="1"/>
  <c r="R508" i="1" s="1"/>
  <c r="M493" i="1"/>
  <c r="Q494" i="1" s="1"/>
  <c r="P674" i="1"/>
  <c r="O524" i="1"/>
  <c r="S524" i="1" s="1"/>
  <c r="N494" i="1"/>
  <c r="R495" i="1" s="1"/>
  <c r="P673" i="1"/>
  <c r="T673" i="1" s="1"/>
  <c r="M484" i="1"/>
  <c r="Q485" i="1" s="1"/>
  <c r="M1249" i="1"/>
  <c r="Q1250" i="1" s="1"/>
  <c r="M1189" i="1"/>
  <c r="Q1190" i="1" s="1"/>
  <c r="M1140" i="1"/>
  <c r="Q1141" i="1" s="1"/>
  <c r="M1028" i="1"/>
  <c r="Q1029" i="1" s="1"/>
  <c r="M982" i="1"/>
  <c r="M931" i="1"/>
  <c r="Q932" i="1" s="1"/>
  <c r="M872" i="1"/>
  <c r="Q873" i="1" s="1"/>
  <c r="M825" i="1"/>
  <c r="Q826" i="1" s="1"/>
  <c r="M773" i="1"/>
  <c r="Q774" i="1" s="1"/>
  <c r="M714" i="1"/>
  <c r="M664" i="1"/>
  <c r="Q665" i="1" s="1"/>
  <c r="M615" i="1"/>
  <c r="Q616" i="1" s="1"/>
  <c r="M551" i="1"/>
  <c r="Q552" i="1" s="1"/>
  <c r="M497" i="1"/>
  <c r="M440" i="1"/>
  <c r="Q441" i="1" s="1"/>
  <c r="M377" i="1"/>
  <c r="Q378" i="1" s="1"/>
  <c r="M323" i="1"/>
  <c r="Q324" i="1" s="1"/>
  <c r="M268" i="1"/>
  <c r="Q269" i="1" s="1"/>
  <c r="M197" i="1"/>
  <c r="M133" i="1"/>
  <c r="M69" i="1"/>
  <c r="Q70" i="1" s="1"/>
  <c r="N1237" i="1"/>
  <c r="R1238" i="1" s="1"/>
  <c r="N1168" i="1"/>
  <c r="R1169" i="1" s="1"/>
  <c r="N1102" i="1"/>
  <c r="R1103" i="1" s="1"/>
  <c r="N1011" i="1"/>
  <c r="R1012" i="1" s="1"/>
  <c r="N937" i="1"/>
  <c r="N857" i="1"/>
  <c r="R858" i="1" s="1"/>
  <c r="N768" i="1"/>
  <c r="R769" i="1" s="1"/>
  <c r="N693" i="1"/>
  <c r="R694" i="1" s="1"/>
  <c r="N614" i="1"/>
  <c r="R615" i="1" s="1"/>
  <c r="N526" i="1"/>
  <c r="R527" i="1" s="1"/>
  <c r="N448" i="1"/>
  <c r="R449" i="1" s="1"/>
  <c r="N344" i="1"/>
  <c r="N247" i="1"/>
  <c r="R248" i="1" s="1"/>
  <c r="N126" i="1"/>
  <c r="R127" i="1" s="1"/>
  <c r="O1217" i="1"/>
  <c r="S1217" i="1" s="1"/>
  <c r="O1058" i="1"/>
  <c r="S1058" i="1" s="1"/>
  <c r="O882" i="1"/>
  <c r="S882" i="1" s="1"/>
  <c r="O748" i="1"/>
  <c r="S748" i="1" s="1"/>
  <c r="O576" i="1"/>
  <c r="S576" i="1" s="1"/>
  <c r="O373" i="1"/>
  <c r="S373" i="1" s="1"/>
  <c r="O174" i="1"/>
  <c r="S174" i="1" s="1"/>
  <c r="P1171" i="1"/>
  <c r="T1171" i="1" s="1"/>
  <c r="P1000" i="1"/>
  <c r="T1000" i="1" s="1"/>
  <c r="P731" i="1"/>
  <c r="T731" i="1" s="1"/>
  <c r="P413" i="1"/>
  <c r="T413" i="1" s="1"/>
  <c r="P1247" i="1"/>
  <c r="T1247" i="1" s="1"/>
  <c r="N1053" i="1"/>
  <c r="P1205" i="1"/>
  <c r="T1205" i="1" s="1"/>
  <c r="O1041" i="1"/>
  <c r="S1041" i="1" s="1"/>
  <c r="P953" i="1"/>
  <c r="T953" i="1" s="1"/>
  <c r="O775" i="1"/>
  <c r="S775" i="1" s="1"/>
  <c r="O635" i="1"/>
  <c r="S635" i="1" s="1"/>
  <c r="O397" i="1"/>
  <c r="S397" i="1" s="1"/>
  <c r="N297" i="1"/>
  <c r="R298" i="1" s="1"/>
  <c r="O243" i="1"/>
  <c r="S243" i="1" s="1"/>
  <c r="O201" i="1"/>
  <c r="S201" i="1" s="1"/>
  <c r="M1236" i="1"/>
  <c r="Q1237" i="1" s="1"/>
  <c r="M1185" i="1"/>
  <c r="Q1186" i="1" s="1"/>
  <c r="M1139" i="1"/>
  <c r="Q1140" i="1" s="1"/>
  <c r="M1078" i="1"/>
  <c r="Q1079" i="1" s="1"/>
  <c r="M1027" i="1"/>
  <c r="Q1028" i="1" s="1"/>
  <c r="M981" i="1"/>
  <c r="Q982" i="1" s="1"/>
  <c r="M917" i="1"/>
  <c r="Q918" i="1" s="1"/>
  <c r="M869" i="1"/>
  <c r="Q870" i="1" s="1"/>
  <c r="M820" i="1"/>
  <c r="Q821" i="1" s="1"/>
  <c r="M759" i="1"/>
  <c r="Q760" i="1" s="1"/>
  <c r="M713" i="1"/>
  <c r="Q714" i="1" s="1"/>
  <c r="M663" i="1"/>
  <c r="Q664" i="1" s="1"/>
  <c r="M601" i="1"/>
  <c r="M548" i="1"/>
  <c r="M494" i="1"/>
  <c r="M427" i="1"/>
  <c r="Q428" i="1" s="1"/>
  <c r="M373" i="1"/>
  <c r="Q374" i="1" s="1"/>
  <c r="M322" i="1"/>
  <c r="Q323" i="1" s="1"/>
  <c r="M254" i="1"/>
  <c r="M190" i="1"/>
  <c r="Q191" i="1" s="1"/>
  <c r="M132" i="1"/>
  <c r="Q133" i="1" s="1"/>
  <c r="M52" i="1"/>
  <c r="Q53" i="1" s="1"/>
  <c r="N1236" i="1"/>
  <c r="R1237" i="1" s="1"/>
  <c r="N1167" i="1"/>
  <c r="R1168" i="1" s="1"/>
  <c r="N1081" i="1"/>
  <c r="R1082" i="1" s="1"/>
  <c r="N1009" i="1"/>
  <c r="R1010" i="1" s="1"/>
  <c r="N931" i="1"/>
  <c r="N838" i="1"/>
  <c r="N766" i="1"/>
  <c r="R767" i="1" s="1"/>
  <c r="N692" i="1"/>
  <c r="R693" i="1" s="1"/>
  <c r="N595" i="1"/>
  <c r="R596" i="1" s="1"/>
  <c r="N525" i="1"/>
  <c r="R526" i="1" s="1"/>
  <c r="N447" i="1"/>
  <c r="R448" i="1" s="1"/>
  <c r="N337" i="1"/>
  <c r="N214" i="1"/>
  <c r="R215" i="1" s="1"/>
  <c r="N123" i="1"/>
  <c r="R124" i="1" s="1"/>
  <c r="O1216" i="1"/>
  <c r="S1216" i="1" s="1"/>
  <c r="O1051" i="1"/>
  <c r="S1051" i="1" s="1"/>
  <c r="O881" i="1"/>
  <c r="S881" i="1" s="1"/>
  <c r="O711" i="1"/>
  <c r="S711" i="1" s="1"/>
  <c r="O571" i="1"/>
  <c r="S571" i="1" s="1"/>
  <c r="O371" i="1"/>
  <c r="S371" i="1" s="1"/>
  <c r="O170" i="1"/>
  <c r="S170" i="1" s="1"/>
  <c r="P1163" i="1"/>
  <c r="T1163" i="1" s="1"/>
  <c r="P936" i="1"/>
  <c r="T936" i="1" s="1"/>
  <c r="P716" i="1"/>
  <c r="T716" i="1" s="1"/>
  <c r="P411" i="1"/>
  <c r="T411" i="1" s="1"/>
  <c r="N1257" i="1"/>
  <c r="M1238" i="1"/>
  <c r="Q1239" i="1" s="1"/>
  <c r="N1192" i="1"/>
  <c r="R1193" i="1" s="1"/>
  <c r="N1162" i="1"/>
  <c r="R1163" i="1" s="1"/>
  <c r="N1134" i="1"/>
  <c r="R1135" i="1" s="1"/>
  <c r="M1111" i="1"/>
  <c r="Q1112" i="1" s="1"/>
  <c r="N1103" i="1"/>
  <c r="R1104" i="1" s="1"/>
  <c r="M1042" i="1"/>
  <c r="Q1043" i="1" s="1"/>
  <c r="M1022" i="1"/>
  <c r="Q1023" i="1" s="1"/>
  <c r="O1040" i="1"/>
  <c r="S1040" i="1" s="1"/>
  <c r="M972" i="1"/>
  <c r="Q973" i="1" s="1"/>
  <c r="N962" i="1"/>
  <c r="R963" i="1" s="1"/>
  <c r="N924" i="1"/>
  <c r="R925" i="1" s="1"/>
  <c r="N898" i="1"/>
  <c r="R899" i="1" s="1"/>
  <c r="N884" i="1"/>
  <c r="R885" i="1" s="1"/>
  <c r="N856" i="1"/>
  <c r="R857" i="1" s="1"/>
  <c r="O872" i="1"/>
  <c r="S872" i="1" s="1"/>
  <c r="M815" i="1"/>
  <c r="Q816" i="1" s="1"/>
  <c r="P966" i="1"/>
  <c r="T966" i="1" s="1"/>
  <c r="N758" i="1"/>
  <c r="R759" i="1" s="1"/>
  <c r="P908" i="1"/>
  <c r="T908" i="1" s="1"/>
  <c r="N686" i="1"/>
  <c r="R687" i="1" s="1"/>
  <c r="N674" i="1"/>
  <c r="R675" i="1" s="1"/>
  <c r="N615" i="1"/>
  <c r="R616" i="1" s="1"/>
  <c r="O634" i="1"/>
  <c r="S634" i="1" s="1"/>
  <c r="N587" i="1"/>
  <c r="R588" i="1" s="1"/>
  <c r="N548" i="1"/>
  <c r="R549" i="1" s="1"/>
  <c r="N515" i="1"/>
  <c r="R516" i="1" s="1"/>
  <c r="M491" i="1"/>
  <c r="Q492" i="1" s="1"/>
  <c r="N403" i="1"/>
  <c r="R404" i="1" s="1"/>
  <c r="O366" i="1"/>
  <c r="S366" i="1" s="1"/>
  <c r="P503" i="1"/>
  <c r="T503" i="1" s="1"/>
  <c r="N281" i="1"/>
  <c r="M258" i="1"/>
  <c r="Q259" i="1" s="1"/>
  <c r="O282" i="1"/>
  <c r="S282" i="1" s="1"/>
  <c r="P401" i="1"/>
  <c r="T401" i="1" s="1"/>
  <c r="N206" i="1"/>
  <c r="R207" i="1" s="1"/>
  <c r="O156" i="1"/>
  <c r="S156" i="1" s="1"/>
  <c r="P275" i="1"/>
  <c r="T275" i="1" s="1"/>
  <c r="O86" i="1"/>
  <c r="S86" i="1" s="1"/>
  <c r="M1235" i="1"/>
  <c r="Q1236" i="1" s="1"/>
  <c r="M1184" i="1"/>
  <c r="Q1185" i="1" s="1"/>
  <c r="M1135" i="1"/>
  <c r="M1077" i="1"/>
  <c r="Q1078" i="1" s="1"/>
  <c r="M1026" i="1"/>
  <c r="Q1027" i="1" s="1"/>
  <c r="M974" i="1"/>
  <c r="Q975" i="1" s="1"/>
  <c r="M916" i="1"/>
  <c r="Q917" i="1" s="1"/>
  <c r="M868" i="1"/>
  <c r="Q869" i="1" s="1"/>
  <c r="M818" i="1"/>
  <c r="Q819" i="1" s="1"/>
  <c r="M758" i="1"/>
  <c r="Q759" i="1" s="1"/>
  <c r="M707" i="1"/>
  <c r="M660" i="1"/>
  <c r="Q661" i="1" s="1"/>
  <c r="M597" i="1"/>
  <c r="Q598" i="1" s="1"/>
  <c r="M547" i="1"/>
  <c r="Q548" i="1" s="1"/>
  <c r="M492" i="1"/>
  <c r="Q493" i="1" s="1"/>
  <c r="M426" i="1"/>
  <c r="Q427" i="1" s="1"/>
  <c r="M372" i="1"/>
  <c r="Q373" i="1" s="1"/>
  <c r="M315" i="1"/>
  <c r="Q316" i="1" s="1"/>
  <c r="M252" i="1"/>
  <c r="Q253" i="1" s="1"/>
  <c r="M189" i="1"/>
  <c r="Q190" i="1" s="1"/>
  <c r="M129" i="1"/>
  <c r="Q130" i="1" s="1"/>
  <c r="M51" i="1"/>
  <c r="Q52" i="1" s="1"/>
  <c r="N1228" i="1"/>
  <c r="N1164" i="1"/>
  <c r="N1080" i="1"/>
  <c r="R1081" i="1" s="1"/>
  <c r="N1004" i="1"/>
  <c r="R1005" i="1" s="1"/>
  <c r="N929" i="1"/>
  <c r="R930" i="1" s="1"/>
  <c r="N837" i="1"/>
  <c r="R838" i="1" s="1"/>
  <c r="N762" i="1"/>
  <c r="R763" i="1" s="1"/>
  <c r="N685" i="1"/>
  <c r="N594" i="1"/>
  <c r="R595" i="1" s="1"/>
  <c r="N518" i="1"/>
  <c r="R519" i="1" s="1"/>
  <c r="N442" i="1"/>
  <c r="R443" i="1" s="1"/>
  <c r="N336" i="1"/>
  <c r="R337" i="1" s="1"/>
  <c r="N210" i="1"/>
  <c r="R211" i="1" s="1"/>
  <c r="N86" i="1"/>
  <c r="R87" i="1" s="1"/>
  <c r="O1202" i="1"/>
  <c r="S1202" i="1" s="1"/>
  <c r="O1048" i="1"/>
  <c r="S1048" i="1" s="1"/>
  <c r="O880" i="1"/>
  <c r="S880" i="1" s="1"/>
  <c r="O708" i="1"/>
  <c r="S708" i="1" s="1"/>
  <c r="O529" i="1"/>
  <c r="S529" i="1" s="1"/>
  <c r="O168" i="1"/>
  <c r="S168" i="1" s="1"/>
  <c r="P935" i="1"/>
  <c r="T935" i="1" s="1"/>
  <c r="P403" i="1"/>
  <c r="T403" i="1" s="1"/>
  <c r="M1234" i="1"/>
  <c r="Q1235" i="1" s="1"/>
  <c r="M1123" i="1"/>
  <c r="Q1124" i="1" s="1"/>
  <c r="M1025" i="1"/>
  <c r="Q1026" i="1" s="1"/>
  <c r="M965" i="1"/>
  <c r="Q966" i="1" s="1"/>
  <c r="M867" i="1"/>
  <c r="Q868" i="1" s="1"/>
  <c r="M757" i="1"/>
  <c r="Q758" i="1" s="1"/>
  <c r="M647" i="1"/>
  <c r="Q648" i="1" s="1"/>
  <c r="M546" i="1"/>
  <c r="M423" i="1"/>
  <c r="M302" i="1"/>
  <c r="Q303" i="1" s="1"/>
  <c r="M188" i="1"/>
  <c r="Q189" i="1" s="1"/>
  <c r="M49" i="1"/>
  <c r="Q50" i="1" s="1"/>
  <c r="N1227" i="1"/>
  <c r="R1228" i="1" s="1"/>
  <c r="N1077" i="1"/>
  <c r="R1078" i="1" s="1"/>
  <c r="N906" i="1"/>
  <c r="R907" i="1" s="1"/>
  <c r="N759" i="1"/>
  <c r="R760" i="1" s="1"/>
  <c r="N593" i="1"/>
  <c r="R594" i="1" s="1"/>
  <c r="N416" i="1"/>
  <c r="R417" i="1" s="1"/>
  <c r="N209" i="1"/>
  <c r="O1167" i="1"/>
  <c r="S1167" i="1" s="1"/>
  <c r="O879" i="1"/>
  <c r="S879" i="1" s="1"/>
  <c r="O523" i="1"/>
  <c r="S523" i="1" s="1"/>
  <c r="O157" i="1"/>
  <c r="S157" i="1" s="1"/>
  <c r="P913" i="1"/>
  <c r="T913" i="1" s="1"/>
  <c r="P326" i="1"/>
  <c r="T326" i="1" s="1"/>
  <c r="M1247" i="1"/>
  <c r="Q1248" i="1" s="1"/>
  <c r="O1244" i="1"/>
  <c r="S1244" i="1" s="1"/>
  <c r="N1190" i="1"/>
  <c r="R1191" i="1" s="1"/>
  <c r="N1148" i="1"/>
  <c r="R1149" i="1" s="1"/>
  <c r="M1080" i="1"/>
  <c r="Q1081" i="1" s="1"/>
  <c r="N1062" i="1"/>
  <c r="R1063" i="1" s="1"/>
  <c r="P1198" i="1"/>
  <c r="T1198" i="1" s="1"/>
  <c r="N993" i="1"/>
  <c r="R994" i="1" s="1"/>
  <c r="M952" i="1"/>
  <c r="Q953" i="1" s="1"/>
  <c r="M928" i="1"/>
  <c r="Q929" i="1" s="1"/>
  <c r="M882" i="1"/>
  <c r="Q883" i="1" s="1"/>
  <c r="N854" i="1"/>
  <c r="R855" i="1" s="1"/>
  <c r="O854" i="1"/>
  <c r="S854" i="1" s="1"/>
  <c r="N782" i="1"/>
  <c r="R783" i="1" s="1"/>
  <c r="N741" i="1"/>
  <c r="M673" i="1"/>
  <c r="Q674" i="1" s="1"/>
  <c r="M633" i="1"/>
  <c r="Q634" i="1" s="1"/>
  <c r="M589" i="1"/>
  <c r="Q590" i="1" s="1"/>
  <c r="N571" i="1"/>
  <c r="R572" i="1" s="1"/>
  <c r="M507" i="1"/>
  <c r="Q508" i="1" s="1"/>
  <c r="M463" i="1"/>
  <c r="Q464" i="1" s="1"/>
  <c r="N434" i="1"/>
  <c r="M409" i="1"/>
  <c r="Q410" i="1" s="1"/>
  <c r="M382" i="1"/>
  <c r="Q383" i="1" s="1"/>
  <c r="O394" i="1"/>
  <c r="S394" i="1" s="1"/>
  <c r="N319" i="1"/>
  <c r="R320" i="1" s="1"/>
  <c r="P459" i="1"/>
  <c r="T459" i="1" s="1"/>
  <c r="N224" i="1"/>
  <c r="R225" i="1" s="1"/>
  <c r="P375" i="1"/>
  <c r="T375" i="1" s="1"/>
  <c r="N152" i="1"/>
  <c r="R153" i="1" s="1"/>
  <c r="O142" i="1"/>
  <c r="S142" i="1" s="1"/>
  <c r="N53" i="1"/>
  <c r="R54" i="1" s="1"/>
  <c r="M1232" i="1"/>
  <c r="Q1233" i="1" s="1"/>
  <c r="M1122" i="1"/>
  <c r="Q1123" i="1" s="1"/>
  <c r="M1072" i="1"/>
  <c r="Q1073" i="1" s="1"/>
  <c r="M961" i="1"/>
  <c r="Q962" i="1" s="1"/>
  <c r="M862" i="1"/>
  <c r="Q863" i="1" s="1"/>
  <c r="M704" i="1"/>
  <c r="M476" i="1"/>
  <c r="Q477" i="1" s="1"/>
  <c r="N329" i="1"/>
  <c r="R330" i="1" s="1"/>
  <c r="M1212" i="1"/>
  <c r="Q1213" i="1" s="1"/>
  <c r="M1165" i="1"/>
  <c r="Q1166" i="1" s="1"/>
  <c r="M1114" i="1"/>
  <c r="Q1115" i="1" s="1"/>
  <c r="M1055" i="1"/>
  <c r="Q1056" i="1" s="1"/>
  <c r="M1007" i="1"/>
  <c r="Q1008" i="1" s="1"/>
  <c r="M956" i="1"/>
  <c r="M897" i="1"/>
  <c r="Q898" i="1" s="1"/>
  <c r="M846" i="1"/>
  <c r="Q847" i="1" s="1"/>
  <c r="M798" i="1"/>
  <c r="Q799" i="1" s="1"/>
  <c r="M736" i="1"/>
  <c r="Q737" i="1" s="1"/>
  <c r="M688" i="1"/>
  <c r="Q689" i="1" s="1"/>
  <c r="M639" i="1"/>
  <c r="Q640" i="1" s="1"/>
  <c r="M578" i="1"/>
  <c r="Q579" i="1" s="1"/>
  <c r="M524" i="1"/>
  <c r="Q525" i="1" s="1"/>
  <c r="M470" i="1"/>
  <c r="Q471" i="1" s="1"/>
  <c r="M401" i="1"/>
  <c r="Q402" i="1" s="1"/>
  <c r="M350" i="1"/>
  <c r="Q351" i="1" s="1"/>
  <c r="M296" i="1"/>
  <c r="Q297" i="1" s="1"/>
  <c r="M225" i="1"/>
  <c r="Q226" i="1" s="1"/>
  <c r="M167" i="1"/>
  <c r="Q168" i="1" s="1"/>
  <c r="M103" i="1"/>
  <c r="Q104" i="1" s="1"/>
  <c r="M21" i="1"/>
  <c r="Q22" i="1" s="1"/>
  <c r="N1206" i="1"/>
  <c r="R1207" i="1" s="1"/>
  <c r="N1135" i="1"/>
  <c r="R1136" i="1" s="1"/>
  <c r="N1048" i="1"/>
  <c r="R1049" i="1" s="1"/>
  <c r="N971" i="1"/>
  <c r="R972" i="1" s="1"/>
  <c r="N899" i="1"/>
  <c r="R900" i="1" s="1"/>
  <c r="N805" i="1"/>
  <c r="R806" i="1" s="1"/>
  <c r="N728" i="1"/>
  <c r="R729" i="1" s="1"/>
  <c r="N657" i="1"/>
  <c r="R658" i="1" s="1"/>
  <c r="N563" i="1"/>
  <c r="R564" i="1" s="1"/>
  <c r="N485" i="1"/>
  <c r="R486" i="1" s="1"/>
  <c r="N411" i="1"/>
  <c r="N296" i="1"/>
  <c r="R297" i="1" s="1"/>
  <c r="N171" i="1"/>
  <c r="R172" i="1" s="1"/>
  <c r="N36" i="1"/>
  <c r="O1153" i="1"/>
  <c r="S1153" i="1" s="1"/>
  <c r="O995" i="1"/>
  <c r="S995" i="1" s="1"/>
  <c r="O816" i="1"/>
  <c r="S816" i="1" s="1"/>
  <c r="O647" i="1"/>
  <c r="S647" i="1" s="1"/>
  <c r="O454" i="1"/>
  <c r="S454" i="1" s="1"/>
  <c r="O300" i="1"/>
  <c r="S300" i="1" s="1"/>
  <c r="O99" i="1"/>
  <c r="S99" i="1" s="1"/>
  <c r="P1086" i="1"/>
  <c r="T1086" i="1" s="1"/>
  <c r="P842" i="1"/>
  <c r="T842" i="1" s="1"/>
  <c r="P537" i="1"/>
  <c r="T537" i="1" s="1"/>
  <c r="P293" i="1"/>
  <c r="T293" i="1" s="1"/>
  <c r="O510" i="1"/>
  <c r="S510" i="1" s="1"/>
  <c r="N480" i="1"/>
  <c r="R481" i="1" s="1"/>
  <c r="P660" i="1"/>
  <c r="T660" i="1" s="1"/>
  <c r="M469" i="1"/>
  <c r="Q470" i="1" s="1"/>
  <c r="N466" i="1"/>
  <c r="R467" i="1" s="1"/>
  <c r="P646" i="1"/>
  <c r="T646" i="1" s="1"/>
  <c r="N452" i="1"/>
  <c r="R453" i="1" s="1"/>
  <c r="P632" i="1"/>
  <c r="T632" i="1" s="1"/>
  <c r="M442" i="1"/>
  <c r="Q443" i="1" s="1"/>
  <c r="P618" i="1"/>
  <c r="T618" i="1" s="1"/>
  <c r="N438" i="1"/>
  <c r="R439" i="1" s="1"/>
  <c r="O468" i="1"/>
  <c r="S468" i="1" s="1"/>
  <c r="P604" i="1"/>
  <c r="T604" i="1" s="1"/>
  <c r="N424" i="1"/>
  <c r="N410" i="1"/>
  <c r="R411" i="1" s="1"/>
  <c r="P590" i="1"/>
  <c r="T590" i="1" s="1"/>
  <c r="N409" i="1"/>
  <c r="R410" i="1" s="1"/>
  <c r="O440" i="1"/>
  <c r="S440" i="1" s="1"/>
  <c r="N396" i="1"/>
  <c r="R397" i="1" s="1"/>
  <c r="O426" i="1"/>
  <c r="S426" i="1" s="1"/>
  <c r="P576" i="1"/>
  <c r="T576" i="1" s="1"/>
  <c r="P562" i="1"/>
  <c r="T562" i="1" s="1"/>
  <c r="N382" i="1"/>
  <c r="R383" i="1" s="1"/>
  <c r="N368" i="1"/>
  <c r="R369" i="1" s="1"/>
  <c r="O398" i="1"/>
  <c r="S398" i="1" s="1"/>
  <c r="P548" i="1"/>
  <c r="T548" i="1" s="1"/>
  <c r="M358" i="1"/>
  <c r="Q359" i="1" s="1"/>
  <c r="N354" i="1"/>
  <c r="R355" i="1" s="1"/>
  <c r="P534" i="1"/>
  <c r="T534" i="1" s="1"/>
  <c r="M344" i="1"/>
  <c r="Q345" i="1" s="1"/>
  <c r="N340" i="1"/>
  <c r="R341" i="1" s="1"/>
  <c r="O370" i="1"/>
  <c r="S370" i="1" s="1"/>
  <c r="N339" i="1"/>
  <c r="R340" i="1" s="1"/>
  <c r="O356" i="1"/>
  <c r="S356" i="1" s="1"/>
  <c r="N326" i="1"/>
  <c r="R327" i="1" s="1"/>
  <c r="P506" i="1"/>
  <c r="T506" i="1" s="1"/>
  <c r="M316" i="1"/>
  <c r="Q317" i="1" s="1"/>
  <c r="P492" i="1"/>
  <c r="T492" i="1" s="1"/>
  <c r="O342" i="1"/>
  <c r="S342" i="1" s="1"/>
  <c r="N311" i="1"/>
  <c r="R312" i="1" s="1"/>
  <c r="O328" i="1"/>
  <c r="S328" i="1" s="1"/>
  <c r="P478" i="1"/>
  <c r="T478" i="1" s="1"/>
  <c r="P464" i="1"/>
  <c r="T464" i="1" s="1"/>
  <c r="O314" i="1"/>
  <c r="S314" i="1" s="1"/>
  <c r="N284" i="1"/>
  <c r="R285" i="1" s="1"/>
  <c r="M273" i="1"/>
  <c r="Q274" i="1" s="1"/>
  <c r="P450" i="1"/>
  <c r="T450" i="1" s="1"/>
  <c r="N269" i="1"/>
  <c r="R270" i="1" s="1"/>
  <c r="P436" i="1"/>
  <c r="T436" i="1" s="1"/>
  <c r="O286" i="1"/>
  <c r="S286" i="1" s="1"/>
  <c r="N256" i="1"/>
  <c r="M246" i="1"/>
  <c r="O272" i="1"/>
  <c r="S272" i="1" s="1"/>
  <c r="P422" i="1"/>
  <c r="T422" i="1" s="1"/>
  <c r="P408" i="1"/>
  <c r="T408" i="1" s="1"/>
  <c r="O258" i="1"/>
  <c r="S258" i="1" s="1"/>
  <c r="P394" i="1"/>
  <c r="T394" i="1" s="1"/>
  <c r="O244" i="1"/>
  <c r="S244" i="1" s="1"/>
  <c r="N213" i="1"/>
  <c r="R214" i="1" s="1"/>
  <c r="P380" i="1"/>
  <c r="N200" i="1"/>
  <c r="R201" i="1" s="1"/>
  <c r="O230" i="1"/>
  <c r="S230" i="1" s="1"/>
  <c r="P366" i="1"/>
  <c r="T366" i="1" s="1"/>
  <c r="N186" i="1"/>
  <c r="R187" i="1" s="1"/>
  <c r="M176" i="1"/>
  <c r="Q177" i="1" s="1"/>
  <c r="O202" i="1"/>
  <c r="S202" i="1" s="1"/>
  <c r="P352" i="1"/>
  <c r="T352" i="1" s="1"/>
  <c r="N172" i="1"/>
  <c r="R173" i="1" s="1"/>
  <c r="M162" i="1"/>
  <c r="Q163" i="1" s="1"/>
  <c r="O188" i="1"/>
  <c r="S188" i="1" s="1"/>
  <c r="P338" i="1"/>
  <c r="T338" i="1" s="1"/>
  <c r="M148" i="1"/>
  <c r="Q149" i="1" s="1"/>
  <c r="N144" i="1"/>
  <c r="R145" i="1" s="1"/>
  <c r="P324" i="1"/>
  <c r="T324" i="1" s="1"/>
  <c r="M120" i="1"/>
  <c r="Q121" i="1" s="1"/>
  <c r="O160" i="1"/>
  <c r="S160" i="1" s="1"/>
  <c r="P296" i="1"/>
  <c r="T296" i="1" s="1"/>
  <c r="M106" i="1"/>
  <c r="Q107" i="1" s="1"/>
  <c r="N116" i="1"/>
  <c r="O146" i="1"/>
  <c r="S146" i="1" s="1"/>
  <c r="O132" i="1"/>
  <c r="S132" i="1" s="1"/>
  <c r="P282" i="1"/>
  <c r="T282" i="1" s="1"/>
  <c r="M92" i="1"/>
  <c r="Q93" i="1" s="1"/>
  <c r="N102" i="1"/>
  <c r="R103" i="1" s="1"/>
  <c r="P268" i="1"/>
  <c r="T268" i="1" s="1"/>
  <c r="O118" i="1"/>
  <c r="S118" i="1" s="1"/>
  <c r="N88" i="1"/>
  <c r="R89" i="1" s="1"/>
  <c r="P254" i="1"/>
  <c r="T254" i="1" s="1"/>
  <c r="M64" i="1"/>
  <c r="Q65" i="1" s="1"/>
  <c r="N74" i="1"/>
  <c r="R75" i="1" s="1"/>
  <c r="P240" i="1"/>
  <c r="T240" i="1" s="1"/>
  <c r="N60" i="1"/>
  <c r="R61" i="1" s="1"/>
  <c r="M50" i="1"/>
  <c r="O90" i="1"/>
  <c r="S90" i="1" s="1"/>
  <c r="P226" i="1"/>
  <c r="T226" i="1" s="1"/>
  <c r="N46" i="1"/>
  <c r="O76" i="1"/>
  <c r="S76" i="1" s="1"/>
  <c r="P225" i="1"/>
  <c r="T225" i="1" s="1"/>
  <c r="M35" i="1"/>
  <c r="Q36" i="1" s="1"/>
  <c r="P212" i="1"/>
  <c r="T212" i="1" s="1"/>
  <c r="N32" i="1"/>
  <c r="R33" i="1" s="1"/>
  <c r="M468" i="1"/>
  <c r="Q469" i="1" s="1"/>
  <c r="M420" i="1"/>
  <c r="Q421" i="1" s="1"/>
  <c r="M394" i="1"/>
  <c r="Q395" i="1" s="1"/>
  <c r="M368" i="1"/>
  <c r="Q369" i="1" s="1"/>
  <c r="M343" i="1"/>
  <c r="Q344" i="1" s="1"/>
  <c r="M295" i="1"/>
  <c r="M269" i="1"/>
  <c r="Q270" i="1" s="1"/>
  <c r="M242" i="1"/>
  <c r="Q243" i="1" s="1"/>
  <c r="M215" i="1"/>
  <c r="Q216" i="1" s="1"/>
  <c r="M187" i="1"/>
  <c r="Q188" i="1" s="1"/>
  <c r="M160" i="1"/>
  <c r="Q161" i="1" s="1"/>
  <c r="M131" i="1"/>
  <c r="Q132" i="1" s="1"/>
  <c r="M98" i="1"/>
  <c r="Q99" i="1" s="1"/>
  <c r="M70" i="1"/>
  <c r="Q71" i="1" s="1"/>
  <c r="N1034" i="1"/>
  <c r="R1035" i="1" s="1"/>
  <c r="N966" i="1"/>
  <c r="R967" i="1" s="1"/>
  <c r="N825" i="1"/>
  <c r="R826" i="1" s="1"/>
  <c r="N655" i="1"/>
  <c r="R656" i="1" s="1"/>
  <c r="N367" i="1"/>
  <c r="R368" i="1" s="1"/>
  <c r="N242" i="1"/>
  <c r="R243" i="1" s="1"/>
  <c r="N158" i="1"/>
  <c r="R159" i="1" s="1"/>
  <c r="N122" i="1"/>
  <c r="R123" i="1" s="1"/>
  <c r="N73" i="1"/>
  <c r="R74" i="1" s="1"/>
  <c r="O1149" i="1"/>
  <c r="S1149" i="1" s="1"/>
  <c r="O690" i="1"/>
  <c r="S690" i="1" s="1"/>
  <c r="O297" i="1"/>
  <c r="S297" i="1" s="1"/>
  <c r="P617" i="1"/>
  <c r="T617" i="1" s="1"/>
  <c r="O421" i="1"/>
  <c r="S421" i="1" s="1"/>
  <c r="O144" i="1"/>
  <c r="S144" i="1" s="1"/>
  <c r="P597" i="1"/>
  <c r="T597" i="1" s="1"/>
  <c r="N1234" i="1"/>
  <c r="R1235" i="1" s="1"/>
  <c r="N1220" i="1"/>
  <c r="R1221" i="1" s="1"/>
  <c r="O1250" i="1"/>
  <c r="S1250" i="1" s="1"/>
  <c r="O1208" i="1"/>
  <c r="S1208" i="1" s="1"/>
  <c r="W1208" i="1" s="1"/>
  <c r="N1136" i="1"/>
  <c r="R1137" i="1" s="1"/>
  <c r="P1204" i="1"/>
  <c r="T1204" i="1" s="1"/>
  <c r="N1024" i="1"/>
  <c r="O1054" i="1"/>
  <c r="S1054" i="1" s="1"/>
  <c r="P1176" i="1"/>
  <c r="T1176" i="1" s="1"/>
  <c r="O1026" i="1"/>
  <c r="S1026" i="1" s="1"/>
  <c r="N954" i="1"/>
  <c r="O984" i="1"/>
  <c r="S984" i="1" s="1"/>
  <c r="O970" i="1"/>
  <c r="S970" i="1" s="1"/>
  <c r="P1120" i="1"/>
  <c r="T1120" i="1" s="1"/>
  <c r="P1078" i="1"/>
  <c r="T1078" i="1" s="1"/>
  <c r="M888" i="1"/>
  <c r="Q889" i="1" s="1"/>
  <c r="O928" i="1"/>
  <c r="S928" i="1" s="1"/>
  <c r="O900" i="1"/>
  <c r="S900" i="1" s="1"/>
  <c r="P1022" i="1"/>
  <c r="T1022" i="1" s="1"/>
  <c r="N842" i="1"/>
  <c r="R843" i="1" s="1"/>
  <c r="O830" i="1"/>
  <c r="S830" i="1" s="1"/>
  <c r="N800" i="1"/>
  <c r="R801" i="1" s="1"/>
  <c r="P938" i="1"/>
  <c r="O788" i="1"/>
  <c r="S788" i="1" s="1"/>
  <c r="P924" i="1"/>
  <c r="T924" i="1" s="1"/>
  <c r="O774" i="1"/>
  <c r="S774" i="1" s="1"/>
  <c r="P910" i="1"/>
  <c r="T910" i="1" s="1"/>
  <c r="N730" i="1"/>
  <c r="R731" i="1" s="1"/>
  <c r="P896" i="1"/>
  <c r="T896" i="1" s="1"/>
  <c r="N716" i="1"/>
  <c r="O746" i="1"/>
  <c r="S746" i="1" s="1"/>
  <c r="O732" i="1"/>
  <c r="S732" i="1" s="1"/>
  <c r="M692" i="1"/>
  <c r="Q693" i="1" s="1"/>
  <c r="O718" i="1"/>
  <c r="S718" i="1" s="1"/>
  <c r="N688" i="1"/>
  <c r="O676" i="1"/>
  <c r="S676" i="1" s="1"/>
  <c r="O662" i="1"/>
  <c r="S662" i="1" s="1"/>
  <c r="N632" i="1"/>
  <c r="R633" i="1" s="1"/>
  <c r="P812" i="1"/>
  <c r="T812" i="1" s="1"/>
  <c r="N618" i="1"/>
  <c r="R619" i="1" s="1"/>
  <c r="M608" i="1"/>
  <c r="Q609" i="1" s="1"/>
  <c r="P784" i="1"/>
  <c r="T784" i="1" s="1"/>
  <c r="P770" i="1"/>
  <c r="T770" i="1" s="1"/>
  <c r="O620" i="1"/>
  <c r="S620" i="1" s="1"/>
  <c r="N590" i="1"/>
  <c r="R591" i="1" s="1"/>
  <c r="P756" i="1"/>
  <c r="T756" i="1" s="1"/>
  <c r="N576" i="1"/>
  <c r="R577" i="1" s="1"/>
  <c r="M566" i="1"/>
  <c r="Q567" i="1" s="1"/>
  <c r="P742" i="1"/>
  <c r="T742" i="1" s="1"/>
  <c r="O592" i="1"/>
  <c r="S592" i="1" s="1"/>
  <c r="N562" i="1"/>
  <c r="R563" i="1" s="1"/>
  <c r="P728" i="1"/>
  <c r="T728" i="1" s="1"/>
  <c r="O578" i="1"/>
  <c r="S578" i="1" s="1"/>
  <c r="P714" i="1"/>
  <c r="T714" i="1" s="1"/>
  <c r="O564" i="1"/>
  <c r="S564" i="1" s="1"/>
  <c r="O550" i="1"/>
  <c r="S550" i="1" s="1"/>
  <c r="N520" i="1"/>
  <c r="R521" i="1" s="1"/>
  <c r="P658" i="1"/>
  <c r="T658" i="1" s="1"/>
  <c r="O508" i="1"/>
  <c r="S508" i="1" s="1"/>
  <c r="O494" i="1"/>
  <c r="S494" i="1" s="1"/>
  <c r="P644" i="1"/>
  <c r="T644" i="1" s="1"/>
  <c r="N464" i="1"/>
  <c r="R465" i="1" s="1"/>
  <c r="O480" i="1"/>
  <c r="S480" i="1" s="1"/>
  <c r="N450" i="1"/>
  <c r="N436" i="1"/>
  <c r="O466" i="1"/>
  <c r="S466" i="1" s="1"/>
  <c r="P616" i="1"/>
  <c r="T616" i="1" s="1"/>
  <c r="N422" i="1"/>
  <c r="R423" i="1" s="1"/>
  <c r="P602" i="1"/>
  <c r="T602" i="1" s="1"/>
  <c r="M412" i="1"/>
  <c r="Q413" i="1" s="1"/>
  <c r="P588" i="1"/>
  <c r="T588" i="1" s="1"/>
  <c r="O438" i="1"/>
  <c r="S438" i="1" s="1"/>
  <c r="N408" i="1"/>
  <c r="R409" i="1" s="1"/>
  <c r="M398" i="1"/>
  <c r="P574" i="1"/>
  <c r="T574" i="1" s="1"/>
  <c r="O424" i="1"/>
  <c r="S424" i="1" s="1"/>
  <c r="P560" i="1"/>
  <c r="T560" i="1" s="1"/>
  <c r="M370" i="1"/>
  <c r="Q371" i="1" s="1"/>
  <c r="N380" i="1"/>
  <c r="R381" i="1" s="1"/>
  <c r="O410" i="1"/>
  <c r="S410" i="1" s="1"/>
  <c r="P546" i="1"/>
  <c r="T546" i="1" s="1"/>
  <c r="O396" i="1"/>
  <c r="S396" i="1" s="1"/>
  <c r="N366" i="1"/>
  <c r="R367" i="1" s="1"/>
  <c r="O382" i="1"/>
  <c r="S382" i="1" s="1"/>
  <c r="P532" i="1"/>
  <c r="T532" i="1" s="1"/>
  <c r="N352" i="1"/>
  <c r="R353" i="1" s="1"/>
  <c r="P518" i="1"/>
  <c r="T518" i="1" s="1"/>
  <c r="N338" i="1"/>
  <c r="O368" i="1"/>
  <c r="S368" i="1" s="1"/>
  <c r="N324" i="1"/>
  <c r="R325" i="1" s="1"/>
  <c r="N310" i="1"/>
  <c r="P490" i="1"/>
  <c r="T490" i="1" s="1"/>
  <c r="M300" i="1"/>
  <c r="Q301" i="1" s="1"/>
  <c r="P476" i="1"/>
  <c r="T476" i="1" s="1"/>
  <c r="O326" i="1"/>
  <c r="S326" i="1" s="1"/>
  <c r="O312" i="1"/>
  <c r="S312" i="1" s="1"/>
  <c r="P462" i="1"/>
  <c r="T462" i="1" s="1"/>
  <c r="N282" i="1"/>
  <c r="R283" i="1" s="1"/>
  <c r="P420" i="1"/>
  <c r="T420" i="1" s="1"/>
  <c r="O270" i="1"/>
  <c r="S270" i="1" s="1"/>
  <c r="N240" i="1"/>
  <c r="R241" i="1" s="1"/>
  <c r="M230" i="1"/>
  <c r="Q231" i="1" s="1"/>
  <c r="P406" i="1"/>
  <c r="T406" i="1" s="1"/>
  <c r="M216" i="1"/>
  <c r="Q217" i="1" s="1"/>
  <c r="N226" i="1"/>
  <c r="R227" i="1" s="1"/>
  <c r="O242" i="1"/>
  <c r="S242" i="1" s="1"/>
  <c r="P392" i="1"/>
  <c r="T392" i="1" s="1"/>
  <c r="N212" i="1"/>
  <c r="R213" i="1" s="1"/>
  <c r="M202" i="1"/>
  <c r="Q203" i="1" s="1"/>
  <c r="P378" i="1"/>
  <c r="T378" i="1" s="1"/>
  <c r="O228" i="1"/>
  <c r="S228" i="1" s="1"/>
  <c r="N198" i="1"/>
  <c r="R199" i="1" s="1"/>
  <c r="N184" i="1"/>
  <c r="R185" i="1" s="1"/>
  <c r="M174" i="1"/>
  <c r="Q175" i="1" s="1"/>
  <c r="P364" i="1"/>
  <c r="T364" i="1" s="1"/>
  <c r="P350" i="1"/>
  <c r="O200" i="1"/>
  <c r="S200" i="1" s="1"/>
  <c r="P336" i="1"/>
  <c r="T336" i="1" s="1"/>
  <c r="O172" i="1"/>
  <c r="S172" i="1" s="1"/>
  <c r="P322" i="1"/>
  <c r="T322" i="1" s="1"/>
  <c r="N142" i="1"/>
  <c r="R143" i="1" s="1"/>
  <c r="O158" i="1"/>
  <c r="S158" i="1" s="1"/>
  <c r="P308" i="1"/>
  <c r="T308" i="1" s="1"/>
  <c r="M118" i="1"/>
  <c r="Q119" i="1" s="1"/>
  <c r="N114" i="1"/>
  <c r="R115" i="1" s="1"/>
  <c r="P294" i="1"/>
  <c r="T294" i="1" s="1"/>
  <c r="P280" i="1"/>
  <c r="M90" i="1"/>
  <c r="O130" i="1"/>
  <c r="S130" i="1" s="1"/>
  <c r="N100" i="1"/>
  <c r="R101" i="1" s="1"/>
  <c r="P266" i="1"/>
  <c r="T266" i="1" s="1"/>
  <c r="M76" i="1"/>
  <c r="Q77" i="1" s="1"/>
  <c r="O116" i="1"/>
  <c r="S116" i="1" s="1"/>
  <c r="P252" i="1"/>
  <c r="T252" i="1" s="1"/>
  <c r="O102" i="1"/>
  <c r="S102" i="1" s="1"/>
  <c r="N72" i="1"/>
  <c r="R73" i="1" s="1"/>
  <c r="M62" i="1"/>
  <c r="Q63" i="1" s="1"/>
  <c r="O88" i="1"/>
  <c r="S88" i="1" s="1"/>
  <c r="N58" i="1"/>
  <c r="R59" i="1" s="1"/>
  <c r="N44" i="1"/>
  <c r="R45" i="1" s="1"/>
  <c r="O74" i="1"/>
  <c r="S74" i="1" s="1"/>
  <c r="P224" i="1"/>
  <c r="T224" i="1" s="1"/>
  <c r="P210" i="1"/>
  <c r="T210" i="1" s="1"/>
  <c r="O60" i="1"/>
  <c r="S60" i="1" s="1"/>
  <c r="M1248" i="1"/>
  <c r="Q1249" i="1" s="1"/>
  <c r="M1223" i="1"/>
  <c r="Q1224" i="1" s="1"/>
  <c r="M1180" i="1"/>
  <c r="Q1181" i="1" s="1"/>
  <c r="M1134" i="1"/>
  <c r="Q1135" i="1" s="1"/>
  <c r="M1065" i="1"/>
  <c r="Q1066" i="1" s="1"/>
  <c r="M998" i="1"/>
  <c r="Q999" i="1" s="1"/>
  <c r="M953" i="1"/>
  <c r="Q954" i="1" s="1"/>
  <c r="M930" i="1"/>
  <c r="Q931" i="1" s="1"/>
  <c r="M884" i="1"/>
  <c r="Q885" i="1" s="1"/>
  <c r="M840" i="1"/>
  <c r="Q841" i="1" s="1"/>
  <c r="M772" i="1"/>
  <c r="Q773" i="1" s="1"/>
  <c r="M748" i="1"/>
  <c r="Q749" i="1" s="1"/>
  <c r="M703" i="1"/>
  <c r="Q704" i="1" s="1"/>
  <c r="M659" i="1"/>
  <c r="M634" i="1"/>
  <c r="Q635" i="1" s="1"/>
  <c r="M590" i="1"/>
  <c r="Q591" i="1" s="1"/>
  <c r="M564" i="1"/>
  <c r="Q565" i="1" s="1"/>
  <c r="M465" i="1"/>
  <c r="Q466" i="1" s="1"/>
  <c r="M439" i="1"/>
  <c r="Q440" i="1" s="1"/>
  <c r="M414" i="1"/>
  <c r="Q415" i="1" s="1"/>
  <c r="M392" i="1"/>
  <c r="Q393" i="1" s="1"/>
  <c r="M366" i="1"/>
  <c r="Q367" i="1" s="1"/>
  <c r="M340" i="1"/>
  <c r="Q341" i="1" s="1"/>
  <c r="M314" i="1"/>
  <c r="Q315" i="1" s="1"/>
  <c r="M267" i="1"/>
  <c r="Q268" i="1" s="1"/>
  <c r="M240" i="1"/>
  <c r="M210" i="1"/>
  <c r="Q211" i="1" s="1"/>
  <c r="M184" i="1"/>
  <c r="M155" i="1"/>
  <c r="Q156" i="1" s="1"/>
  <c r="M128" i="1"/>
  <c r="Q129" i="1" s="1"/>
  <c r="N994" i="1"/>
  <c r="R995" i="1" s="1"/>
  <c r="N752" i="1"/>
  <c r="R753" i="1" s="1"/>
  <c r="N613" i="1"/>
  <c r="R614" i="1" s="1"/>
  <c r="N546" i="1"/>
  <c r="R547" i="1" s="1"/>
  <c r="N476" i="1"/>
  <c r="R477" i="1" s="1"/>
  <c r="N435" i="1"/>
  <c r="N361" i="1"/>
  <c r="N321" i="1"/>
  <c r="N278" i="1"/>
  <c r="R279" i="1" s="1"/>
  <c r="N194" i="1"/>
  <c r="R195" i="1" s="1"/>
  <c r="N155" i="1"/>
  <c r="R156" i="1" s="1"/>
  <c r="N110" i="1"/>
  <c r="R111" i="1" s="1"/>
  <c r="N66" i="1"/>
  <c r="R67" i="1" s="1"/>
  <c r="O1090" i="1"/>
  <c r="S1090" i="1" s="1"/>
  <c r="O743" i="1"/>
  <c r="S743" i="1" s="1"/>
  <c r="O563" i="1"/>
  <c r="S563" i="1" s="1"/>
  <c r="O496" i="1"/>
  <c r="S496" i="1" s="1"/>
  <c r="O353" i="1"/>
  <c r="S353" i="1" s="1"/>
  <c r="O216" i="1"/>
  <c r="S216" i="1" s="1"/>
  <c r="O143" i="1"/>
  <c r="S143" i="1" s="1"/>
  <c r="P1134" i="1"/>
  <c r="T1134" i="1" s="1"/>
  <c r="P1049" i="1"/>
  <c r="T1049" i="1" s="1"/>
  <c r="P980" i="1"/>
  <c r="T980" i="1" s="1"/>
  <c r="P795" i="1"/>
  <c r="T795" i="1" s="1"/>
  <c r="P700" i="1"/>
  <c r="T700" i="1" s="1"/>
  <c r="P499" i="1"/>
  <c r="T499" i="1" s="1"/>
  <c r="P377" i="1"/>
  <c r="T377" i="1" s="1"/>
  <c r="P264" i="1"/>
  <c r="T264" i="1" s="1"/>
  <c r="N1247" i="1"/>
  <c r="R1248" i="1" s="1"/>
  <c r="N1233" i="1"/>
  <c r="N1219" i="1"/>
  <c r="R1220" i="1" s="1"/>
  <c r="M1209" i="1"/>
  <c r="Q1210" i="1" s="1"/>
  <c r="O1249" i="1"/>
  <c r="S1249" i="1" s="1"/>
  <c r="N1205" i="1"/>
  <c r="R1206" i="1" s="1"/>
  <c r="N1191" i="1"/>
  <c r="R1192" i="1" s="1"/>
  <c r="O1221" i="1"/>
  <c r="S1221" i="1" s="1"/>
  <c r="O1207" i="1"/>
  <c r="S1207" i="1" s="1"/>
  <c r="N1163" i="1"/>
  <c r="O1179" i="1"/>
  <c r="S1179" i="1" s="1"/>
  <c r="M1125" i="1"/>
  <c r="O1151" i="1"/>
  <c r="S1151" i="1" s="1"/>
  <c r="N1121" i="1"/>
  <c r="R1122" i="1" s="1"/>
  <c r="O1137" i="1"/>
  <c r="S1137" i="1" s="1"/>
  <c r="M1083" i="1"/>
  <c r="Q1084" i="1" s="1"/>
  <c r="N1079" i="1"/>
  <c r="R1080" i="1" s="1"/>
  <c r="P1245" i="1"/>
  <c r="T1245" i="1" s="1"/>
  <c r="O1095" i="1"/>
  <c r="S1095" i="1" s="1"/>
  <c r="N1065" i="1"/>
  <c r="R1066" i="1" s="1"/>
  <c r="O1081" i="1"/>
  <c r="S1081" i="1" s="1"/>
  <c r="P1231" i="1"/>
  <c r="T1231" i="1" s="1"/>
  <c r="O1067" i="1"/>
  <c r="S1067" i="1" s="1"/>
  <c r="P1203" i="1"/>
  <c r="T1203" i="1" s="1"/>
  <c r="N1023" i="1"/>
  <c r="O1053" i="1"/>
  <c r="S1053" i="1" s="1"/>
  <c r="M1013" i="1"/>
  <c r="Q1014" i="1" s="1"/>
  <c r="P1189" i="1"/>
  <c r="T1189" i="1" s="1"/>
  <c r="O1039" i="1"/>
  <c r="S1039" i="1" s="1"/>
  <c r="N995" i="1"/>
  <c r="R996" i="1" s="1"/>
  <c r="P1175" i="1"/>
  <c r="T1175" i="1" s="1"/>
  <c r="O1025" i="1"/>
  <c r="S1025" i="1" s="1"/>
  <c r="O1011" i="1"/>
  <c r="S1011" i="1" s="1"/>
  <c r="N981" i="1"/>
  <c r="R982" i="1" s="1"/>
  <c r="P1161" i="1"/>
  <c r="T1161" i="1" s="1"/>
  <c r="P1147" i="1"/>
  <c r="T1147" i="1" s="1"/>
  <c r="N967" i="1"/>
  <c r="O983" i="1"/>
  <c r="S983" i="1" s="1"/>
  <c r="P1133" i="1"/>
  <c r="T1133" i="1" s="1"/>
  <c r="N953" i="1"/>
  <c r="P1119" i="1"/>
  <c r="T1119" i="1" s="1"/>
  <c r="O969" i="1"/>
  <c r="S969" i="1" s="1"/>
  <c r="N939" i="1"/>
  <c r="M929" i="1"/>
  <c r="Q930" i="1" s="1"/>
  <c r="N925" i="1"/>
  <c r="P1105" i="1"/>
  <c r="T1105" i="1" s="1"/>
  <c r="O955" i="1"/>
  <c r="S955" i="1" s="1"/>
  <c r="O941" i="1"/>
  <c r="S941" i="1" s="1"/>
  <c r="N911" i="1"/>
  <c r="P1077" i="1"/>
  <c r="T1077" i="1" s="1"/>
  <c r="M887" i="1"/>
  <c r="Q888" i="1" s="1"/>
  <c r="O927" i="1"/>
  <c r="S927" i="1" s="1"/>
  <c r="N897" i="1"/>
  <c r="R898" i="1" s="1"/>
  <c r="P1063" i="1"/>
  <c r="T1063" i="1" s="1"/>
  <c r="O899" i="1"/>
  <c r="S899" i="1" s="1"/>
  <c r="O885" i="1"/>
  <c r="S885" i="1" s="1"/>
  <c r="P1035" i="1"/>
  <c r="T1035" i="1" s="1"/>
  <c r="N855" i="1"/>
  <c r="R856" i="1" s="1"/>
  <c r="N841" i="1"/>
  <c r="R842" i="1" s="1"/>
  <c r="O871" i="1"/>
  <c r="S871" i="1" s="1"/>
  <c r="P1007" i="1"/>
  <c r="T1007" i="1" s="1"/>
  <c r="N827" i="1"/>
  <c r="R828" i="1" s="1"/>
  <c r="O857" i="1"/>
  <c r="S857" i="1" s="1"/>
  <c r="M817" i="1"/>
  <c r="Q818" i="1" s="1"/>
  <c r="P993" i="1"/>
  <c r="T993" i="1" s="1"/>
  <c r="N813" i="1"/>
  <c r="R814" i="1" s="1"/>
  <c r="O843" i="1"/>
  <c r="S843" i="1" s="1"/>
  <c r="N799" i="1"/>
  <c r="R800" i="1" s="1"/>
  <c r="O829" i="1"/>
  <c r="S829" i="1" s="1"/>
  <c r="P979" i="1"/>
  <c r="T979" i="1" s="1"/>
  <c r="N785" i="1"/>
  <c r="P951" i="1"/>
  <c r="T951" i="1" s="1"/>
  <c r="O801" i="1"/>
  <c r="S801" i="1" s="1"/>
  <c r="O787" i="1"/>
  <c r="S787" i="1" s="1"/>
  <c r="P937" i="1"/>
  <c r="T937" i="1" s="1"/>
  <c r="N757" i="1"/>
  <c r="R758" i="1" s="1"/>
  <c r="O773" i="1"/>
  <c r="S773" i="1" s="1"/>
  <c r="P923" i="1"/>
  <c r="T923" i="1" s="1"/>
  <c r="M733" i="1"/>
  <c r="N743" i="1"/>
  <c r="R744" i="1" s="1"/>
  <c r="P909" i="1"/>
  <c r="T909" i="1" s="1"/>
  <c r="O759" i="1"/>
  <c r="S759" i="1" s="1"/>
  <c r="N715" i="1"/>
  <c r="R716" i="1" s="1"/>
  <c r="P895" i="1"/>
  <c r="T895" i="1" s="1"/>
  <c r="O745" i="1"/>
  <c r="S745" i="1" s="1"/>
  <c r="P881" i="1"/>
  <c r="M691" i="1"/>
  <c r="Q692" i="1" s="1"/>
  <c r="O731" i="1"/>
  <c r="S731" i="1" s="1"/>
  <c r="N701" i="1"/>
  <c r="R702" i="1" s="1"/>
  <c r="P867" i="1"/>
  <c r="T867" i="1" s="1"/>
  <c r="O717" i="1"/>
  <c r="S717" i="1" s="1"/>
  <c r="N687" i="1"/>
  <c r="R688" i="1" s="1"/>
  <c r="P853" i="1"/>
  <c r="T853" i="1" s="1"/>
  <c r="N673" i="1"/>
  <c r="R674" i="1" s="1"/>
  <c r="O689" i="1"/>
  <c r="S689" i="1" s="1"/>
  <c r="P839" i="1"/>
  <c r="P825" i="1"/>
  <c r="T825" i="1" s="1"/>
  <c r="N645" i="1"/>
  <c r="R646" i="1" s="1"/>
  <c r="P811" i="1"/>
  <c r="T811" i="1" s="1"/>
  <c r="M621" i="1"/>
  <c r="Q622" i="1" s="1"/>
  <c r="N631" i="1"/>
  <c r="P797" i="1"/>
  <c r="T797" i="1" s="1"/>
  <c r="N617" i="1"/>
  <c r="N603" i="1"/>
  <c r="P783" i="1"/>
  <c r="T783" i="1" s="1"/>
  <c r="O633" i="1"/>
  <c r="S633" i="1" s="1"/>
  <c r="P769" i="1"/>
  <c r="T769" i="1" s="1"/>
  <c r="O619" i="1"/>
  <c r="S619" i="1" s="1"/>
  <c r="P755" i="1"/>
  <c r="T755" i="1" s="1"/>
  <c r="P741" i="1"/>
  <c r="T741" i="1" s="1"/>
  <c r="O591" i="1"/>
  <c r="S591" i="1" s="1"/>
  <c r="N561" i="1"/>
  <c r="R562" i="1" s="1"/>
  <c r="P727" i="1"/>
  <c r="T727" i="1" s="1"/>
  <c r="M537" i="1"/>
  <c r="Q538" i="1" s="1"/>
  <c r="N533" i="1"/>
  <c r="P713" i="1"/>
  <c r="T713" i="1" s="1"/>
  <c r="M523" i="1"/>
  <c r="Q524" i="1" s="1"/>
  <c r="N519" i="1"/>
  <c r="R520" i="1" s="1"/>
  <c r="P699" i="1"/>
  <c r="T699" i="1" s="1"/>
  <c r="P685" i="1"/>
  <c r="T685" i="1" s="1"/>
  <c r="O535" i="1"/>
  <c r="S535" i="1" s="1"/>
  <c r="N505" i="1"/>
  <c r="R506" i="1" s="1"/>
  <c r="M495" i="1"/>
  <c r="Q496" i="1" s="1"/>
  <c r="N491" i="1"/>
  <c r="P671" i="1"/>
  <c r="T671" i="1" s="1"/>
  <c r="O521" i="1"/>
  <c r="S521" i="1" s="1"/>
  <c r="N477" i="1"/>
  <c r="P643" i="1"/>
  <c r="T643" i="1" s="1"/>
  <c r="O493" i="1"/>
  <c r="S493" i="1" s="1"/>
  <c r="O479" i="1"/>
  <c r="S479" i="1" s="1"/>
  <c r="N449" i="1"/>
  <c r="R450" i="1" s="1"/>
  <c r="O465" i="1"/>
  <c r="S465" i="1" s="1"/>
  <c r="P615" i="1"/>
  <c r="T615" i="1" s="1"/>
  <c r="M425" i="1"/>
  <c r="Q426" i="1" s="1"/>
  <c r="P601" i="1"/>
  <c r="T601" i="1" s="1"/>
  <c r="N421" i="1"/>
  <c r="R422" i="1" s="1"/>
  <c r="P587" i="1"/>
  <c r="T587" i="1" s="1"/>
  <c r="N407" i="1"/>
  <c r="R408" i="1" s="1"/>
  <c r="P573" i="1"/>
  <c r="T573" i="1" s="1"/>
  <c r="O423" i="1"/>
  <c r="S423" i="1" s="1"/>
  <c r="P559" i="1"/>
  <c r="T559" i="1" s="1"/>
  <c r="O409" i="1"/>
  <c r="S409" i="1" s="1"/>
  <c r="N379" i="1"/>
  <c r="R380" i="1" s="1"/>
  <c r="P545" i="1"/>
  <c r="O395" i="1"/>
  <c r="S395" i="1" s="1"/>
  <c r="O381" i="1"/>
  <c r="S381" i="1" s="1"/>
  <c r="P531" i="1"/>
  <c r="T531" i="1" s="1"/>
  <c r="M341" i="1"/>
  <c r="Q342" i="1" s="1"/>
  <c r="P517" i="1"/>
  <c r="T517" i="1" s="1"/>
  <c r="O367" i="1"/>
  <c r="S367" i="1" s="1"/>
  <c r="M327" i="1"/>
  <c r="Q328" i="1" s="1"/>
  <c r="N323" i="1"/>
  <c r="R324" i="1" s="1"/>
  <c r="M299" i="1"/>
  <c r="Q300" i="1" s="1"/>
  <c r="N309" i="1"/>
  <c r="R310" i="1" s="1"/>
  <c r="P489" i="1"/>
  <c r="T489" i="1" s="1"/>
  <c r="N295" i="1"/>
  <c r="R296" i="1" s="1"/>
  <c r="P475" i="1"/>
  <c r="O311" i="1"/>
  <c r="S311" i="1" s="1"/>
  <c r="P461" i="1"/>
  <c r="T461" i="1" s="1"/>
  <c r="P447" i="1"/>
  <c r="T447" i="1" s="1"/>
  <c r="N267" i="1"/>
  <c r="R268" i="1" s="1"/>
  <c r="O283" i="1"/>
  <c r="S283" i="1" s="1"/>
  <c r="O269" i="1"/>
  <c r="S269" i="1" s="1"/>
  <c r="P419" i="1"/>
  <c r="T419" i="1" s="1"/>
  <c r="N239" i="1"/>
  <c r="M229" i="1"/>
  <c r="Q230" i="1" s="1"/>
  <c r="P405" i="1"/>
  <c r="T405" i="1" s="1"/>
  <c r="N225" i="1"/>
  <c r="R226" i="1" s="1"/>
  <c r="P391" i="1"/>
  <c r="T391" i="1" s="1"/>
  <c r="N211" i="1"/>
  <c r="R212" i="1" s="1"/>
  <c r="O241" i="1"/>
  <c r="S241" i="1" s="1"/>
  <c r="O227" i="1"/>
  <c r="S227" i="1" s="1"/>
  <c r="P363" i="1"/>
  <c r="T363" i="1" s="1"/>
  <c r="N183" i="1"/>
  <c r="R184" i="1" s="1"/>
  <c r="O213" i="1"/>
  <c r="S213" i="1" s="1"/>
  <c r="N169" i="1"/>
  <c r="R170" i="1" s="1"/>
  <c r="P349" i="1"/>
  <c r="M159" i="1"/>
  <c r="Q160" i="1" s="1"/>
  <c r="O199" i="1"/>
  <c r="S199" i="1" s="1"/>
  <c r="P335" i="1"/>
  <c r="T335" i="1" s="1"/>
  <c r="M145" i="1"/>
  <c r="Q146" i="1" s="1"/>
  <c r="O171" i="1"/>
  <c r="S171" i="1" s="1"/>
  <c r="P321" i="1"/>
  <c r="T321" i="1" s="1"/>
  <c r="N141" i="1"/>
  <c r="R142" i="1" s="1"/>
  <c r="P307" i="1"/>
  <c r="N127" i="1"/>
  <c r="R128" i="1" s="1"/>
  <c r="N113" i="1"/>
  <c r="N99" i="1"/>
  <c r="R100" i="1" s="1"/>
  <c r="P279" i="1"/>
  <c r="T279" i="1" s="1"/>
  <c r="O129" i="1"/>
  <c r="S129" i="1" s="1"/>
  <c r="P265" i="1"/>
  <c r="T265" i="1" s="1"/>
  <c r="M75" i="1"/>
  <c r="Q76" i="1" s="1"/>
  <c r="O115" i="1"/>
  <c r="S115" i="1" s="1"/>
  <c r="N85" i="1"/>
  <c r="R86" i="1" s="1"/>
  <c r="O101" i="1"/>
  <c r="S101" i="1" s="1"/>
  <c r="M61" i="1"/>
  <c r="Q62" i="1" s="1"/>
  <c r="P251" i="1"/>
  <c r="T251" i="1" s="1"/>
  <c r="N71" i="1"/>
  <c r="O87" i="1"/>
  <c r="S87" i="1" s="1"/>
  <c r="P237" i="1"/>
  <c r="T237" i="1" s="1"/>
  <c r="M47" i="1"/>
  <c r="Q48" i="1" s="1"/>
  <c r="N57" i="1"/>
  <c r="R58" i="1" s="1"/>
  <c r="O73" i="1"/>
  <c r="S73" i="1" s="1"/>
  <c r="P223" i="1"/>
  <c r="T223" i="1" s="1"/>
  <c r="P209" i="1"/>
  <c r="T209" i="1" s="1"/>
  <c r="O59" i="1"/>
  <c r="S59" i="1" s="1"/>
  <c r="N29" i="1"/>
  <c r="R30" i="1" s="1"/>
  <c r="M1222" i="1"/>
  <c r="Q1223" i="1" s="1"/>
  <c r="M1178" i="1"/>
  <c r="Q1179" i="1" s="1"/>
  <c r="M1153" i="1"/>
  <c r="Q1154" i="1" s="1"/>
  <c r="M1110" i="1"/>
  <c r="Q1111" i="1" s="1"/>
  <c r="M1041" i="1"/>
  <c r="Q1042" i="1" s="1"/>
  <c r="M883" i="1"/>
  <c r="Q884" i="1" s="1"/>
  <c r="M860" i="1"/>
  <c r="Q861" i="1" s="1"/>
  <c r="M814" i="1"/>
  <c r="Q815" i="1" s="1"/>
  <c r="M771" i="1"/>
  <c r="Q772" i="1" s="1"/>
  <c r="M747" i="1"/>
  <c r="Q748" i="1" s="1"/>
  <c r="M702" i="1"/>
  <c r="Q703" i="1" s="1"/>
  <c r="M678" i="1"/>
  <c r="Q679" i="1" s="1"/>
  <c r="M563" i="1"/>
  <c r="Q564" i="1" s="1"/>
  <c r="M538" i="1"/>
  <c r="Q539" i="1" s="1"/>
  <c r="M464" i="1"/>
  <c r="Q465" i="1" s="1"/>
  <c r="M438" i="1"/>
  <c r="Q439" i="1" s="1"/>
  <c r="M413" i="1"/>
  <c r="Q414" i="1" s="1"/>
  <c r="M386" i="1"/>
  <c r="Q387" i="1" s="1"/>
  <c r="M313" i="1"/>
  <c r="Q314" i="1" s="1"/>
  <c r="M288" i="1"/>
  <c r="Q289" i="1" s="1"/>
  <c r="M238" i="1"/>
  <c r="Q239" i="1" s="1"/>
  <c r="M183" i="1"/>
  <c r="M154" i="1"/>
  <c r="Q155" i="1" s="1"/>
  <c r="M36" i="1"/>
  <c r="N923" i="1"/>
  <c r="R924" i="1" s="1"/>
  <c r="N786" i="1"/>
  <c r="R787" i="1" s="1"/>
  <c r="N646" i="1"/>
  <c r="R647" i="1" s="1"/>
  <c r="N612" i="1"/>
  <c r="R613" i="1" s="1"/>
  <c r="N575" i="1"/>
  <c r="R576" i="1" s="1"/>
  <c r="N544" i="1"/>
  <c r="R545" i="1" s="1"/>
  <c r="N475" i="1"/>
  <c r="R476" i="1" s="1"/>
  <c r="N395" i="1"/>
  <c r="R396" i="1" s="1"/>
  <c r="N360" i="1"/>
  <c r="R361" i="1" s="1"/>
  <c r="N277" i="1"/>
  <c r="R278" i="1" s="1"/>
  <c r="N193" i="1"/>
  <c r="R194" i="1" s="1"/>
  <c r="N109" i="1"/>
  <c r="R110" i="1" s="1"/>
  <c r="N55" i="1"/>
  <c r="R56" i="1" s="1"/>
  <c r="O913" i="1"/>
  <c r="S913" i="1" s="1"/>
  <c r="W913" i="1" s="1"/>
  <c r="O741" i="1"/>
  <c r="S741" i="1" s="1"/>
  <c r="O340" i="1"/>
  <c r="S340" i="1" s="1"/>
  <c r="O214" i="1"/>
  <c r="S214" i="1" s="1"/>
  <c r="O62" i="1"/>
  <c r="S62" i="1" s="1"/>
  <c r="P1131" i="1"/>
  <c r="T1131" i="1" s="1"/>
  <c r="P1047" i="1"/>
  <c r="T1047" i="1" s="1"/>
  <c r="P882" i="1"/>
  <c r="T882" i="1" s="1"/>
  <c r="P488" i="1"/>
  <c r="T488" i="1" s="1"/>
  <c r="O1236" i="1"/>
  <c r="S1236" i="1" s="1"/>
  <c r="M1196" i="1"/>
  <c r="Q1197" i="1" s="1"/>
  <c r="O1180" i="1"/>
  <c r="S1180" i="1" s="1"/>
  <c r="N1150" i="1"/>
  <c r="R1151" i="1" s="1"/>
  <c r="M1084" i="1"/>
  <c r="Q1085" i="1" s="1"/>
  <c r="O1124" i="1"/>
  <c r="S1124" i="1" s="1"/>
  <c r="P1232" i="1"/>
  <c r="T1232" i="1" s="1"/>
  <c r="O1082" i="1"/>
  <c r="S1082" i="1" s="1"/>
  <c r="N1010" i="1"/>
  <c r="P1190" i="1"/>
  <c r="T1190" i="1" s="1"/>
  <c r="M1000" i="1"/>
  <c r="Q1001" i="1" s="1"/>
  <c r="O998" i="1"/>
  <c r="S998" i="1" s="1"/>
  <c r="P1148" i="1"/>
  <c r="T1148" i="1" s="1"/>
  <c r="M958" i="1"/>
  <c r="Q959" i="1" s="1"/>
  <c r="O942" i="1"/>
  <c r="S942" i="1" s="1"/>
  <c r="N912" i="1"/>
  <c r="R913" i="1" s="1"/>
  <c r="P1036" i="1"/>
  <c r="T1036" i="1" s="1"/>
  <c r="O886" i="1"/>
  <c r="S886" i="1" s="1"/>
  <c r="N814" i="1"/>
  <c r="R815" i="1" s="1"/>
  <c r="P994" i="1"/>
  <c r="T994" i="1" s="1"/>
  <c r="M804" i="1"/>
  <c r="Q805" i="1" s="1"/>
  <c r="O802" i="1"/>
  <c r="S802" i="1" s="1"/>
  <c r="M762" i="1"/>
  <c r="Q763" i="1" s="1"/>
  <c r="P840" i="1"/>
  <c r="T840" i="1" s="1"/>
  <c r="O522" i="1"/>
  <c r="S522" i="1" s="1"/>
  <c r="P672" i="1"/>
  <c r="T672" i="1" s="1"/>
  <c r="O284" i="1"/>
  <c r="S284" i="1" s="1"/>
  <c r="N254" i="1"/>
  <c r="R255" i="1" s="1"/>
  <c r="P434" i="1"/>
  <c r="T434" i="1" s="1"/>
  <c r="N1246" i="1"/>
  <c r="R1247" i="1" s="1"/>
  <c r="O1248" i="1"/>
  <c r="S1248" i="1" s="1"/>
  <c r="M1208" i="1"/>
  <c r="Q1209" i="1" s="1"/>
  <c r="M1179" i="1"/>
  <c r="Q1180" i="1" s="1"/>
  <c r="O1219" i="1"/>
  <c r="S1219" i="1" s="1"/>
  <c r="O1192" i="1"/>
  <c r="S1192" i="1" s="1"/>
  <c r="O1164" i="1"/>
  <c r="S1164" i="1" s="1"/>
  <c r="N1133" i="1"/>
  <c r="R1134" i="1" s="1"/>
  <c r="N1106" i="1"/>
  <c r="R1107" i="1" s="1"/>
  <c r="O1108" i="1"/>
  <c r="S1108" i="1" s="1"/>
  <c r="N1078" i="1"/>
  <c r="R1079" i="1" s="1"/>
  <c r="P1230" i="1"/>
  <c r="T1230" i="1" s="1"/>
  <c r="N1050" i="1"/>
  <c r="R1051" i="1" s="1"/>
  <c r="N1022" i="1"/>
  <c r="R1023" i="1" s="1"/>
  <c r="P1202" i="1"/>
  <c r="T1202" i="1" s="1"/>
  <c r="O1052" i="1"/>
  <c r="S1052" i="1" s="1"/>
  <c r="M1012" i="1"/>
  <c r="Q1013" i="1" s="1"/>
  <c r="P1174" i="1"/>
  <c r="T1174" i="1" s="1"/>
  <c r="O1024" i="1"/>
  <c r="S1024" i="1" s="1"/>
  <c r="M983" i="1"/>
  <c r="Q984" i="1" s="1"/>
  <c r="O996" i="1"/>
  <c r="S996" i="1" s="1"/>
  <c r="P1146" i="1"/>
  <c r="T1146" i="1" s="1"/>
  <c r="P1118" i="1"/>
  <c r="T1118" i="1" s="1"/>
  <c r="N936" i="1"/>
  <c r="R937" i="1" s="1"/>
  <c r="N910" i="1"/>
  <c r="R911" i="1" s="1"/>
  <c r="O940" i="1"/>
  <c r="S940" i="1" s="1"/>
  <c r="P1062" i="1"/>
  <c r="T1062" i="1" s="1"/>
  <c r="N880" i="1"/>
  <c r="R881" i="1" s="1"/>
  <c r="O884" i="1"/>
  <c r="S884" i="1" s="1"/>
  <c r="P1034" i="1"/>
  <c r="T1034" i="1" s="1"/>
  <c r="O856" i="1"/>
  <c r="S856" i="1" s="1"/>
  <c r="M816" i="1"/>
  <c r="Q817" i="1" s="1"/>
  <c r="N826" i="1"/>
  <c r="R827" i="1" s="1"/>
  <c r="P978" i="1"/>
  <c r="T978" i="1" s="1"/>
  <c r="O828" i="1"/>
  <c r="S828" i="1" s="1"/>
  <c r="M787" i="1"/>
  <c r="Q788" i="1" s="1"/>
  <c r="P950" i="1"/>
  <c r="T950" i="1" s="1"/>
  <c r="N770" i="1"/>
  <c r="R771" i="1" s="1"/>
  <c r="O800" i="1"/>
  <c r="S800" i="1" s="1"/>
  <c r="O786" i="1"/>
  <c r="S786" i="1" s="1"/>
  <c r="N756" i="1"/>
  <c r="R757" i="1" s="1"/>
  <c r="M746" i="1"/>
  <c r="Q747" i="1" s="1"/>
  <c r="O758" i="1"/>
  <c r="S758" i="1" s="1"/>
  <c r="M716" i="1"/>
  <c r="Q717" i="1" s="1"/>
  <c r="N700" i="1"/>
  <c r="R701" i="1" s="1"/>
  <c r="O730" i="1"/>
  <c r="S730" i="1" s="1"/>
  <c r="P852" i="1"/>
  <c r="T852" i="1" s="1"/>
  <c r="N670" i="1"/>
  <c r="R671" i="1" s="1"/>
  <c r="M662" i="1"/>
  <c r="O702" i="1"/>
  <c r="S702" i="1" s="1"/>
  <c r="P824" i="1"/>
  <c r="O674" i="1"/>
  <c r="S674" i="1" s="1"/>
  <c r="N644" i="1"/>
  <c r="R645" i="1" s="1"/>
  <c r="P796" i="1"/>
  <c r="T796" i="1" s="1"/>
  <c r="N616" i="1"/>
  <c r="R617" i="1" s="1"/>
  <c r="O646" i="1"/>
  <c r="S646" i="1" s="1"/>
  <c r="N588" i="1"/>
  <c r="R589" i="1" s="1"/>
  <c r="O618" i="1"/>
  <c r="S618" i="1" s="1"/>
  <c r="P768" i="1"/>
  <c r="T768" i="1" s="1"/>
  <c r="M577" i="1"/>
  <c r="Q578" i="1" s="1"/>
  <c r="P740" i="1"/>
  <c r="M550" i="1"/>
  <c r="Q551" i="1" s="1"/>
  <c r="O590" i="1"/>
  <c r="S590" i="1" s="1"/>
  <c r="P712" i="1"/>
  <c r="T712" i="1" s="1"/>
  <c r="N532" i="1"/>
  <c r="R533" i="1" s="1"/>
  <c r="M520" i="1"/>
  <c r="O562" i="1"/>
  <c r="S562" i="1" s="1"/>
  <c r="P684" i="1"/>
  <c r="T684" i="1" s="1"/>
  <c r="O534" i="1"/>
  <c r="S534" i="1" s="1"/>
  <c r="N504" i="1"/>
  <c r="R505" i="1" s="1"/>
  <c r="P642" i="1"/>
  <c r="T642" i="1" s="1"/>
  <c r="O492" i="1"/>
  <c r="S492" i="1" s="1"/>
  <c r="M452" i="1"/>
  <c r="O464" i="1"/>
  <c r="S464" i="1" s="1"/>
  <c r="P614" i="1"/>
  <c r="T614" i="1" s="1"/>
  <c r="M424" i="1"/>
  <c r="Q425" i="1" s="1"/>
  <c r="O436" i="1"/>
  <c r="S436" i="1" s="1"/>
  <c r="P586" i="1"/>
  <c r="T586" i="1" s="1"/>
  <c r="N406" i="1"/>
  <c r="R407" i="1" s="1"/>
  <c r="M395" i="1"/>
  <c r="Q396" i="1" s="1"/>
  <c r="O408" i="1"/>
  <c r="S408" i="1" s="1"/>
  <c r="N378" i="1"/>
  <c r="R379" i="1" s="1"/>
  <c r="P530" i="1"/>
  <c r="T530" i="1" s="1"/>
  <c r="O380" i="1"/>
  <c r="S380" i="1" s="1"/>
  <c r="O352" i="1"/>
  <c r="S352" i="1" s="1"/>
  <c r="M310" i="1"/>
  <c r="Q311" i="1" s="1"/>
  <c r="P474" i="1"/>
  <c r="T474" i="1" s="1"/>
  <c r="N294" i="1"/>
  <c r="R295" i="1" s="1"/>
  <c r="O324" i="1"/>
  <c r="S324" i="1" s="1"/>
  <c r="O296" i="1"/>
  <c r="S296" i="1" s="1"/>
  <c r="P446" i="1"/>
  <c r="T446" i="1" s="1"/>
  <c r="N266" i="1"/>
  <c r="R267" i="1" s="1"/>
  <c r="M256" i="1"/>
  <c r="Q257" i="1" s="1"/>
  <c r="O268" i="1"/>
  <c r="S268" i="1" s="1"/>
  <c r="P418" i="1"/>
  <c r="T418" i="1" s="1"/>
  <c r="N238" i="1"/>
  <c r="R239" i="1" s="1"/>
  <c r="M228" i="1"/>
  <c r="Q229" i="1" s="1"/>
  <c r="P390" i="1"/>
  <c r="T390" i="1" s="1"/>
  <c r="M199" i="1"/>
  <c r="Q200" i="1" s="1"/>
  <c r="O212" i="1"/>
  <c r="S212" i="1" s="1"/>
  <c r="P362" i="1"/>
  <c r="T362" i="1" s="1"/>
  <c r="P334" i="1"/>
  <c r="T334" i="1" s="1"/>
  <c r="O184" i="1"/>
  <c r="S184" i="1" s="1"/>
  <c r="M142" i="1"/>
  <c r="Q143" i="1" s="1"/>
  <c r="N154" i="1"/>
  <c r="R155" i="1" s="1"/>
  <c r="P306" i="1"/>
  <c r="T306" i="1" s="1"/>
  <c r="O155" i="1"/>
  <c r="S155" i="1" s="1"/>
  <c r="N125" i="1"/>
  <c r="R126" i="1" s="1"/>
  <c r="P278" i="1"/>
  <c r="T278" i="1" s="1"/>
  <c r="N98" i="1"/>
  <c r="R99" i="1" s="1"/>
  <c r="M87" i="1"/>
  <c r="Q88" i="1" s="1"/>
  <c r="O127" i="1"/>
  <c r="S127" i="1" s="1"/>
  <c r="O100" i="1"/>
  <c r="S100" i="1" s="1"/>
  <c r="M60" i="1"/>
  <c r="Q61" i="1" s="1"/>
  <c r="P250" i="1"/>
  <c r="T250" i="1" s="1"/>
  <c r="N70" i="1"/>
  <c r="R71" i="1" s="1"/>
  <c r="O72" i="1"/>
  <c r="S72" i="1" s="1"/>
  <c r="P222" i="1"/>
  <c r="T222" i="1" s="1"/>
  <c r="M32" i="1"/>
  <c r="Q33" i="1" s="1"/>
  <c r="N42" i="1"/>
  <c r="R43" i="1" s="1"/>
  <c r="M1152" i="1"/>
  <c r="Q1153" i="1" s="1"/>
  <c r="M1109" i="1"/>
  <c r="Q1110" i="1" s="1"/>
  <c r="M971" i="1"/>
  <c r="Q972" i="1" s="1"/>
  <c r="M927" i="1"/>
  <c r="M790" i="1"/>
  <c r="Q791" i="1" s="1"/>
  <c r="M744" i="1"/>
  <c r="Q745" i="1" s="1"/>
  <c r="M562" i="1"/>
  <c r="Q563" i="1" s="1"/>
  <c r="M510" i="1"/>
  <c r="Q511" i="1" s="1"/>
  <c r="M411" i="1"/>
  <c r="Q412" i="1" s="1"/>
  <c r="M312" i="1"/>
  <c r="Q313" i="1" s="1"/>
  <c r="M260" i="1"/>
  <c r="Q261" i="1" s="1"/>
  <c r="M34" i="1"/>
  <c r="Q35" i="1" s="1"/>
  <c r="N1158" i="1"/>
  <c r="R1159" i="1" s="1"/>
  <c r="N1094" i="1"/>
  <c r="R1095" i="1" s="1"/>
  <c r="N952" i="1"/>
  <c r="R953" i="1" s="1"/>
  <c r="N394" i="1"/>
  <c r="R395" i="1" s="1"/>
  <c r="O1193" i="1"/>
  <c r="S1193" i="1" s="1"/>
  <c r="O1079" i="1"/>
  <c r="S1079" i="1" s="1"/>
  <c r="O482" i="1"/>
  <c r="S482" i="1" s="1"/>
  <c r="O339" i="1"/>
  <c r="S339" i="1" s="1"/>
  <c r="O61" i="1"/>
  <c r="S61" i="1" s="1"/>
  <c r="P965" i="1"/>
  <c r="T965" i="1" s="1"/>
  <c r="M1067" i="1"/>
  <c r="Q1068" i="1" s="1"/>
  <c r="N1021" i="1"/>
  <c r="R1022" i="1" s="1"/>
  <c r="O799" i="1"/>
  <c r="S799" i="1" s="1"/>
  <c r="N740" i="1"/>
  <c r="R741" i="1" s="1"/>
  <c r="M675" i="1"/>
  <c r="Q676" i="1" s="1"/>
  <c r="O687" i="1"/>
  <c r="S687" i="1" s="1"/>
  <c r="P823" i="1"/>
  <c r="T823" i="1" s="1"/>
  <c r="N628" i="1"/>
  <c r="R629" i="1" s="1"/>
  <c r="O631" i="1"/>
  <c r="S631" i="1" s="1"/>
  <c r="N516" i="1"/>
  <c r="R517" i="1" s="1"/>
  <c r="N474" i="1"/>
  <c r="R475" i="1" s="1"/>
  <c r="O477" i="1"/>
  <c r="S477" i="1" s="1"/>
  <c r="P599" i="1"/>
  <c r="T599" i="1" s="1"/>
  <c r="N404" i="1"/>
  <c r="R405" i="1" s="1"/>
  <c r="N363" i="1"/>
  <c r="R364" i="1" s="1"/>
  <c r="P501" i="1"/>
  <c r="T501" i="1" s="1"/>
  <c r="N293" i="1"/>
  <c r="N195" i="1"/>
  <c r="R196" i="1" s="1"/>
  <c r="O169" i="1"/>
  <c r="S169" i="1" s="1"/>
  <c r="N124" i="1"/>
  <c r="R125" i="1" s="1"/>
  <c r="P235" i="1"/>
  <c r="T235" i="1" s="1"/>
  <c r="N41" i="1"/>
  <c r="R42" i="1" s="1"/>
  <c r="M1220" i="1"/>
  <c r="Q1221" i="1" s="1"/>
  <c r="M1151" i="1"/>
  <c r="Q1152" i="1" s="1"/>
  <c r="M1107" i="1"/>
  <c r="Q1108" i="1" s="1"/>
  <c r="M1082" i="1"/>
  <c r="Q1083" i="1" s="1"/>
  <c r="M1039" i="1"/>
  <c r="Q1040" i="1" s="1"/>
  <c r="M970" i="1"/>
  <c r="Q971" i="1" s="1"/>
  <c r="M926" i="1"/>
  <c r="U926" i="1" s="1"/>
  <c r="M901" i="1"/>
  <c r="Q902" i="1" s="1"/>
  <c r="M857" i="1"/>
  <c r="Q858" i="1" s="1"/>
  <c r="M832" i="1"/>
  <c r="Q833" i="1" s="1"/>
  <c r="M789" i="1"/>
  <c r="Q790" i="1" s="1"/>
  <c r="M743" i="1"/>
  <c r="Q744" i="1" s="1"/>
  <c r="M720" i="1"/>
  <c r="Q721" i="1" s="1"/>
  <c r="M676" i="1"/>
  <c r="Q677" i="1" s="1"/>
  <c r="M631" i="1"/>
  <c r="Q632" i="1" s="1"/>
  <c r="M607" i="1"/>
  <c r="Q608" i="1" s="1"/>
  <c r="M561" i="1"/>
  <c r="Q562" i="1" s="1"/>
  <c r="M535" i="1"/>
  <c r="Q536" i="1" s="1"/>
  <c r="M509" i="1"/>
  <c r="Q510" i="1" s="1"/>
  <c r="M436" i="1"/>
  <c r="Q437" i="1" s="1"/>
  <c r="M410" i="1"/>
  <c r="M384" i="1"/>
  <c r="Q385" i="1" s="1"/>
  <c r="M311" i="1"/>
  <c r="Q312" i="1" s="1"/>
  <c r="M285" i="1"/>
  <c r="Q286" i="1" s="1"/>
  <c r="M259" i="1"/>
  <c r="Q260" i="1" s="1"/>
  <c r="M232" i="1"/>
  <c r="Q233" i="1" s="1"/>
  <c r="M204" i="1"/>
  <c r="Q205" i="1" s="1"/>
  <c r="M117" i="1"/>
  <c r="Q118" i="1" s="1"/>
  <c r="M89" i="1"/>
  <c r="Q90" i="1" s="1"/>
  <c r="M58" i="1"/>
  <c r="Q59" i="1" s="1"/>
  <c r="M33" i="1"/>
  <c r="Q34" i="1" s="1"/>
  <c r="N1244" i="1"/>
  <c r="R1245" i="1" s="1"/>
  <c r="N1218" i="1"/>
  <c r="R1219" i="1" s="1"/>
  <c r="N1188" i="1"/>
  <c r="R1189" i="1" s="1"/>
  <c r="N1093" i="1"/>
  <c r="N1019" i="1"/>
  <c r="R1020" i="1" s="1"/>
  <c r="N951" i="1"/>
  <c r="R952" i="1" s="1"/>
  <c r="N883" i="1"/>
  <c r="R884" i="1" s="1"/>
  <c r="N744" i="1"/>
  <c r="R745" i="1" s="1"/>
  <c r="N640" i="1"/>
  <c r="R641" i="1" s="1"/>
  <c r="N572" i="1"/>
  <c r="R573" i="1" s="1"/>
  <c r="N502" i="1"/>
  <c r="R503" i="1" s="1"/>
  <c r="N431" i="1"/>
  <c r="R432" i="1" s="1"/>
  <c r="N393" i="1"/>
  <c r="R394" i="1" s="1"/>
  <c r="N350" i="1"/>
  <c r="R351" i="1" s="1"/>
  <c r="N312" i="1"/>
  <c r="N270" i="1"/>
  <c r="R271" i="1" s="1"/>
  <c r="N228" i="1"/>
  <c r="R229" i="1" s="1"/>
  <c r="N182" i="1"/>
  <c r="R183" i="1" s="1"/>
  <c r="O1235" i="1"/>
  <c r="S1235" i="1" s="1"/>
  <c r="O1136" i="1"/>
  <c r="S1136" i="1" s="1"/>
  <c r="O1078" i="1"/>
  <c r="S1078" i="1" s="1"/>
  <c r="O1023" i="1"/>
  <c r="S1023" i="1" s="1"/>
  <c r="O968" i="1"/>
  <c r="S968" i="1" s="1"/>
  <c r="O910" i="1"/>
  <c r="S910" i="1" s="1"/>
  <c r="O783" i="1"/>
  <c r="S783" i="1" s="1"/>
  <c r="O728" i="1"/>
  <c r="S728" i="1" s="1"/>
  <c r="O671" i="1"/>
  <c r="S671" i="1" s="1"/>
  <c r="O411" i="1"/>
  <c r="S411" i="1" s="1"/>
  <c r="O198" i="1"/>
  <c r="S198" i="1" s="1"/>
  <c r="O131" i="1"/>
  <c r="S131" i="1" s="1"/>
  <c r="O56" i="1"/>
  <c r="S56" i="1" s="1"/>
  <c r="P868" i="1"/>
  <c r="T868" i="1" s="1"/>
  <c r="P571" i="1"/>
  <c r="T571" i="1" s="1"/>
  <c r="P460" i="1"/>
  <c r="T460" i="1" s="1"/>
  <c r="M1192" i="1"/>
  <c r="Q1193" i="1" s="1"/>
  <c r="O1218" i="1"/>
  <c r="S1218" i="1" s="1"/>
  <c r="N1174" i="1"/>
  <c r="N1132" i="1"/>
  <c r="R1133" i="1" s="1"/>
  <c r="O1064" i="1"/>
  <c r="S1064" i="1" s="1"/>
  <c r="M996" i="1"/>
  <c r="Q997" i="1" s="1"/>
  <c r="O1008" i="1"/>
  <c r="S1008" i="1" s="1"/>
  <c r="M800" i="1"/>
  <c r="Q801" i="1" s="1"/>
  <c r="M604" i="1"/>
  <c r="Q605" i="1" s="1"/>
  <c r="O616" i="1"/>
  <c r="S616" i="1" s="1"/>
  <c r="O504" i="1"/>
  <c r="S504" i="1" s="1"/>
  <c r="N432" i="1"/>
  <c r="R433" i="1" s="1"/>
  <c r="M408" i="1"/>
  <c r="Q409" i="1" s="1"/>
  <c r="N320" i="1"/>
  <c r="O280" i="1"/>
  <c r="S280" i="1" s="1"/>
  <c r="N236" i="1"/>
  <c r="R237" i="1" s="1"/>
  <c r="M212" i="1"/>
  <c r="Q213" i="1" s="1"/>
  <c r="O84" i="1"/>
  <c r="S84" i="1" s="1"/>
  <c r="M1195" i="1"/>
  <c r="Q1196" i="1" s="1"/>
  <c r="M1150" i="1"/>
  <c r="Q1151" i="1" s="1"/>
  <c r="M1081" i="1"/>
  <c r="Q1082" i="1" s="1"/>
  <c r="M1038" i="1"/>
  <c r="Q1039" i="1" s="1"/>
  <c r="M1014" i="1"/>
  <c r="Q1015" i="1" s="1"/>
  <c r="M969" i="1"/>
  <c r="Q970" i="1" s="1"/>
  <c r="M900" i="1"/>
  <c r="Q901" i="1" s="1"/>
  <c r="M856" i="1"/>
  <c r="Q857" i="1" s="1"/>
  <c r="M831" i="1"/>
  <c r="Q832" i="1" s="1"/>
  <c r="M788" i="1"/>
  <c r="Q789" i="1" s="1"/>
  <c r="M742" i="1"/>
  <c r="M719" i="1"/>
  <c r="Q720" i="1" s="1"/>
  <c r="M650" i="1"/>
  <c r="Q651" i="1" s="1"/>
  <c r="M630" i="1"/>
  <c r="Q631" i="1" s="1"/>
  <c r="M606" i="1"/>
  <c r="Q607" i="1" s="1"/>
  <c r="M508" i="1"/>
  <c r="Q509" i="1" s="1"/>
  <c r="M482" i="1"/>
  <c r="Q483" i="1" s="1"/>
  <c r="M456" i="1"/>
  <c r="Q457" i="1" s="1"/>
  <c r="M434" i="1"/>
  <c r="Q435" i="1" s="1"/>
  <c r="M383" i="1"/>
  <c r="Q384" i="1" s="1"/>
  <c r="M357" i="1"/>
  <c r="Q358" i="1" s="1"/>
  <c r="M309" i="1"/>
  <c r="Q310" i="1" s="1"/>
  <c r="M284" i="1"/>
  <c r="Q285" i="1" s="1"/>
  <c r="M231" i="1"/>
  <c r="Q232" i="1" s="1"/>
  <c r="M203" i="1"/>
  <c r="Q204" i="1" s="1"/>
  <c r="M173" i="1"/>
  <c r="Q174" i="1" s="1"/>
  <c r="M147" i="1"/>
  <c r="Q148" i="1" s="1"/>
  <c r="M116" i="1"/>
  <c r="Q117" i="1" s="1"/>
  <c r="M88" i="1"/>
  <c r="Q89" i="1" s="1"/>
  <c r="N1243" i="1"/>
  <c r="R1244" i="1" s="1"/>
  <c r="N1149" i="1"/>
  <c r="R1150" i="1" s="1"/>
  <c r="N1119" i="1"/>
  <c r="R1120" i="1" s="1"/>
  <c r="N1052" i="1"/>
  <c r="R1053" i="1" s="1"/>
  <c r="N882" i="1"/>
  <c r="R883" i="1" s="1"/>
  <c r="N742" i="1"/>
  <c r="R743" i="1" s="1"/>
  <c r="N534" i="1"/>
  <c r="R535" i="1" s="1"/>
  <c r="N501" i="1"/>
  <c r="R502" i="1" s="1"/>
  <c r="N463" i="1"/>
  <c r="R464" i="1" s="1"/>
  <c r="N349" i="1"/>
  <c r="N304" i="1"/>
  <c r="R305" i="1" s="1"/>
  <c r="N264" i="1"/>
  <c r="R265" i="1" s="1"/>
  <c r="N227" i="1"/>
  <c r="R228" i="1" s="1"/>
  <c r="N181" i="1"/>
  <c r="N143" i="1"/>
  <c r="R144" i="1" s="1"/>
  <c r="N101" i="1"/>
  <c r="R102" i="1" s="1"/>
  <c r="O1234" i="1"/>
  <c r="S1234" i="1" s="1"/>
  <c r="O844" i="1"/>
  <c r="S844" i="1" s="1"/>
  <c r="O727" i="1"/>
  <c r="S727" i="1" s="1"/>
  <c r="O606" i="1"/>
  <c r="S606" i="1" s="1"/>
  <c r="O533" i="1"/>
  <c r="S533" i="1" s="1"/>
  <c r="O196" i="1"/>
  <c r="S196" i="1" s="1"/>
  <c r="O128" i="1"/>
  <c r="S128" i="1" s="1"/>
  <c r="P767" i="1"/>
  <c r="T767" i="1" s="1"/>
  <c r="P238" i="1"/>
  <c r="T238" i="1" s="1"/>
  <c r="M1233" i="1"/>
  <c r="Q1234" i="1" s="1"/>
  <c r="N1229" i="1"/>
  <c r="R1230" i="1" s="1"/>
  <c r="O1245" i="1"/>
  <c r="S1245" i="1" s="1"/>
  <c r="N1215" i="1"/>
  <c r="R1216" i="1" s="1"/>
  <c r="N1201" i="1"/>
  <c r="R1202" i="1" s="1"/>
  <c r="O1231" i="1"/>
  <c r="S1231" i="1" s="1"/>
  <c r="M1191" i="1"/>
  <c r="Q1192" i="1" s="1"/>
  <c r="N1187" i="1"/>
  <c r="R1188" i="1" s="1"/>
  <c r="O1203" i="1"/>
  <c r="S1203" i="1" s="1"/>
  <c r="N1173" i="1"/>
  <c r="R1174" i="1" s="1"/>
  <c r="O1189" i="1"/>
  <c r="S1189" i="1" s="1"/>
  <c r="N1159" i="1"/>
  <c r="R1160" i="1" s="1"/>
  <c r="N1131" i="1"/>
  <c r="R1132" i="1" s="1"/>
  <c r="M1121" i="1"/>
  <c r="Q1122" i="1" s="1"/>
  <c r="O1147" i="1"/>
  <c r="S1147" i="1" s="1"/>
  <c r="N1117" i="1"/>
  <c r="R1118" i="1" s="1"/>
  <c r="O1133" i="1"/>
  <c r="S1133" i="1" s="1"/>
  <c r="N1089" i="1"/>
  <c r="R1090" i="1" s="1"/>
  <c r="O1119" i="1"/>
  <c r="S1119" i="1" s="1"/>
  <c r="P1255" i="1"/>
  <c r="T1255" i="1" s="1"/>
  <c r="N1075" i="1"/>
  <c r="R1076" i="1" s="1"/>
  <c r="P1241" i="1"/>
  <c r="T1241" i="1" s="1"/>
  <c r="O1091" i="1"/>
  <c r="S1091" i="1" s="1"/>
  <c r="O1077" i="1"/>
  <c r="S1077" i="1" s="1"/>
  <c r="P1227" i="1"/>
  <c r="T1227" i="1" s="1"/>
  <c r="N1047" i="1"/>
  <c r="R1048" i="1" s="1"/>
  <c r="M1037" i="1"/>
  <c r="Q1038" i="1" s="1"/>
  <c r="P1213" i="1"/>
  <c r="T1213" i="1" s="1"/>
  <c r="N1033" i="1"/>
  <c r="R1034" i="1" s="1"/>
  <c r="O1049" i="1"/>
  <c r="S1049" i="1" s="1"/>
  <c r="P1199" i="1"/>
  <c r="T1199" i="1" s="1"/>
  <c r="O1035" i="1"/>
  <c r="S1035" i="1" s="1"/>
  <c r="P1185" i="1"/>
  <c r="T1185" i="1" s="1"/>
  <c r="M995" i="1"/>
  <c r="Q996" i="1" s="1"/>
  <c r="N1005" i="1"/>
  <c r="R1006" i="1" s="1"/>
  <c r="N991" i="1"/>
  <c r="R992" i="1" s="1"/>
  <c r="O1021" i="1"/>
  <c r="S1021" i="1" s="1"/>
  <c r="P1157" i="1"/>
  <c r="T1157" i="1" s="1"/>
  <c r="N977" i="1"/>
  <c r="R978" i="1" s="1"/>
  <c r="O1007" i="1"/>
  <c r="S1007" i="1" s="1"/>
  <c r="P1143" i="1"/>
  <c r="T1143" i="1" s="1"/>
  <c r="O993" i="1"/>
  <c r="S993" i="1" s="1"/>
  <c r="N963" i="1"/>
  <c r="R964" i="1" s="1"/>
  <c r="O979" i="1"/>
  <c r="S979" i="1" s="1"/>
  <c r="P1129" i="1"/>
  <c r="T1129" i="1" s="1"/>
  <c r="N935" i="1"/>
  <c r="R936" i="1" s="1"/>
  <c r="O965" i="1"/>
  <c r="S965" i="1" s="1"/>
  <c r="M925" i="1"/>
  <c r="Q926" i="1" s="1"/>
  <c r="P1115" i="1"/>
  <c r="T1115" i="1" s="1"/>
  <c r="O951" i="1"/>
  <c r="S951" i="1" s="1"/>
  <c r="P1101" i="1"/>
  <c r="T1101" i="1" s="1"/>
  <c r="P1087" i="1"/>
  <c r="T1087" i="1" s="1"/>
  <c r="O923" i="1"/>
  <c r="S923" i="1" s="1"/>
  <c r="N893" i="1"/>
  <c r="R894" i="1" s="1"/>
  <c r="O909" i="1"/>
  <c r="S909" i="1" s="1"/>
  <c r="N879" i="1"/>
  <c r="R880" i="1" s="1"/>
  <c r="P1059" i="1"/>
  <c r="T1059" i="1" s="1"/>
  <c r="O895" i="1"/>
  <c r="S895" i="1" s="1"/>
  <c r="P1031" i="1"/>
  <c r="T1031" i="1" s="1"/>
  <c r="N851" i="1"/>
  <c r="R852" i="1" s="1"/>
  <c r="M841" i="1"/>
  <c r="Q842" i="1" s="1"/>
  <c r="P1017" i="1"/>
  <c r="T1017" i="1" s="1"/>
  <c r="O867" i="1"/>
  <c r="S867" i="1" s="1"/>
  <c r="O853" i="1"/>
  <c r="S853" i="1" s="1"/>
  <c r="P1003" i="1"/>
  <c r="T1003" i="1" s="1"/>
  <c r="N823" i="1"/>
  <c r="R824" i="1" s="1"/>
  <c r="P989" i="1"/>
  <c r="T989" i="1" s="1"/>
  <c r="O839" i="1"/>
  <c r="S839" i="1" s="1"/>
  <c r="N809" i="1"/>
  <c r="R810" i="1" s="1"/>
  <c r="M799" i="1"/>
  <c r="Q800" i="1" s="1"/>
  <c r="N795" i="1"/>
  <c r="R796" i="1" s="1"/>
  <c r="P975" i="1"/>
  <c r="T975" i="1" s="1"/>
  <c r="O825" i="1"/>
  <c r="S825" i="1" s="1"/>
  <c r="P961" i="1"/>
  <c r="T961" i="1" s="1"/>
  <c r="O811" i="1"/>
  <c r="S811" i="1" s="1"/>
  <c r="N781" i="1"/>
  <c r="R782" i="1" s="1"/>
  <c r="P947" i="1"/>
  <c r="T947" i="1" s="1"/>
  <c r="O797" i="1"/>
  <c r="S797" i="1" s="1"/>
  <c r="N767" i="1"/>
  <c r="R768" i="1" s="1"/>
  <c r="P933" i="1"/>
  <c r="T933" i="1" s="1"/>
  <c r="N739" i="1"/>
  <c r="R740" i="1" s="1"/>
  <c r="P919" i="1"/>
  <c r="T919" i="1" s="1"/>
  <c r="O769" i="1"/>
  <c r="S769" i="1" s="1"/>
  <c r="M729" i="1"/>
  <c r="Q730" i="1" s="1"/>
  <c r="O755" i="1"/>
  <c r="S755" i="1" s="1"/>
  <c r="P905" i="1"/>
  <c r="T905" i="1" s="1"/>
  <c r="P891" i="1"/>
  <c r="T891" i="1" s="1"/>
  <c r="N711" i="1"/>
  <c r="R712" i="1" s="1"/>
  <c r="P877" i="1"/>
  <c r="T877" i="1" s="1"/>
  <c r="P863" i="1"/>
  <c r="T863" i="1" s="1"/>
  <c r="N683" i="1"/>
  <c r="R684" i="1" s="1"/>
  <c r="O699" i="1"/>
  <c r="S699" i="1" s="1"/>
  <c r="P849" i="1"/>
  <c r="T849" i="1" s="1"/>
  <c r="N669" i="1"/>
  <c r="R670" i="1" s="1"/>
  <c r="P835" i="1"/>
  <c r="T835" i="1" s="1"/>
  <c r="M645" i="1"/>
  <c r="Q646" i="1" s="1"/>
  <c r="P821" i="1"/>
  <c r="T821" i="1" s="1"/>
  <c r="O657" i="1"/>
  <c r="S657" i="1" s="1"/>
  <c r="P807" i="1"/>
  <c r="T807" i="1" s="1"/>
  <c r="M603" i="1"/>
  <c r="Q604" i="1" s="1"/>
  <c r="P779" i="1"/>
  <c r="T779" i="1" s="1"/>
  <c r="O629" i="1"/>
  <c r="S629" i="1" s="1"/>
  <c r="N599" i="1"/>
  <c r="R600" i="1" s="1"/>
  <c r="N585" i="1"/>
  <c r="R586" i="1" s="1"/>
  <c r="O615" i="1"/>
  <c r="S615" i="1" s="1"/>
  <c r="P765" i="1"/>
  <c r="T765" i="1" s="1"/>
  <c r="P751" i="1"/>
  <c r="T751" i="1" s="1"/>
  <c r="O601" i="1"/>
  <c r="S601" i="1" s="1"/>
  <c r="P737" i="1"/>
  <c r="T737" i="1" s="1"/>
  <c r="O587" i="1"/>
  <c r="S587" i="1" s="1"/>
  <c r="N557" i="1"/>
  <c r="R558" i="1" s="1"/>
  <c r="P723" i="1"/>
  <c r="T723" i="1" s="1"/>
  <c r="N543" i="1"/>
  <c r="R544" i="1" s="1"/>
  <c r="O573" i="1"/>
  <c r="S573" i="1" s="1"/>
  <c r="M533" i="1"/>
  <c r="Q534" i="1" s="1"/>
  <c r="P709" i="1"/>
  <c r="T709" i="1" s="1"/>
  <c r="O559" i="1"/>
  <c r="S559" i="1" s="1"/>
  <c r="P695" i="1"/>
  <c r="T695" i="1" s="1"/>
  <c r="O545" i="1"/>
  <c r="S545" i="1" s="1"/>
  <c r="P681" i="1"/>
  <c r="T681" i="1" s="1"/>
  <c r="N487" i="1"/>
  <c r="R488" i="1" s="1"/>
  <c r="P667" i="1"/>
  <c r="T667" i="1" s="1"/>
  <c r="O517" i="1"/>
  <c r="S517" i="1" s="1"/>
  <c r="P653" i="1"/>
  <c r="T653" i="1" s="1"/>
  <c r="N473" i="1"/>
  <c r="R474" i="1" s="1"/>
  <c r="O503" i="1"/>
  <c r="S503" i="1" s="1"/>
  <c r="P639" i="1"/>
  <c r="T639" i="1" s="1"/>
  <c r="O489" i="1"/>
  <c r="S489" i="1" s="1"/>
  <c r="M449" i="1"/>
  <c r="Q450" i="1" s="1"/>
  <c r="P625" i="1"/>
  <c r="T625" i="1" s="1"/>
  <c r="O475" i="1"/>
  <c r="S475" i="1" s="1"/>
  <c r="N445" i="1"/>
  <c r="R446" i="1" s="1"/>
  <c r="M435" i="1"/>
  <c r="Q436" i="1" s="1"/>
  <c r="O461" i="1"/>
  <c r="S461" i="1" s="1"/>
  <c r="P611" i="1"/>
  <c r="T611" i="1" s="1"/>
  <c r="O447" i="1"/>
  <c r="S447" i="1" s="1"/>
  <c r="N417" i="1"/>
  <c r="R418" i="1" s="1"/>
  <c r="M407" i="1"/>
  <c r="Q408" i="1" s="1"/>
  <c r="O433" i="1"/>
  <c r="S433" i="1" s="1"/>
  <c r="O419" i="1"/>
  <c r="S419" i="1" s="1"/>
  <c r="P569" i="1"/>
  <c r="T569" i="1" s="1"/>
  <c r="N389" i="1"/>
  <c r="R390" i="1" s="1"/>
  <c r="O405" i="1"/>
  <c r="S405" i="1" s="1"/>
  <c r="N375" i="1"/>
  <c r="R376" i="1" s="1"/>
  <c r="P555" i="1"/>
  <c r="T555" i="1" s="1"/>
  <c r="P541" i="1"/>
  <c r="O391" i="1"/>
  <c r="S391" i="1" s="1"/>
  <c r="P527" i="1"/>
  <c r="T527" i="1" s="1"/>
  <c r="N347" i="1"/>
  <c r="R348" i="1" s="1"/>
  <c r="O377" i="1"/>
  <c r="S377" i="1" s="1"/>
  <c r="M337" i="1"/>
  <c r="Q338" i="1" s="1"/>
  <c r="P513" i="1"/>
  <c r="T513" i="1" s="1"/>
  <c r="N333" i="1"/>
  <c r="R334" i="1" s="1"/>
  <c r="O363" i="1"/>
  <c r="S363" i="1" s="1"/>
  <c r="O349" i="1"/>
  <c r="S349" i="1" s="1"/>
  <c r="P485" i="1"/>
  <c r="T485" i="1" s="1"/>
  <c r="N305" i="1"/>
  <c r="R306" i="1" s="1"/>
  <c r="N291" i="1"/>
  <c r="R292" i="1" s="1"/>
  <c r="O321" i="1"/>
  <c r="S321" i="1" s="1"/>
  <c r="P471" i="1"/>
  <c r="T471" i="1" s="1"/>
  <c r="O307" i="1"/>
  <c r="S307" i="1" s="1"/>
  <c r="P443" i="1"/>
  <c r="O293" i="1"/>
  <c r="S293" i="1" s="1"/>
  <c r="M253" i="1"/>
  <c r="Q254" i="1" s="1"/>
  <c r="P429" i="1"/>
  <c r="T429" i="1" s="1"/>
  <c r="M239" i="1"/>
  <c r="Q240" i="1" s="1"/>
  <c r="P415" i="1"/>
  <c r="T415" i="1" s="1"/>
  <c r="N235" i="1"/>
  <c r="R236" i="1" s="1"/>
  <c r="O265" i="1"/>
  <c r="S265" i="1" s="1"/>
  <c r="N221" i="1"/>
  <c r="R222" i="1" s="1"/>
  <c r="M211" i="1"/>
  <c r="Q212" i="1" s="1"/>
  <c r="O251" i="1"/>
  <c r="S251" i="1" s="1"/>
  <c r="P387" i="1"/>
  <c r="T387" i="1" s="1"/>
  <c r="O237" i="1"/>
  <c r="S237" i="1" s="1"/>
  <c r="O223" i="1"/>
  <c r="S223" i="1" s="1"/>
  <c r="P373" i="1"/>
  <c r="T373" i="1" s="1"/>
  <c r="O209" i="1"/>
  <c r="S209" i="1" s="1"/>
  <c r="P359" i="1"/>
  <c r="T359" i="1" s="1"/>
  <c r="N179" i="1"/>
  <c r="R180" i="1" s="1"/>
  <c r="N165" i="1"/>
  <c r="P345" i="1"/>
  <c r="T345" i="1" s="1"/>
  <c r="O195" i="1"/>
  <c r="S195" i="1" s="1"/>
  <c r="P331" i="1"/>
  <c r="T331" i="1" s="1"/>
  <c r="M141" i="1"/>
  <c r="Q142" i="1" s="1"/>
  <c r="N151" i="1"/>
  <c r="R152" i="1" s="1"/>
  <c r="O181" i="1"/>
  <c r="S181" i="1" s="1"/>
  <c r="P317" i="1"/>
  <c r="T317" i="1" s="1"/>
  <c r="N137" i="1"/>
  <c r="R138" i="1" s="1"/>
  <c r="M127" i="1"/>
  <c r="Q128" i="1" s="1"/>
  <c r="O167" i="1"/>
  <c r="S167" i="1" s="1"/>
  <c r="M113" i="1"/>
  <c r="Q114" i="1" s="1"/>
  <c r="O153" i="1"/>
  <c r="S153" i="1" s="1"/>
  <c r="P289" i="1"/>
  <c r="T289" i="1" s="1"/>
  <c r="M99" i="1"/>
  <c r="Q100" i="1" s="1"/>
  <c r="O139" i="1"/>
  <c r="S139" i="1" s="1"/>
  <c r="M85" i="1"/>
  <c r="Q86" i="1" s="1"/>
  <c r="O125" i="1"/>
  <c r="S125" i="1" s="1"/>
  <c r="N95" i="1"/>
  <c r="R96" i="1" s="1"/>
  <c r="P261" i="1"/>
  <c r="T261" i="1" s="1"/>
  <c r="M71" i="1"/>
  <c r="Q72" i="1" s="1"/>
  <c r="N81" i="1"/>
  <c r="R82" i="1" s="1"/>
  <c r="O111" i="1"/>
  <c r="S111" i="1" s="1"/>
  <c r="P247" i="1"/>
  <c r="T247" i="1" s="1"/>
  <c r="M57" i="1"/>
  <c r="Q58" i="1" s="1"/>
  <c r="O97" i="1"/>
  <c r="S97" i="1" s="1"/>
  <c r="O83" i="1"/>
  <c r="S83" i="1" s="1"/>
  <c r="P233" i="1"/>
  <c r="T233" i="1" s="1"/>
  <c r="M43" i="1"/>
  <c r="Q44" i="1" s="1"/>
  <c r="P219" i="1"/>
  <c r="T219" i="1" s="1"/>
  <c r="N39" i="1"/>
  <c r="R40" i="1" s="1"/>
  <c r="M29" i="1"/>
  <c r="Q30" i="1" s="1"/>
  <c r="O69" i="1"/>
  <c r="S69" i="1" s="1"/>
  <c r="M15" i="1"/>
  <c r="Q16" i="1" s="1"/>
  <c r="P205" i="1"/>
  <c r="T205" i="1" s="1"/>
  <c r="M1194" i="1"/>
  <c r="Q1195" i="1" s="1"/>
  <c r="M1149" i="1"/>
  <c r="Q1150" i="1" s="1"/>
  <c r="M1126" i="1"/>
  <c r="Q1127" i="1" s="1"/>
  <c r="M1011" i="1"/>
  <c r="Q1012" i="1" s="1"/>
  <c r="M944" i="1"/>
  <c r="Q945" i="1" s="1"/>
  <c r="M899" i="1"/>
  <c r="Q900" i="1" s="1"/>
  <c r="M855" i="1"/>
  <c r="Q856" i="1" s="1"/>
  <c r="M830" i="1"/>
  <c r="M786" i="1"/>
  <c r="Q787" i="1" s="1"/>
  <c r="M761" i="1"/>
  <c r="Q762" i="1" s="1"/>
  <c r="M718" i="1"/>
  <c r="Q719" i="1" s="1"/>
  <c r="M649" i="1"/>
  <c r="M605" i="1"/>
  <c r="Q606" i="1" s="1"/>
  <c r="M580" i="1"/>
  <c r="Q581" i="1" s="1"/>
  <c r="M481" i="1"/>
  <c r="Q482" i="1" s="1"/>
  <c r="M455" i="1"/>
  <c r="Q456" i="1" s="1"/>
  <c r="M356" i="1"/>
  <c r="Q357" i="1" s="1"/>
  <c r="M330" i="1"/>
  <c r="M281" i="1"/>
  <c r="Q282" i="1" s="1"/>
  <c r="M257" i="1"/>
  <c r="Q258" i="1" s="1"/>
  <c r="M227" i="1"/>
  <c r="Q228" i="1" s="1"/>
  <c r="M201" i="1"/>
  <c r="M172" i="1"/>
  <c r="Q173" i="1" s="1"/>
  <c r="M146" i="1"/>
  <c r="Q147" i="1" s="1"/>
  <c r="M115" i="1"/>
  <c r="Q116" i="1" s="1"/>
  <c r="M86" i="1"/>
  <c r="Q87" i="1" s="1"/>
  <c r="N1051" i="1"/>
  <c r="R1052" i="1" s="1"/>
  <c r="N881" i="1"/>
  <c r="R882" i="1" s="1"/>
  <c r="N672" i="1"/>
  <c r="R673" i="1" s="1"/>
  <c r="N604" i="1"/>
  <c r="R605" i="1" s="1"/>
  <c r="N530" i="1"/>
  <c r="R531" i="1" s="1"/>
  <c r="N462" i="1"/>
  <c r="R463" i="1" s="1"/>
  <c r="N348" i="1"/>
  <c r="N263" i="1"/>
  <c r="R264" i="1" s="1"/>
  <c r="N180" i="1"/>
  <c r="R181" i="1" s="1"/>
  <c r="O1175" i="1"/>
  <c r="S1175" i="1" s="1"/>
  <c r="O1123" i="1"/>
  <c r="S1123" i="1" s="1"/>
  <c r="O713" i="1"/>
  <c r="S713" i="1" s="1"/>
  <c r="O605" i="1"/>
  <c r="S605" i="1" s="1"/>
  <c r="O531" i="1"/>
  <c r="S531" i="1" s="1"/>
  <c r="O257" i="1"/>
  <c r="S257" i="1" s="1"/>
  <c r="O186" i="1"/>
  <c r="S186" i="1" s="1"/>
  <c r="P657" i="1"/>
  <c r="T657" i="1" s="1"/>
  <c r="P558" i="1"/>
  <c r="T558" i="1" s="1"/>
  <c r="P457" i="1"/>
  <c r="T457" i="1" s="1"/>
  <c r="O354" i="1"/>
  <c r="S354" i="1" s="1"/>
  <c r="P502" i="1"/>
  <c r="T502" i="1" s="1"/>
  <c r="N1248" i="1"/>
  <c r="R1249" i="1" s="1"/>
  <c r="M1154" i="1"/>
  <c r="Q1155" i="1" s="1"/>
  <c r="O1194" i="1"/>
  <c r="S1194" i="1" s="1"/>
  <c r="O1152" i="1"/>
  <c r="S1152" i="1" s="1"/>
  <c r="N1122" i="1"/>
  <c r="R1123" i="1" s="1"/>
  <c r="N1066" i="1"/>
  <c r="R1067" i="1" s="1"/>
  <c r="P1246" i="1"/>
  <c r="T1246" i="1" s="1"/>
  <c r="O1096" i="1"/>
  <c r="S1096" i="1" s="1"/>
  <c r="P1218" i="1"/>
  <c r="N1038" i="1"/>
  <c r="R1039" i="1" s="1"/>
  <c r="O1068" i="1"/>
  <c r="S1068" i="1" s="1"/>
  <c r="P1162" i="1"/>
  <c r="T1162" i="1" s="1"/>
  <c r="N926" i="1"/>
  <c r="R927" i="1" s="1"/>
  <c r="O956" i="1"/>
  <c r="S956" i="1" s="1"/>
  <c r="P1106" i="1"/>
  <c r="T1106" i="1" s="1"/>
  <c r="O914" i="1"/>
  <c r="S914" i="1" s="1"/>
  <c r="P1064" i="1"/>
  <c r="T1064" i="1" s="1"/>
  <c r="P1008" i="1"/>
  <c r="T1008" i="1" s="1"/>
  <c r="N828" i="1"/>
  <c r="R829" i="1" s="1"/>
  <c r="O858" i="1"/>
  <c r="S858" i="1" s="1"/>
  <c r="P854" i="1"/>
  <c r="T854" i="1" s="1"/>
  <c r="O704" i="1"/>
  <c r="S704" i="1" s="1"/>
  <c r="P686" i="1"/>
  <c r="T686" i="1" s="1"/>
  <c r="O536" i="1"/>
  <c r="S536" i="1" s="1"/>
  <c r="M496" i="1"/>
  <c r="O298" i="1"/>
  <c r="S298" i="1" s="1"/>
  <c r="P448" i="1"/>
  <c r="N268" i="1"/>
  <c r="R269" i="1" s="1"/>
  <c r="N1063" i="1"/>
  <c r="R1064" i="1" s="1"/>
  <c r="M1250" i="1"/>
  <c r="Q1251" i="1" s="1"/>
  <c r="N1232" i="1"/>
  <c r="R1233" i="1" s="1"/>
  <c r="N1204" i="1"/>
  <c r="R1205" i="1" s="1"/>
  <c r="N1176" i="1"/>
  <c r="R1177" i="1" s="1"/>
  <c r="O1206" i="1"/>
  <c r="S1206" i="1" s="1"/>
  <c r="N1175" i="1"/>
  <c r="R1176" i="1" s="1"/>
  <c r="M1138" i="1"/>
  <c r="Q1139" i="1" s="1"/>
  <c r="O1178" i="1"/>
  <c r="S1178" i="1" s="1"/>
  <c r="O1150" i="1"/>
  <c r="S1150" i="1" s="1"/>
  <c r="N1120" i="1"/>
  <c r="R1121" i="1" s="1"/>
  <c r="O1148" i="1"/>
  <c r="S1148" i="1" s="1"/>
  <c r="M1108" i="1"/>
  <c r="Q1109" i="1" s="1"/>
  <c r="O1121" i="1"/>
  <c r="S1121" i="1" s="1"/>
  <c r="N1092" i="1"/>
  <c r="R1093" i="1" s="1"/>
  <c r="O1094" i="1"/>
  <c r="S1094" i="1" s="1"/>
  <c r="M1054" i="1"/>
  <c r="N1036" i="1"/>
  <c r="R1037" i="1" s="1"/>
  <c r="O1066" i="1"/>
  <c r="S1066" i="1" s="1"/>
  <c r="P1216" i="1"/>
  <c r="T1216" i="1" s="1"/>
  <c r="P1188" i="1"/>
  <c r="T1188" i="1" s="1"/>
  <c r="O1038" i="1"/>
  <c r="S1038" i="1" s="1"/>
  <c r="N1008" i="1"/>
  <c r="R1009" i="1" s="1"/>
  <c r="N980" i="1"/>
  <c r="R981" i="1" s="1"/>
  <c r="O1010" i="1"/>
  <c r="S1010" i="1" s="1"/>
  <c r="P1160" i="1"/>
  <c r="T1160" i="1" s="1"/>
  <c r="P1132" i="1"/>
  <c r="T1132" i="1" s="1"/>
  <c r="O982" i="1"/>
  <c r="S982" i="1" s="1"/>
  <c r="M942" i="1"/>
  <c r="Q943" i="1" s="1"/>
  <c r="P1104" i="1"/>
  <c r="T1104" i="1" s="1"/>
  <c r="O954" i="1"/>
  <c r="S954" i="1" s="1"/>
  <c r="M912" i="1"/>
  <c r="Q913" i="1" s="1"/>
  <c r="N922" i="1"/>
  <c r="R923" i="1" s="1"/>
  <c r="O926" i="1"/>
  <c r="S926" i="1" s="1"/>
  <c r="P1076" i="1"/>
  <c r="T1076" i="1" s="1"/>
  <c r="O898" i="1"/>
  <c r="S898" i="1" s="1"/>
  <c r="P1048" i="1"/>
  <c r="T1048" i="1" s="1"/>
  <c r="N868" i="1"/>
  <c r="R869" i="1" s="1"/>
  <c r="M858" i="1"/>
  <c r="Q859" i="1" s="1"/>
  <c r="O870" i="1"/>
  <c r="S870" i="1" s="1"/>
  <c r="P1020" i="1"/>
  <c r="T1020" i="1" s="1"/>
  <c r="P992" i="1"/>
  <c r="T992" i="1" s="1"/>
  <c r="N812" i="1"/>
  <c r="R813" i="1" s="1"/>
  <c r="O842" i="1"/>
  <c r="S842" i="1" s="1"/>
  <c r="N810" i="1"/>
  <c r="R811" i="1" s="1"/>
  <c r="N784" i="1"/>
  <c r="R785" i="1" s="1"/>
  <c r="P964" i="1"/>
  <c r="T964" i="1" s="1"/>
  <c r="O814" i="1"/>
  <c r="S814" i="1" s="1"/>
  <c r="O772" i="1"/>
  <c r="S772" i="1" s="1"/>
  <c r="P922" i="1"/>
  <c r="T922" i="1" s="1"/>
  <c r="N714" i="1"/>
  <c r="R715" i="1" s="1"/>
  <c r="P894" i="1"/>
  <c r="T894" i="1" s="1"/>
  <c r="N712" i="1"/>
  <c r="R713" i="1" s="1"/>
  <c r="O716" i="1"/>
  <c r="S716" i="1" s="1"/>
  <c r="P866" i="1"/>
  <c r="T866" i="1" s="1"/>
  <c r="P838" i="1"/>
  <c r="O688" i="1"/>
  <c r="S688" i="1" s="1"/>
  <c r="N656" i="1"/>
  <c r="R657" i="1" s="1"/>
  <c r="P810" i="1"/>
  <c r="T810" i="1" s="1"/>
  <c r="O660" i="1"/>
  <c r="S660" i="1" s="1"/>
  <c r="M620" i="1"/>
  <c r="Q621" i="1" s="1"/>
  <c r="P782" i="1"/>
  <c r="T782" i="1" s="1"/>
  <c r="N602" i="1"/>
  <c r="R603" i="1" s="1"/>
  <c r="M591" i="1"/>
  <c r="Q592" i="1" s="1"/>
  <c r="O632" i="1"/>
  <c r="S632" i="1" s="1"/>
  <c r="O604" i="1"/>
  <c r="S604" i="1" s="1"/>
  <c r="P754" i="1"/>
  <c r="T754" i="1" s="1"/>
  <c r="P726" i="1"/>
  <c r="N545" i="1"/>
  <c r="R546" i="1" s="1"/>
  <c r="P698" i="1"/>
  <c r="T698" i="1" s="1"/>
  <c r="O548" i="1"/>
  <c r="S548" i="1" s="1"/>
  <c r="W548" i="1" s="1"/>
  <c r="M506" i="1"/>
  <c r="P670" i="1"/>
  <c r="T670" i="1" s="1"/>
  <c r="O520" i="1"/>
  <c r="S520" i="1" s="1"/>
  <c r="N490" i="1"/>
  <c r="R491" i="1" s="1"/>
  <c r="P656" i="1"/>
  <c r="T656" i="1" s="1"/>
  <c r="O506" i="1"/>
  <c r="S506" i="1" s="1"/>
  <c r="M466" i="1"/>
  <c r="Q467" i="1" s="1"/>
  <c r="P628" i="1"/>
  <c r="T628" i="1" s="1"/>
  <c r="N446" i="1"/>
  <c r="R447" i="1" s="1"/>
  <c r="O478" i="1"/>
  <c r="S478" i="1" s="1"/>
  <c r="O450" i="1"/>
  <c r="S450" i="1" s="1"/>
  <c r="P600" i="1"/>
  <c r="T600" i="1" s="1"/>
  <c r="N420" i="1"/>
  <c r="N392" i="1"/>
  <c r="R393" i="1" s="1"/>
  <c r="P572" i="1"/>
  <c r="T572" i="1" s="1"/>
  <c r="O422" i="1"/>
  <c r="S422" i="1" s="1"/>
  <c r="M381" i="1"/>
  <c r="Q382" i="1" s="1"/>
  <c r="P544" i="1"/>
  <c r="T544" i="1" s="1"/>
  <c r="O392" i="1"/>
  <c r="S392" i="1" s="1"/>
  <c r="M354" i="1"/>
  <c r="Q355" i="1" s="1"/>
  <c r="N364" i="1"/>
  <c r="R365" i="1" s="1"/>
  <c r="P516" i="1"/>
  <c r="T516" i="1" s="1"/>
  <c r="N334" i="1"/>
  <c r="R335" i="1" s="1"/>
  <c r="M324" i="1"/>
  <c r="Q325" i="1" s="1"/>
  <c r="O364" i="1"/>
  <c r="S364" i="1" s="1"/>
  <c r="O338" i="1"/>
  <c r="S338" i="1" s="1"/>
  <c r="N308" i="1"/>
  <c r="R309" i="1" s="1"/>
  <c r="N280" i="1"/>
  <c r="O308" i="1"/>
  <c r="S308" i="1" s="1"/>
  <c r="M270" i="1"/>
  <c r="Q271" i="1" s="1"/>
  <c r="P432" i="1"/>
  <c r="T432" i="1" s="1"/>
  <c r="O281" i="1"/>
  <c r="S281" i="1" s="1"/>
  <c r="O254" i="1"/>
  <c r="S254" i="1" s="1"/>
  <c r="P404" i="1"/>
  <c r="M213" i="1"/>
  <c r="N223" i="1"/>
  <c r="R224" i="1" s="1"/>
  <c r="O226" i="1"/>
  <c r="S226" i="1" s="1"/>
  <c r="P376" i="1"/>
  <c r="T376" i="1" s="1"/>
  <c r="N196" i="1"/>
  <c r="R197" i="1" s="1"/>
  <c r="M185" i="1"/>
  <c r="Q186" i="1" s="1"/>
  <c r="P348" i="1"/>
  <c r="T348" i="1" s="1"/>
  <c r="N168" i="1"/>
  <c r="R169" i="1" s="1"/>
  <c r="M158" i="1"/>
  <c r="P320" i="1"/>
  <c r="T320" i="1" s="1"/>
  <c r="N140" i="1"/>
  <c r="R141" i="1" s="1"/>
  <c r="M130" i="1"/>
  <c r="Q131" i="1" s="1"/>
  <c r="P292" i="1"/>
  <c r="T292" i="1" s="1"/>
  <c r="M102" i="1"/>
  <c r="Q103" i="1" s="1"/>
  <c r="N84" i="1"/>
  <c r="R85" i="1" s="1"/>
  <c r="O114" i="1"/>
  <c r="S114" i="1" s="1"/>
  <c r="M72" i="1"/>
  <c r="Q73" i="1" s="1"/>
  <c r="P236" i="1"/>
  <c r="N56" i="1"/>
  <c r="R57" i="1" s="1"/>
  <c r="M46" i="1"/>
  <c r="Q47" i="1" s="1"/>
  <c r="M44" i="1"/>
  <c r="Q45" i="1" s="1"/>
  <c r="O85" i="1"/>
  <c r="S85" i="1" s="1"/>
  <c r="O58" i="1"/>
  <c r="S58" i="1" s="1"/>
  <c r="P208" i="1"/>
  <c r="T208" i="1" s="1"/>
  <c r="N28" i="1"/>
  <c r="R29" i="1" s="1"/>
  <c r="M1221" i="1"/>
  <c r="Q1222" i="1" s="1"/>
  <c r="M1177" i="1"/>
  <c r="Q1178" i="1" s="1"/>
  <c r="M1040" i="1"/>
  <c r="Q1041" i="1" s="1"/>
  <c r="M994" i="1"/>
  <c r="Q995" i="1" s="1"/>
  <c r="M902" i="1"/>
  <c r="Q903" i="1" s="1"/>
  <c r="M859" i="1"/>
  <c r="Q860" i="1" s="1"/>
  <c r="M813" i="1"/>
  <c r="Q814" i="1" s="1"/>
  <c r="M677" i="1"/>
  <c r="Q678" i="1" s="1"/>
  <c r="M632" i="1"/>
  <c r="Q633" i="1" s="1"/>
  <c r="M588" i="1"/>
  <c r="Q589" i="1" s="1"/>
  <c r="M536" i="1"/>
  <c r="Q537" i="1" s="1"/>
  <c r="M437" i="1"/>
  <c r="Q438" i="1" s="1"/>
  <c r="M385" i="1"/>
  <c r="Q386" i="1" s="1"/>
  <c r="M338" i="1"/>
  <c r="Q339" i="1" s="1"/>
  <c r="M286" i="1"/>
  <c r="Q287" i="1" s="1"/>
  <c r="M59" i="1"/>
  <c r="Q60" i="1" s="1"/>
  <c r="N1189" i="1"/>
  <c r="R1190" i="1" s="1"/>
  <c r="N1061" i="1"/>
  <c r="R1062" i="1" s="1"/>
  <c r="N921" i="1"/>
  <c r="R922" i="1" s="1"/>
  <c r="N853" i="1"/>
  <c r="R854" i="1" s="1"/>
  <c r="N783" i="1"/>
  <c r="N713" i="1"/>
  <c r="R714" i="1" s="1"/>
  <c r="N641" i="1"/>
  <c r="R642" i="1" s="1"/>
  <c r="N574" i="1"/>
  <c r="R575" i="1" s="1"/>
  <c r="N506" i="1"/>
  <c r="R507" i="1" s="1"/>
  <c r="N433" i="1"/>
  <c r="R434" i="1" s="1"/>
  <c r="N351" i="1"/>
  <c r="R352" i="1" s="1"/>
  <c r="N276" i="1"/>
  <c r="R277" i="1" s="1"/>
  <c r="N108" i="1"/>
  <c r="R109" i="1" s="1"/>
  <c r="O1138" i="1"/>
  <c r="S1138" i="1" s="1"/>
  <c r="O912" i="1"/>
  <c r="S912" i="1" s="1"/>
  <c r="O675" i="1"/>
  <c r="S675" i="1" s="1"/>
  <c r="O549" i="1"/>
  <c r="S549" i="1" s="1"/>
  <c r="O412" i="1"/>
  <c r="S412" i="1" s="1"/>
  <c r="O278" i="1"/>
  <c r="S278" i="1" s="1"/>
  <c r="P1045" i="1"/>
  <c r="T1045" i="1" s="1"/>
  <c r="P880" i="1"/>
  <c r="T880" i="1" s="1"/>
  <c r="P473" i="1"/>
  <c r="T473" i="1" s="1"/>
  <c r="P1229" i="1"/>
  <c r="T1229" i="1" s="1"/>
  <c r="N979" i="1"/>
  <c r="R980" i="1" s="1"/>
  <c r="M871" i="1"/>
  <c r="Q872" i="1" s="1"/>
  <c r="O603" i="1"/>
  <c r="S603" i="1" s="1"/>
  <c r="M1246" i="1"/>
  <c r="Q1247" i="1" s="1"/>
  <c r="N1256" i="1"/>
  <c r="R1257" i="1" s="1"/>
  <c r="N1200" i="1"/>
  <c r="R1201" i="1" s="1"/>
  <c r="O1230" i="1"/>
  <c r="S1230" i="1" s="1"/>
  <c r="N1186" i="1"/>
  <c r="R1187" i="1" s="1"/>
  <c r="M1162" i="1"/>
  <c r="Q1163" i="1" s="1"/>
  <c r="O1188" i="1"/>
  <c r="S1188" i="1" s="1"/>
  <c r="N1130" i="1"/>
  <c r="R1131" i="1" s="1"/>
  <c r="M1120" i="1"/>
  <c r="Q1121" i="1" s="1"/>
  <c r="O1160" i="1"/>
  <c r="S1160" i="1" s="1"/>
  <c r="N1116" i="1"/>
  <c r="R1117" i="1" s="1"/>
  <c r="O1146" i="1"/>
  <c r="S1146" i="1" s="1"/>
  <c r="O1132" i="1"/>
  <c r="S1132" i="1" s="1"/>
  <c r="N1088" i="1"/>
  <c r="R1089" i="1" s="1"/>
  <c r="O1118" i="1"/>
  <c r="S1118" i="1" s="1"/>
  <c r="P1254" i="1"/>
  <c r="T1254" i="1" s="1"/>
  <c r="N1074" i="1"/>
  <c r="R1075" i="1" s="1"/>
  <c r="N1060" i="1"/>
  <c r="R1061" i="1" s="1"/>
  <c r="M1050" i="1"/>
  <c r="Q1051" i="1" s="1"/>
  <c r="P1226" i="1"/>
  <c r="T1226" i="1" s="1"/>
  <c r="O1076" i="1"/>
  <c r="S1076" i="1" s="1"/>
  <c r="N1046" i="1"/>
  <c r="R1047" i="1" s="1"/>
  <c r="P1212" i="1"/>
  <c r="T1212" i="1" s="1"/>
  <c r="O1062" i="1"/>
  <c r="S1062" i="1" s="1"/>
  <c r="P1184" i="1"/>
  <c r="O1034" i="1"/>
  <c r="S1034" i="1" s="1"/>
  <c r="N990" i="1"/>
  <c r="R991" i="1" s="1"/>
  <c r="O1020" i="1"/>
  <c r="S1020" i="1" s="1"/>
  <c r="P1170" i="1"/>
  <c r="T1170" i="1" s="1"/>
  <c r="N976" i="1"/>
  <c r="R977" i="1" s="1"/>
  <c r="M966" i="1"/>
  <c r="Q967" i="1" s="1"/>
  <c r="P1142" i="1"/>
  <c r="T1142" i="1" s="1"/>
  <c r="O992" i="1"/>
  <c r="S992" i="1" s="1"/>
  <c r="P1128" i="1"/>
  <c r="T1128" i="1" s="1"/>
  <c r="P1114" i="1"/>
  <c r="T1114" i="1" s="1"/>
  <c r="O964" i="1"/>
  <c r="S964" i="1" s="1"/>
  <c r="N934" i="1"/>
  <c r="R935" i="1" s="1"/>
  <c r="M924" i="1"/>
  <c r="Q925" i="1" s="1"/>
  <c r="P1100" i="1"/>
  <c r="T1100" i="1" s="1"/>
  <c r="N920" i="1"/>
  <c r="R921" i="1" s="1"/>
  <c r="O936" i="1"/>
  <c r="S936" i="1" s="1"/>
  <c r="O922" i="1"/>
  <c r="S922" i="1" s="1"/>
  <c r="N892" i="1"/>
  <c r="R893" i="1" s="1"/>
  <c r="P1072" i="1"/>
  <c r="T1072" i="1" s="1"/>
  <c r="N878" i="1"/>
  <c r="R879" i="1" s="1"/>
  <c r="P1058" i="1"/>
  <c r="T1058" i="1" s="1"/>
  <c r="O908" i="1"/>
  <c r="S908" i="1" s="1"/>
  <c r="O894" i="1"/>
  <c r="S894" i="1" s="1"/>
  <c r="M854" i="1"/>
  <c r="Q855" i="1" s="1"/>
  <c r="P1030" i="1"/>
  <c r="T1030" i="1" s="1"/>
  <c r="O866" i="1"/>
  <c r="S866" i="1" s="1"/>
  <c r="P1016" i="1"/>
  <c r="P1002" i="1"/>
  <c r="T1002" i="1" s="1"/>
  <c r="O852" i="1"/>
  <c r="S852" i="1" s="1"/>
  <c r="N822" i="1"/>
  <c r="R823" i="1" s="1"/>
  <c r="P988" i="1"/>
  <c r="T988" i="1" s="1"/>
  <c r="O838" i="1"/>
  <c r="S838" i="1" s="1"/>
  <c r="P974" i="1"/>
  <c r="T974" i="1" s="1"/>
  <c r="O824" i="1"/>
  <c r="S824" i="1" s="1"/>
  <c r="P960" i="1"/>
  <c r="T960" i="1" s="1"/>
  <c r="O810" i="1"/>
  <c r="S810" i="1" s="1"/>
  <c r="N780" i="1"/>
  <c r="R781" i="1" s="1"/>
  <c r="M770" i="1"/>
  <c r="Q771" i="1" s="1"/>
  <c r="P946" i="1"/>
  <c r="T946" i="1" s="1"/>
  <c r="O796" i="1"/>
  <c r="S796" i="1" s="1"/>
  <c r="P932" i="1"/>
  <c r="T932" i="1" s="1"/>
  <c r="O768" i="1"/>
  <c r="S768" i="1" s="1"/>
  <c r="P918" i="1"/>
  <c r="T918" i="1" s="1"/>
  <c r="M728" i="1"/>
  <c r="Q729" i="1" s="1"/>
  <c r="N724" i="1"/>
  <c r="R725" i="1" s="1"/>
  <c r="O754" i="1"/>
  <c r="S754" i="1" s="1"/>
  <c r="P904" i="1"/>
  <c r="T904" i="1" s="1"/>
  <c r="P890" i="1"/>
  <c r="T890" i="1" s="1"/>
  <c r="N710" i="1"/>
  <c r="R711" i="1" s="1"/>
  <c r="O740" i="1"/>
  <c r="S740" i="1" s="1"/>
  <c r="W740" i="1" s="1"/>
  <c r="P876" i="1"/>
  <c r="T876" i="1" s="1"/>
  <c r="O726" i="1"/>
  <c r="S726" i="1" s="1"/>
  <c r="P862" i="1"/>
  <c r="N682" i="1"/>
  <c r="R683" i="1" s="1"/>
  <c r="O698" i="1"/>
  <c r="S698" i="1" s="1"/>
  <c r="N668" i="1"/>
  <c r="R669" i="1" s="1"/>
  <c r="M658" i="1"/>
  <c r="Q659" i="1" s="1"/>
  <c r="P834" i="1"/>
  <c r="T834" i="1" s="1"/>
  <c r="O684" i="1"/>
  <c r="S684" i="1" s="1"/>
  <c r="P820" i="1"/>
  <c r="T820" i="1" s="1"/>
  <c r="O670" i="1"/>
  <c r="S670" i="1" s="1"/>
  <c r="P806" i="1"/>
  <c r="T806" i="1" s="1"/>
  <c r="O656" i="1"/>
  <c r="S656" i="1" s="1"/>
  <c r="O642" i="1"/>
  <c r="S642" i="1" s="1"/>
  <c r="P792" i="1"/>
  <c r="T792" i="1" s="1"/>
  <c r="P778" i="1"/>
  <c r="T778" i="1" s="1"/>
  <c r="O628" i="1"/>
  <c r="S628" i="1" s="1"/>
  <c r="N598" i="1"/>
  <c r="R599" i="1" s="1"/>
  <c r="N584" i="1"/>
  <c r="R585" i="1" s="1"/>
  <c r="P764" i="1"/>
  <c r="T764" i="1" s="1"/>
  <c r="M574" i="1"/>
  <c r="Q575" i="1" s="1"/>
  <c r="P750" i="1"/>
  <c r="T750" i="1" s="1"/>
  <c r="O600" i="1"/>
  <c r="S600" i="1" s="1"/>
  <c r="N570" i="1"/>
  <c r="R571" i="1" s="1"/>
  <c r="M560" i="1"/>
  <c r="N556" i="1"/>
  <c r="R557" i="1" s="1"/>
  <c r="O586" i="1"/>
  <c r="S586" i="1" s="1"/>
  <c r="P736" i="1"/>
  <c r="T736" i="1" s="1"/>
  <c r="P722" i="1"/>
  <c r="T722" i="1" s="1"/>
  <c r="O572" i="1"/>
  <c r="S572" i="1" s="1"/>
  <c r="N542" i="1"/>
  <c r="M532" i="1"/>
  <c r="Q533" i="1" s="1"/>
  <c r="N528" i="1"/>
  <c r="O558" i="1"/>
  <c r="S558" i="1" s="1"/>
  <c r="P708" i="1"/>
  <c r="T708" i="1" s="1"/>
  <c r="P694" i="1"/>
  <c r="T694" i="1" s="1"/>
  <c r="O544" i="1"/>
  <c r="S544" i="1" s="1"/>
  <c r="N500" i="1"/>
  <c r="R501" i="1" s="1"/>
  <c r="P666" i="1"/>
  <c r="T666" i="1" s="1"/>
  <c r="O516" i="1"/>
  <c r="S516" i="1" s="1"/>
  <c r="N486" i="1"/>
  <c r="R487" i="1" s="1"/>
  <c r="N472" i="1"/>
  <c r="R473" i="1" s="1"/>
  <c r="M462" i="1"/>
  <c r="Q463" i="1" s="1"/>
  <c r="P652" i="1"/>
  <c r="T652" i="1" s="1"/>
  <c r="O488" i="1"/>
  <c r="S488" i="1" s="1"/>
  <c r="P638" i="1"/>
  <c r="T638" i="1" s="1"/>
  <c r="P624" i="1"/>
  <c r="T624" i="1" s="1"/>
  <c r="N444" i="1"/>
  <c r="R445" i="1" s="1"/>
  <c r="P610" i="1"/>
  <c r="T610" i="1" s="1"/>
  <c r="O460" i="1"/>
  <c r="S460" i="1" s="1"/>
  <c r="N430" i="1"/>
  <c r="R431" i="1" s="1"/>
  <c r="O446" i="1"/>
  <c r="S446" i="1" s="1"/>
  <c r="P596" i="1"/>
  <c r="T596" i="1" s="1"/>
  <c r="P582" i="1"/>
  <c r="T582" i="1" s="1"/>
  <c r="O432" i="1"/>
  <c r="S432" i="1" s="1"/>
  <c r="P568" i="1"/>
  <c r="T568" i="1" s="1"/>
  <c r="O418" i="1"/>
  <c r="S418" i="1" s="1"/>
  <c r="M378" i="1"/>
  <c r="Q379" i="1" s="1"/>
  <c r="O404" i="1"/>
  <c r="S404" i="1" s="1"/>
  <c r="N374" i="1"/>
  <c r="R375" i="1" s="1"/>
  <c r="P554" i="1"/>
  <c r="T554" i="1" s="1"/>
  <c r="M364" i="1"/>
  <c r="Q365" i="1" s="1"/>
  <c r="O390" i="1"/>
  <c r="S390" i="1" s="1"/>
  <c r="P540" i="1"/>
  <c r="T540" i="1" s="1"/>
  <c r="O376" i="1"/>
  <c r="S376" i="1" s="1"/>
  <c r="M336" i="1"/>
  <c r="Q337" i="1" s="1"/>
  <c r="P526" i="1"/>
  <c r="T526" i="1" s="1"/>
  <c r="P512" i="1"/>
  <c r="N332" i="1"/>
  <c r="R333" i="1" s="1"/>
  <c r="O362" i="1"/>
  <c r="S362" i="1" s="1"/>
  <c r="P498" i="1"/>
  <c r="T498" i="1" s="1"/>
  <c r="O348" i="1"/>
  <c r="S348" i="1" s="1"/>
  <c r="N318" i="1"/>
  <c r="R319" i="1" s="1"/>
  <c r="P484" i="1"/>
  <c r="T484" i="1" s="1"/>
  <c r="N290" i="1"/>
  <c r="P470" i="1"/>
  <c r="T470" i="1" s="1"/>
  <c r="O320" i="1"/>
  <c r="S320" i="1" s="1"/>
  <c r="P456" i="1"/>
  <c r="T456" i="1" s="1"/>
  <c r="O306" i="1"/>
  <c r="S306" i="1" s="1"/>
  <c r="M266" i="1"/>
  <c r="Q267" i="1" s="1"/>
  <c r="P442" i="1"/>
  <c r="T442" i="1" s="1"/>
  <c r="O292" i="1"/>
  <c r="S292" i="1" s="1"/>
  <c r="N262" i="1"/>
  <c r="P428" i="1"/>
  <c r="T428" i="1" s="1"/>
  <c r="N248" i="1"/>
  <c r="R249" i="1" s="1"/>
  <c r="P414" i="1"/>
  <c r="T414" i="1" s="1"/>
  <c r="N234" i="1"/>
  <c r="R235" i="1" s="1"/>
  <c r="O264" i="1"/>
  <c r="S264" i="1" s="1"/>
  <c r="N220" i="1"/>
  <c r="R221" i="1" s="1"/>
  <c r="P400" i="1"/>
  <c r="T400" i="1" s="1"/>
  <c r="O250" i="1"/>
  <c r="S250" i="1" s="1"/>
  <c r="P386" i="1"/>
  <c r="T386" i="1" s="1"/>
  <c r="O236" i="1"/>
  <c r="S236" i="1" s="1"/>
  <c r="M196" i="1"/>
  <c r="Q197" i="1" s="1"/>
  <c r="P372" i="1"/>
  <c r="T372" i="1" s="1"/>
  <c r="O222" i="1"/>
  <c r="S222" i="1" s="1"/>
  <c r="N192" i="1"/>
  <c r="R193" i="1" s="1"/>
  <c r="M182" i="1"/>
  <c r="O208" i="1"/>
  <c r="S208" i="1" s="1"/>
  <c r="P358" i="1"/>
  <c r="T358" i="1" s="1"/>
  <c r="M168" i="1"/>
  <c r="Q169" i="1" s="1"/>
  <c r="O194" i="1"/>
  <c r="S194" i="1" s="1"/>
  <c r="P344" i="1"/>
  <c r="T344" i="1" s="1"/>
  <c r="N164" i="1"/>
  <c r="R165" i="1" s="1"/>
  <c r="P330" i="1"/>
  <c r="T330" i="1" s="1"/>
  <c r="N150" i="1"/>
  <c r="R151" i="1" s="1"/>
  <c r="O180" i="1"/>
  <c r="S180" i="1" s="1"/>
  <c r="M140" i="1"/>
  <c r="Q141" i="1" s="1"/>
  <c r="P316" i="1"/>
  <c r="T316" i="1" s="1"/>
  <c r="N136" i="1"/>
  <c r="R137" i="1" s="1"/>
  <c r="O166" i="1"/>
  <c r="S166" i="1" s="1"/>
  <c r="M126" i="1"/>
  <c r="Q127" i="1" s="1"/>
  <c r="P302" i="1"/>
  <c r="T302" i="1" s="1"/>
  <c r="O152" i="1"/>
  <c r="S152" i="1" s="1"/>
  <c r="P288" i="1"/>
  <c r="T288" i="1" s="1"/>
  <c r="O138" i="1"/>
  <c r="S138" i="1" s="1"/>
  <c r="P274" i="1"/>
  <c r="T274" i="1" s="1"/>
  <c r="O124" i="1"/>
  <c r="S124" i="1" s="1"/>
  <c r="P260" i="1"/>
  <c r="T260" i="1" s="1"/>
  <c r="N80" i="1"/>
  <c r="R81" i="1" s="1"/>
  <c r="O110" i="1"/>
  <c r="S110" i="1" s="1"/>
  <c r="P246" i="1"/>
  <c r="T246" i="1" s="1"/>
  <c r="O96" i="1"/>
  <c r="S96" i="1" s="1"/>
  <c r="P232" i="1"/>
  <c r="O82" i="1"/>
  <c r="S82" i="1" s="1"/>
  <c r="M42" i="1"/>
  <c r="Q43" i="1" s="1"/>
  <c r="P218" i="1"/>
  <c r="T218" i="1" s="1"/>
  <c r="N38" i="1"/>
  <c r="R39" i="1" s="1"/>
  <c r="O68" i="1"/>
  <c r="S68" i="1" s="1"/>
  <c r="M28" i="1"/>
  <c r="P204" i="1"/>
  <c r="T204" i="1" s="1"/>
  <c r="N24" i="1"/>
  <c r="R25" i="1" s="1"/>
  <c r="M14" i="1"/>
  <c r="Q15" i="1" s="1"/>
  <c r="M1237" i="1"/>
  <c r="Q1238" i="1" s="1"/>
  <c r="M1193" i="1"/>
  <c r="Q1194" i="1" s="1"/>
  <c r="M1168" i="1"/>
  <c r="Q1169" i="1" s="1"/>
  <c r="M1148" i="1"/>
  <c r="Q1149" i="1" s="1"/>
  <c r="M1124" i="1"/>
  <c r="Q1125" i="1" s="1"/>
  <c r="M1079" i="1"/>
  <c r="Q1080" i="1" s="1"/>
  <c r="M1056" i="1"/>
  <c r="M1010" i="1"/>
  <c r="Q1011" i="1" s="1"/>
  <c r="M967" i="1"/>
  <c r="M943" i="1"/>
  <c r="Q944" i="1" s="1"/>
  <c r="M898" i="1"/>
  <c r="Q899" i="1" s="1"/>
  <c r="M874" i="1"/>
  <c r="Q875" i="1" s="1"/>
  <c r="M829" i="1"/>
  <c r="M785" i="1"/>
  <c r="Q786" i="1" s="1"/>
  <c r="M760" i="1"/>
  <c r="Q761" i="1" s="1"/>
  <c r="M717" i="1"/>
  <c r="Q718" i="1" s="1"/>
  <c r="M648" i="1"/>
  <c r="Q649" i="1" s="1"/>
  <c r="M602" i="1"/>
  <c r="Q603" i="1" s="1"/>
  <c r="M579" i="1"/>
  <c r="Q580" i="1" s="1"/>
  <c r="M505" i="1"/>
  <c r="Q506" i="1" s="1"/>
  <c r="M480" i="1"/>
  <c r="Q481" i="1" s="1"/>
  <c r="M454" i="1"/>
  <c r="Q455" i="1" s="1"/>
  <c r="M428" i="1"/>
  <c r="Q429" i="1" s="1"/>
  <c r="M380" i="1"/>
  <c r="Q381" i="1" s="1"/>
  <c r="M355" i="1"/>
  <c r="Q356" i="1" s="1"/>
  <c r="M329" i="1"/>
  <c r="Q330" i="1" s="1"/>
  <c r="M280" i="1"/>
  <c r="M255" i="1"/>
  <c r="Q256" i="1" s="1"/>
  <c r="M226" i="1"/>
  <c r="Q227" i="1" s="1"/>
  <c r="M200" i="1"/>
  <c r="Q201" i="1" s="1"/>
  <c r="M171" i="1"/>
  <c r="Q172" i="1" s="1"/>
  <c r="M144" i="1"/>
  <c r="Q145" i="1" s="1"/>
  <c r="M114" i="1"/>
  <c r="Q115" i="1" s="1"/>
  <c r="M84" i="1"/>
  <c r="Q85" i="1" s="1"/>
  <c r="M22" i="1"/>
  <c r="N1147" i="1"/>
  <c r="R1148" i="1" s="1"/>
  <c r="N1049" i="1"/>
  <c r="R1050" i="1" s="1"/>
  <c r="N982" i="1"/>
  <c r="R983" i="1" s="1"/>
  <c r="N907" i="1"/>
  <c r="R908" i="1" s="1"/>
  <c r="N839" i="1"/>
  <c r="R840" i="1" s="1"/>
  <c r="N772" i="1"/>
  <c r="R773" i="1" s="1"/>
  <c r="N738" i="1"/>
  <c r="R739" i="1" s="1"/>
  <c r="N671" i="1"/>
  <c r="N529" i="1"/>
  <c r="R530" i="1" s="1"/>
  <c r="N461" i="1"/>
  <c r="R462" i="1" s="1"/>
  <c r="N418" i="1"/>
  <c r="R419" i="1" s="1"/>
  <c r="N346" i="1"/>
  <c r="R347" i="1" s="1"/>
  <c r="N178" i="1"/>
  <c r="R179" i="1" s="1"/>
  <c r="N138" i="1"/>
  <c r="R139" i="1" s="1"/>
  <c r="N43" i="1"/>
  <c r="R44" i="1" s="1"/>
  <c r="O1174" i="1"/>
  <c r="S1174" i="1" s="1"/>
  <c r="O1122" i="1"/>
  <c r="S1122" i="1" s="1"/>
  <c r="O1012" i="1"/>
  <c r="S1012" i="1" s="1"/>
  <c r="O952" i="1"/>
  <c r="S952" i="1" s="1"/>
  <c r="O896" i="1"/>
  <c r="S896" i="1" s="1"/>
  <c r="O712" i="1"/>
  <c r="S712" i="1" s="1"/>
  <c r="O661" i="1"/>
  <c r="S661" i="1" s="1"/>
  <c r="O530" i="1"/>
  <c r="S530" i="1" s="1"/>
  <c r="O393" i="1"/>
  <c r="S393" i="1" s="1"/>
  <c r="O325" i="1"/>
  <c r="S325" i="1" s="1"/>
  <c r="O256" i="1"/>
  <c r="S256" i="1" s="1"/>
  <c r="O185" i="1"/>
  <c r="S185" i="1" s="1"/>
  <c r="O112" i="1"/>
  <c r="S112" i="1" s="1"/>
  <c r="P1092" i="1"/>
  <c r="T1092" i="1" s="1"/>
  <c r="P1021" i="1"/>
  <c r="T1021" i="1" s="1"/>
  <c r="P952" i="1"/>
  <c r="T952" i="1" s="1"/>
  <c r="P655" i="1"/>
  <c r="T655" i="1" s="1"/>
  <c r="P445" i="1"/>
  <c r="T445" i="1" s="1"/>
  <c r="O1162" i="1"/>
  <c r="S1162" i="1" s="1"/>
  <c r="O840" i="1"/>
  <c r="S840" i="1" s="1"/>
  <c r="P202" i="1"/>
  <c r="M12" i="1"/>
  <c r="Q13" i="1" s="1"/>
  <c r="O52" i="1"/>
  <c r="S53" i="1" s="1"/>
  <c r="O1209" i="1"/>
  <c r="S1209" i="1" s="1"/>
  <c r="O1195" i="1"/>
  <c r="S1195" i="1" s="1"/>
  <c r="O1181" i="1"/>
  <c r="S1181" i="1" s="1"/>
  <c r="N1137" i="1"/>
  <c r="R1138" i="1" s="1"/>
  <c r="O1111" i="1"/>
  <c r="S1111" i="1" s="1"/>
  <c r="O1097" i="1"/>
  <c r="S1097" i="1" s="1"/>
  <c r="P1233" i="1"/>
  <c r="T1233" i="1" s="1"/>
  <c r="O1083" i="1"/>
  <c r="S1083" i="1" s="1"/>
  <c r="P1219" i="1"/>
  <c r="N1039" i="1"/>
  <c r="R1040" i="1" s="1"/>
  <c r="N1025" i="1"/>
  <c r="R1026" i="1" s="1"/>
  <c r="O1055" i="1"/>
  <c r="S1055" i="1" s="1"/>
  <c r="P1191" i="1"/>
  <c r="T1191" i="1" s="1"/>
  <c r="N997" i="1"/>
  <c r="R998" i="1" s="1"/>
  <c r="O1013" i="1"/>
  <c r="S1013" i="1" s="1"/>
  <c r="P1149" i="1"/>
  <c r="T1149" i="1" s="1"/>
  <c r="O999" i="1"/>
  <c r="S999" i="1" s="1"/>
  <c r="N941" i="1"/>
  <c r="R942" i="1" s="1"/>
  <c r="O971" i="1"/>
  <c r="S971" i="1" s="1"/>
  <c r="N927" i="1"/>
  <c r="R928" i="1" s="1"/>
  <c r="O943" i="1"/>
  <c r="S943" i="1" s="1"/>
  <c r="P1093" i="1"/>
  <c r="T1093" i="1" s="1"/>
  <c r="P1079" i="1"/>
  <c r="T1079" i="1" s="1"/>
  <c r="O915" i="1"/>
  <c r="S915" i="1" s="1"/>
  <c r="O901" i="1"/>
  <c r="S901" i="1" s="1"/>
  <c r="P1051" i="1"/>
  <c r="T1051" i="1" s="1"/>
  <c r="N871" i="1"/>
  <c r="R872" i="1" s="1"/>
  <c r="P1037" i="1"/>
  <c r="T1037" i="1" s="1"/>
  <c r="O887" i="1"/>
  <c r="S887" i="1" s="1"/>
  <c r="P1023" i="1"/>
  <c r="T1023" i="1" s="1"/>
  <c r="O873" i="1"/>
  <c r="S873" i="1" s="1"/>
  <c r="N843" i="1"/>
  <c r="R844" i="1" s="1"/>
  <c r="P1009" i="1"/>
  <c r="T1009" i="1" s="1"/>
  <c r="N829" i="1"/>
  <c r="R830" i="1" s="1"/>
  <c r="P995" i="1"/>
  <c r="T995" i="1" s="1"/>
  <c r="P981" i="1"/>
  <c r="T981" i="1" s="1"/>
  <c r="P967" i="1"/>
  <c r="O817" i="1"/>
  <c r="S817" i="1" s="1"/>
  <c r="O803" i="1"/>
  <c r="S803" i="1" s="1"/>
  <c r="N731" i="1"/>
  <c r="R732" i="1" s="1"/>
  <c r="P897" i="1"/>
  <c r="T897" i="1" s="1"/>
  <c r="P883" i="1"/>
  <c r="T883" i="1" s="1"/>
  <c r="O733" i="1"/>
  <c r="S733" i="1" s="1"/>
  <c r="P869" i="1"/>
  <c r="T869" i="1" s="1"/>
  <c r="O705" i="1"/>
  <c r="S705" i="1" s="1"/>
  <c r="P855" i="1"/>
  <c r="T855" i="1" s="1"/>
  <c r="P841" i="1"/>
  <c r="T841" i="1" s="1"/>
  <c r="O691" i="1"/>
  <c r="S691" i="1" s="1"/>
  <c r="P827" i="1"/>
  <c r="T827" i="1" s="1"/>
  <c r="O677" i="1"/>
  <c r="S677" i="1" s="1"/>
  <c r="N633" i="1"/>
  <c r="R634" i="1" s="1"/>
  <c r="P813" i="1"/>
  <c r="T813" i="1" s="1"/>
  <c r="P799" i="1"/>
  <c r="T799" i="1" s="1"/>
  <c r="N619" i="1"/>
  <c r="R620" i="1" s="1"/>
  <c r="O649" i="1"/>
  <c r="S649" i="1" s="1"/>
  <c r="P785" i="1"/>
  <c r="T785" i="1" s="1"/>
  <c r="N605" i="1"/>
  <c r="R606" i="1" s="1"/>
  <c r="O621" i="1"/>
  <c r="S621" i="1" s="1"/>
  <c r="P771" i="1"/>
  <c r="T771" i="1" s="1"/>
  <c r="P757" i="1"/>
  <c r="T757" i="1" s="1"/>
  <c r="O607" i="1"/>
  <c r="S607" i="1" s="1"/>
  <c r="O593" i="1"/>
  <c r="S593" i="1" s="1"/>
  <c r="O579" i="1"/>
  <c r="S579" i="1" s="1"/>
  <c r="P729" i="1"/>
  <c r="T729" i="1" s="1"/>
  <c r="N535" i="1"/>
  <c r="R536" i="1" s="1"/>
  <c r="P701" i="1"/>
  <c r="T701" i="1" s="1"/>
  <c r="N521" i="1"/>
  <c r="R522" i="1" s="1"/>
  <c r="O537" i="1"/>
  <c r="S537" i="1" s="1"/>
  <c r="O509" i="1"/>
  <c r="S509" i="1" s="1"/>
  <c r="P659" i="1"/>
  <c r="T659" i="1" s="1"/>
  <c r="N479" i="1"/>
  <c r="R480" i="1" s="1"/>
  <c r="O495" i="1"/>
  <c r="S495" i="1" s="1"/>
  <c r="P645" i="1"/>
  <c r="O481" i="1"/>
  <c r="S481" i="1" s="1"/>
  <c r="P631" i="1"/>
  <c r="T631" i="1" s="1"/>
  <c r="N437" i="1"/>
  <c r="R438" i="1" s="1"/>
  <c r="O453" i="1"/>
  <c r="S453" i="1" s="1"/>
  <c r="N423" i="1"/>
  <c r="P603" i="1"/>
  <c r="T603" i="1" s="1"/>
  <c r="P589" i="1"/>
  <c r="T589" i="1" s="1"/>
  <c r="O425" i="1"/>
  <c r="S425" i="1" s="1"/>
  <c r="P575" i="1"/>
  <c r="T575" i="1" s="1"/>
  <c r="P561" i="1"/>
  <c r="T561" i="1" s="1"/>
  <c r="P547" i="1"/>
  <c r="T547" i="1" s="1"/>
  <c r="P533" i="1"/>
  <c r="T533" i="1" s="1"/>
  <c r="O383" i="1"/>
  <c r="S383" i="1" s="1"/>
  <c r="P519" i="1"/>
  <c r="T519" i="1" s="1"/>
  <c r="P505" i="1"/>
  <c r="T505" i="1" s="1"/>
  <c r="N325" i="1"/>
  <c r="R326" i="1" s="1"/>
  <c r="O355" i="1"/>
  <c r="S355" i="1" s="1"/>
  <c r="P491" i="1"/>
  <c r="T491" i="1" s="1"/>
  <c r="O341" i="1"/>
  <c r="S341" i="1" s="1"/>
  <c r="O327" i="1"/>
  <c r="S327" i="1" s="1"/>
  <c r="P477" i="1"/>
  <c r="T477" i="1" s="1"/>
  <c r="P463" i="1"/>
  <c r="T463" i="1" s="1"/>
  <c r="O313" i="1"/>
  <c r="S313" i="1" s="1"/>
  <c r="N283" i="1"/>
  <c r="R284" i="1" s="1"/>
  <c r="O299" i="1"/>
  <c r="S299" i="1" s="1"/>
  <c r="P449" i="1"/>
  <c r="T449" i="1" s="1"/>
  <c r="N255" i="1"/>
  <c r="R256" i="1" s="1"/>
  <c r="P435" i="1"/>
  <c r="T435" i="1" s="1"/>
  <c r="O285" i="1"/>
  <c r="S285" i="1" s="1"/>
  <c r="P421" i="1"/>
  <c r="T421" i="1" s="1"/>
  <c r="O271" i="1"/>
  <c r="S271" i="1" s="1"/>
  <c r="P393" i="1"/>
  <c r="P379" i="1"/>
  <c r="T379" i="1" s="1"/>
  <c r="O229" i="1"/>
  <c r="S229" i="1" s="1"/>
  <c r="N199" i="1"/>
  <c r="R200" i="1" s="1"/>
  <c r="P365" i="1"/>
  <c r="T365" i="1" s="1"/>
  <c r="O215" i="1"/>
  <c r="S215" i="1" s="1"/>
  <c r="N185" i="1"/>
  <c r="R186" i="1" s="1"/>
  <c r="P351" i="1"/>
  <c r="T351" i="1" s="1"/>
  <c r="N157" i="1"/>
  <c r="R158" i="1" s="1"/>
  <c r="P323" i="1"/>
  <c r="O173" i="1"/>
  <c r="S173" i="1" s="1"/>
  <c r="N129" i="1"/>
  <c r="O159" i="1"/>
  <c r="S159" i="1" s="1"/>
  <c r="P309" i="1"/>
  <c r="T309" i="1" s="1"/>
  <c r="P295" i="1"/>
  <c r="T295" i="1" s="1"/>
  <c r="M105" i="1"/>
  <c r="Q106" i="1" s="1"/>
  <c r="N115" i="1"/>
  <c r="R116" i="1" s="1"/>
  <c r="O145" i="1"/>
  <c r="S145" i="1" s="1"/>
  <c r="P281" i="1"/>
  <c r="T281" i="1" s="1"/>
  <c r="M91" i="1"/>
  <c r="Q92" i="1" s="1"/>
  <c r="O117" i="1"/>
  <c r="S117" i="1" s="1"/>
  <c r="M77" i="1"/>
  <c r="Q78" i="1" s="1"/>
  <c r="P267" i="1"/>
  <c r="T267" i="1" s="1"/>
  <c r="P253" i="1"/>
  <c r="T253" i="1" s="1"/>
  <c r="O103" i="1"/>
  <c r="S103" i="1" s="1"/>
  <c r="P239" i="1"/>
  <c r="T239" i="1" s="1"/>
  <c r="N59" i="1"/>
  <c r="R60" i="1" s="1"/>
  <c r="O89" i="1"/>
  <c r="S89" i="1" s="1"/>
  <c r="N45" i="1"/>
  <c r="R46" i="1" s="1"/>
  <c r="O75" i="1"/>
  <c r="S75" i="1" s="1"/>
  <c r="M1071" i="1"/>
  <c r="Q1072" i="1" s="1"/>
  <c r="M875" i="1"/>
  <c r="Q876" i="1" s="1"/>
  <c r="M679" i="1"/>
  <c r="Q680" i="1" s="1"/>
  <c r="M483" i="1"/>
  <c r="Q484" i="1" s="1"/>
  <c r="M287" i="1"/>
  <c r="Q288" i="1" s="1"/>
  <c r="N1179" i="1"/>
  <c r="R1180" i="1" s="1"/>
  <c r="N1095" i="1"/>
  <c r="R1096" i="1" s="1"/>
  <c r="O439" i="1"/>
  <c r="S439" i="1" s="1"/>
  <c r="P939" i="1"/>
  <c r="T939" i="1" s="1"/>
  <c r="O957" i="1"/>
  <c r="S957" i="1" s="1"/>
  <c r="O789" i="1"/>
  <c r="S789" i="1" s="1"/>
  <c r="O467" i="1"/>
  <c r="S467" i="1" s="1"/>
  <c r="P1107" i="1"/>
  <c r="T1107" i="1" s="1"/>
  <c r="P1065" i="1"/>
  <c r="T1065" i="1" s="1"/>
  <c r="P407" i="1"/>
  <c r="T407" i="1" s="1"/>
  <c r="N1245" i="1"/>
  <c r="R1246" i="1" s="1"/>
  <c r="O1247" i="1"/>
  <c r="S1247" i="1" s="1"/>
  <c r="N1217" i="1"/>
  <c r="R1218" i="1" s="1"/>
  <c r="O1093" i="1"/>
  <c r="S1093" i="1" s="1"/>
  <c r="P1243" i="1"/>
  <c r="T1243" i="1" s="1"/>
  <c r="O1065" i="1"/>
  <c r="S1065" i="1" s="1"/>
  <c r="P1215" i="1"/>
  <c r="T1215" i="1" s="1"/>
  <c r="P1187" i="1"/>
  <c r="T1187" i="1" s="1"/>
  <c r="O1037" i="1"/>
  <c r="S1037" i="1" s="1"/>
  <c r="N1007" i="1"/>
  <c r="R1008" i="1" s="1"/>
  <c r="N965" i="1"/>
  <c r="R966" i="1" s="1"/>
  <c r="P1145" i="1"/>
  <c r="T1145" i="1" s="1"/>
  <c r="O967" i="1"/>
  <c r="S967" i="1" s="1"/>
  <c r="P1117" i="1"/>
  <c r="N909" i="1"/>
  <c r="R910" i="1" s="1"/>
  <c r="P1089" i="1"/>
  <c r="T1089" i="1" s="1"/>
  <c r="O939" i="1"/>
  <c r="S939" i="1" s="1"/>
  <c r="O869" i="1"/>
  <c r="S869" i="1" s="1"/>
  <c r="P1019" i="1"/>
  <c r="T1019" i="1" s="1"/>
  <c r="N811" i="1"/>
  <c r="R812" i="1" s="1"/>
  <c r="P991" i="1"/>
  <c r="T991" i="1" s="1"/>
  <c r="P949" i="1"/>
  <c r="T949" i="1" s="1"/>
  <c r="N769" i="1"/>
  <c r="R770" i="1" s="1"/>
  <c r="P921" i="1"/>
  <c r="T921" i="1" s="1"/>
  <c r="O771" i="1"/>
  <c r="S771" i="1" s="1"/>
  <c r="P893" i="1"/>
  <c r="T893" i="1" s="1"/>
  <c r="P851" i="1"/>
  <c r="T851" i="1" s="1"/>
  <c r="O701" i="1"/>
  <c r="S701" i="1" s="1"/>
  <c r="O673" i="1"/>
  <c r="S673" i="1" s="1"/>
  <c r="P809" i="1"/>
  <c r="T809" i="1" s="1"/>
  <c r="O659" i="1"/>
  <c r="S659" i="1" s="1"/>
  <c r="P781" i="1"/>
  <c r="T781" i="1" s="1"/>
  <c r="N601" i="1"/>
  <c r="R602" i="1" s="1"/>
  <c r="O617" i="1"/>
  <c r="S617" i="1" s="1"/>
  <c r="N573" i="1"/>
  <c r="R574" i="1" s="1"/>
  <c r="P753" i="1"/>
  <c r="T753" i="1" s="1"/>
  <c r="P725" i="1"/>
  <c r="T725" i="1" s="1"/>
  <c r="O575" i="1"/>
  <c r="S575" i="1" s="1"/>
  <c r="P711" i="1"/>
  <c r="T711" i="1" s="1"/>
  <c r="O561" i="1"/>
  <c r="S561" i="1" s="1"/>
  <c r="P697" i="1"/>
  <c r="T697" i="1" s="1"/>
  <c r="O547" i="1"/>
  <c r="S547" i="1" s="1"/>
  <c r="P683" i="1"/>
  <c r="T683" i="1" s="1"/>
  <c r="N503" i="1"/>
  <c r="R504" i="1" s="1"/>
  <c r="P669" i="1"/>
  <c r="T669" i="1" s="1"/>
  <c r="N489" i="1"/>
  <c r="R490" i="1" s="1"/>
  <c r="O519" i="1"/>
  <c r="S519" i="1" s="1"/>
  <c r="O505" i="1"/>
  <c r="S505" i="1" s="1"/>
  <c r="O491" i="1"/>
  <c r="S491" i="1" s="1"/>
  <c r="P627" i="1"/>
  <c r="T627" i="1" s="1"/>
  <c r="P613" i="1"/>
  <c r="T613" i="1" s="1"/>
  <c r="O449" i="1"/>
  <c r="S449" i="1" s="1"/>
  <c r="O435" i="1"/>
  <c r="S435" i="1" s="1"/>
  <c r="N405" i="1"/>
  <c r="R406" i="1" s="1"/>
  <c r="N391" i="1"/>
  <c r="R392" i="1" s="1"/>
  <c r="N377" i="1"/>
  <c r="R378" i="1" s="1"/>
  <c r="P557" i="1"/>
  <c r="T557" i="1" s="1"/>
  <c r="O407" i="1"/>
  <c r="S407" i="1" s="1"/>
  <c r="P543" i="1"/>
  <c r="T543" i="1" s="1"/>
  <c r="P529" i="1"/>
  <c r="T529" i="1" s="1"/>
  <c r="O379" i="1"/>
  <c r="S379" i="1" s="1"/>
  <c r="O365" i="1"/>
  <c r="S365" i="1" s="1"/>
  <c r="P515" i="1"/>
  <c r="T515" i="1" s="1"/>
  <c r="N335" i="1"/>
  <c r="O351" i="1"/>
  <c r="S351" i="1" s="1"/>
  <c r="P487" i="1"/>
  <c r="T487" i="1" s="1"/>
  <c r="O337" i="1"/>
  <c r="S337" i="1" s="1"/>
  <c r="N307" i="1"/>
  <c r="O323" i="1"/>
  <c r="S323" i="1" s="1"/>
  <c r="N265" i="1"/>
  <c r="R266" i="1" s="1"/>
  <c r="O295" i="1"/>
  <c r="S295" i="1" s="1"/>
  <c r="P431" i="1"/>
  <c r="N251" i="1"/>
  <c r="R252" i="1" s="1"/>
  <c r="P417" i="1"/>
  <c r="T417" i="1" s="1"/>
  <c r="N237" i="1"/>
  <c r="R238" i="1" s="1"/>
  <c r="O253" i="1"/>
  <c r="S253" i="1" s="1"/>
  <c r="O239" i="1"/>
  <c r="S239" i="1" s="1"/>
  <c r="P389" i="1"/>
  <c r="T389" i="1" s="1"/>
  <c r="O225" i="1"/>
  <c r="S225" i="1" s="1"/>
  <c r="P361" i="1"/>
  <c r="T361" i="1" s="1"/>
  <c r="O211" i="1"/>
  <c r="S211" i="1" s="1"/>
  <c r="O197" i="1"/>
  <c r="S197" i="1" s="1"/>
  <c r="N167" i="1"/>
  <c r="P333" i="1"/>
  <c r="T333" i="1" s="1"/>
  <c r="N153" i="1"/>
  <c r="R154" i="1" s="1"/>
  <c r="O183" i="1"/>
  <c r="S183" i="1" s="1"/>
  <c r="P319" i="1"/>
  <c r="T319" i="1" s="1"/>
  <c r="P305" i="1"/>
  <c r="T305" i="1" s="1"/>
  <c r="P291" i="1"/>
  <c r="T291" i="1" s="1"/>
  <c r="O141" i="1"/>
  <c r="S141" i="1" s="1"/>
  <c r="N111" i="1"/>
  <c r="R112" i="1" s="1"/>
  <c r="P277" i="1"/>
  <c r="T277" i="1" s="1"/>
  <c r="N97" i="1"/>
  <c r="R98" i="1" s="1"/>
  <c r="O113" i="1"/>
  <c r="S113" i="1" s="1"/>
  <c r="N83" i="1"/>
  <c r="R84" i="1" s="1"/>
  <c r="N69" i="1"/>
  <c r="R70" i="1" s="1"/>
  <c r="P249" i="1"/>
  <c r="T249" i="1" s="1"/>
  <c r="M45" i="1"/>
  <c r="Q46" i="1" s="1"/>
  <c r="P221" i="1"/>
  <c r="T221" i="1" s="1"/>
  <c r="O71" i="1"/>
  <c r="S71" i="1" s="1"/>
  <c r="M31" i="1"/>
  <c r="Q32" i="1" s="1"/>
  <c r="O57" i="1"/>
  <c r="S57" i="1" s="1"/>
  <c r="P207" i="1"/>
  <c r="T207" i="1" s="1"/>
  <c r="N27" i="1"/>
  <c r="M17" i="1"/>
  <c r="Q18" i="1" s="1"/>
  <c r="M1155" i="1"/>
  <c r="Q1156" i="1" s="1"/>
  <c r="M959" i="1"/>
  <c r="Q960" i="1" s="1"/>
  <c r="M763" i="1"/>
  <c r="Q764" i="1" s="1"/>
  <c r="M567" i="1"/>
  <c r="Q568" i="1" s="1"/>
  <c r="M479" i="1"/>
  <c r="Q480" i="1" s="1"/>
  <c r="M371" i="1"/>
  <c r="Q372" i="1" s="1"/>
  <c r="M283" i="1"/>
  <c r="Q284" i="1" s="1"/>
  <c r="M175" i="1"/>
  <c r="Q176" i="1" s="1"/>
  <c r="M119" i="1"/>
  <c r="Q120" i="1" s="1"/>
  <c r="M101" i="1"/>
  <c r="Q102" i="1" s="1"/>
  <c r="N1151" i="1"/>
  <c r="R1152" i="1" s="1"/>
  <c r="N1091" i="1"/>
  <c r="R1092" i="1" s="1"/>
  <c r="N955" i="1"/>
  <c r="R956" i="1" s="1"/>
  <c r="N867" i="1"/>
  <c r="R868" i="1" s="1"/>
  <c r="N801" i="1"/>
  <c r="R802" i="1" s="1"/>
  <c r="N689" i="1"/>
  <c r="R690" i="1" s="1"/>
  <c r="N643" i="1"/>
  <c r="R644" i="1" s="1"/>
  <c r="N577" i="1"/>
  <c r="R578" i="1" s="1"/>
  <c r="N465" i="1"/>
  <c r="R466" i="1" s="1"/>
  <c r="N353" i="1"/>
  <c r="R354" i="1" s="1"/>
  <c r="O1177" i="1"/>
  <c r="S1177" i="1" s="1"/>
  <c r="O267" i="1"/>
  <c r="S267" i="1" s="1"/>
  <c r="N1231" i="1"/>
  <c r="R1232" i="1" s="1"/>
  <c r="N1161" i="1"/>
  <c r="R1162" i="1" s="1"/>
  <c r="O1191" i="1"/>
  <c r="S1191" i="1" s="1"/>
  <c r="O1163" i="1"/>
  <c r="S1163" i="1" s="1"/>
  <c r="N1105" i="1"/>
  <c r="O1135" i="1"/>
  <c r="S1135" i="1" s="1"/>
  <c r="P1257" i="1"/>
  <c r="T1257" i="1" s="1"/>
  <c r="O1107" i="1"/>
  <c r="S1107" i="1" s="1"/>
  <c r="P1201" i="1"/>
  <c r="T1201" i="1" s="1"/>
  <c r="P1173" i="1"/>
  <c r="T1173" i="1" s="1"/>
  <c r="P1159" i="1"/>
  <c r="T1159" i="1" s="1"/>
  <c r="O981" i="1"/>
  <c r="S981" i="1" s="1"/>
  <c r="P1103" i="1"/>
  <c r="T1103" i="1" s="1"/>
  <c r="P1075" i="1"/>
  <c r="T1075" i="1" s="1"/>
  <c r="O925" i="1"/>
  <c r="S925" i="1" s="1"/>
  <c r="N895" i="1"/>
  <c r="R896" i="1" s="1"/>
  <c r="P1061" i="1"/>
  <c r="T1061" i="1" s="1"/>
  <c r="O911" i="1"/>
  <c r="S911" i="1" s="1"/>
  <c r="P1033" i="1"/>
  <c r="T1033" i="1" s="1"/>
  <c r="O883" i="1"/>
  <c r="S883" i="1" s="1"/>
  <c r="P977" i="1"/>
  <c r="T977" i="1" s="1"/>
  <c r="N797" i="1"/>
  <c r="R798" i="1" s="1"/>
  <c r="P963" i="1"/>
  <c r="T963" i="1" s="1"/>
  <c r="O785" i="1"/>
  <c r="S785" i="1" s="1"/>
  <c r="O757" i="1"/>
  <c r="S757" i="1" s="1"/>
  <c r="N727" i="1"/>
  <c r="R728" i="1" s="1"/>
  <c r="P879" i="1"/>
  <c r="T879" i="1" s="1"/>
  <c r="N699" i="1"/>
  <c r="R700" i="1" s="1"/>
  <c r="O729" i="1"/>
  <c r="S729" i="1" s="1"/>
  <c r="P865" i="1"/>
  <c r="T865" i="1" s="1"/>
  <c r="O715" i="1"/>
  <c r="S715" i="1" s="1"/>
  <c r="P837" i="1"/>
  <c r="T837" i="1" s="1"/>
  <c r="O645" i="1"/>
  <c r="S645" i="1" s="1"/>
  <c r="P739" i="1"/>
  <c r="T739" i="1" s="1"/>
  <c r="O309" i="1"/>
  <c r="S309" i="1" s="1"/>
  <c r="N1230" i="1"/>
  <c r="R1231" i="1" s="1"/>
  <c r="O1246" i="1"/>
  <c r="S1246" i="1" s="1"/>
  <c r="N1216" i="1"/>
  <c r="N1202" i="1"/>
  <c r="R1203" i="1" s="1"/>
  <c r="O1232" i="1"/>
  <c r="S1232" i="1" s="1"/>
  <c r="O1204" i="1"/>
  <c r="S1204" i="1" s="1"/>
  <c r="O1190" i="1"/>
  <c r="S1190" i="1" s="1"/>
  <c r="N1146" i="1"/>
  <c r="R1147" i="1" s="1"/>
  <c r="N1104" i="1"/>
  <c r="R1105" i="1" s="1"/>
  <c r="O1134" i="1"/>
  <c r="S1134" i="1" s="1"/>
  <c r="O1120" i="1"/>
  <c r="S1120" i="1" s="1"/>
  <c r="N1090" i="1"/>
  <c r="R1091" i="1" s="1"/>
  <c r="P1256" i="1"/>
  <c r="T1256" i="1" s="1"/>
  <c r="P1242" i="1"/>
  <c r="T1242" i="1" s="1"/>
  <c r="P1228" i="1"/>
  <c r="T1228" i="1" s="1"/>
  <c r="P1214" i="1"/>
  <c r="T1214" i="1" s="1"/>
  <c r="P1200" i="1"/>
  <c r="T1200" i="1" s="1"/>
  <c r="O1050" i="1"/>
  <c r="S1050" i="1" s="1"/>
  <c r="P1186" i="1"/>
  <c r="T1186" i="1" s="1"/>
  <c r="N1006" i="1"/>
  <c r="R1007" i="1" s="1"/>
  <c r="O1036" i="1"/>
  <c r="S1036" i="1" s="1"/>
  <c r="P1172" i="1"/>
  <c r="T1172" i="1" s="1"/>
  <c r="N992" i="1"/>
  <c r="R993" i="1" s="1"/>
  <c r="O1022" i="1"/>
  <c r="S1022" i="1" s="1"/>
  <c r="P1158" i="1"/>
  <c r="T1158" i="1" s="1"/>
  <c r="P1144" i="1"/>
  <c r="T1144" i="1" s="1"/>
  <c r="O994" i="1"/>
  <c r="S994" i="1" s="1"/>
  <c r="P1130" i="1"/>
  <c r="T1130" i="1" s="1"/>
  <c r="N950" i="1"/>
  <c r="R951" i="1" s="1"/>
  <c r="O980" i="1"/>
  <c r="S980" i="1" s="1"/>
  <c r="P1116" i="1"/>
  <c r="T1116" i="1" s="1"/>
  <c r="O966" i="1"/>
  <c r="S966" i="1" s="1"/>
  <c r="P1102" i="1"/>
  <c r="T1102" i="1" s="1"/>
  <c r="P1088" i="1"/>
  <c r="T1088" i="1" s="1"/>
  <c r="O938" i="1"/>
  <c r="S938" i="1" s="1"/>
  <c r="P1074" i="1"/>
  <c r="T1074" i="1" s="1"/>
  <c r="O924" i="1"/>
  <c r="S924" i="1" s="1"/>
  <c r="N894" i="1"/>
  <c r="R895" i="1" s="1"/>
  <c r="P1060" i="1"/>
  <c r="T1060" i="1" s="1"/>
  <c r="P1046" i="1"/>
  <c r="T1046" i="1" s="1"/>
  <c r="P1032" i="1"/>
  <c r="T1032" i="1" s="1"/>
  <c r="N852" i="1"/>
  <c r="R853" i="1" s="1"/>
  <c r="P1018" i="1"/>
  <c r="T1018" i="1" s="1"/>
  <c r="O868" i="1"/>
  <c r="S868" i="1" s="1"/>
  <c r="P1004" i="1"/>
  <c r="T1004" i="1" s="1"/>
  <c r="P990" i="1"/>
  <c r="T990" i="1" s="1"/>
  <c r="P976" i="1"/>
  <c r="T976" i="1" s="1"/>
  <c r="N796" i="1"/>
  <c r="R797" i="1" s="1"/>
  <c r="O826" i="1"/>
  <c r="S826" i="1" s="1"/>
  <c r="P962" i="1"/>
  <c r="T962" i="1" s="1"/>
  <c r="O812" i="1"/>
  <c r="S812" i="1" s="1"/>
  <c r="P948" i="1"/>
  <c r="T948" i="1" s="1"/>
  <c r="P934" i="1"/>
  <c r="T934" i="1" s="1"/>
  <c r="N754" i="1"/>
  <c r="R755" i="1" s="1"/>
  <c r="P920" i="1"/>
  <c r="T920" i="1" s="1"/>
  <c r="O770" i="1"/>
  <c r="S770" i="1" s="1"/>
  <c r="P906" i="1"/>
  <c r="T906" i="1" s="1"/>
  <c r="O756" i="1"/>
  <c r="S756" i="1" s="1"/>
  <c r="P892" i="1"/>
  <c r="T892" i="1" s="1"/>
  <c r="O742" i="1"/>
  <c r="S742" i="1" s="1"/>
  <c r="P878" i="1"/>
  <c r="T878" i="1" s="1"/>
  <c r="N698" i="1"/>
  <c r="R699" i="1" s="1"/>
  <c r="P864" i="1"/>
  <c r="T864" i="1" s="1"/>
  <c r="O714" i="1"/>
  <c r="S714" i="1" s="1"/>
  <c r="N684" i="1"/>
  <c r="R685" i="1" s="1"/>
  <c r="P850" i="1"/>
  <c r="T850" i="1" s="1"/>
  <c r="O700" i="1"/>
  <c r="S700" i="1" s="1"/>
  <c r="P836" i="1"/>
  <c r="T836" i="1" s="1"/>
  <c r="P822" i="1"/>
  <c r="T822" i="1" s="1"/>
  <c r="O672" i="1"/>
  <c r="S672" i="1" s="1"/>
  <c r="P808" i="1"/>
  <c r="T808" i="1" s="1"/>
  <c r="O658" i="1"/>
  <c r="S658" i="1" s="1"/>
  <c r="P794" i="1"/>
  <c r="T794" i="1" s="1"/>
  <c r="P780" i="1"/>
  <c r="T780" i="1" s="1"/>
  <c r="N600" i="1"/>
  <c r="R601" i="1" s="1"/>
  <c r="P766" i="1"/>
  <c r="T766" i="1" s="1"/>
  <c r="N586" i="1"/>
  <c r="R587" i="1" s="1"/>
  <c r="P752" i="1"/>
  <c r="T752" i="1" s="1"/>
  <c r="O602" i="1"/>
  <c r="S602" i="1" s="1"/>
  <c r="P738" i="1"/>
  <c r="T738" i="1" s="1"/>
  <c r="N558" i="1"/>
  <c r="R559" i="1" s="1"/>
  <c r="P724" i="1"/>
  <c r="T724" i="1" s="1"/>
  <c r="O574" i="1"/>
  <c r="S574" i="1" s="1"/>
  <c r="P710" i="1"/>
  <c r="O560" i="1"/>
  <c r="S560" i="1" s="1"/>
  <c r="P696" i="1"/>
  <c r="T696" i="1" s="1"/>
  <c r="O546" i="1"/>
  <c r="S546" i="1" s="1"/>
  <c r="P682" i="1"/>
  <c r="T682" i="1" s="1"/>
  <c r="O532" i="1"/>
  <c r="S532" i="1" s="1"/>
  <c r="P668" i="1"/>
  <c r="T668" i="1" s="1"/>
  <c r="O518" i="1"/>
  <c r="S518" i="1" s="1"/>
  <c r="N488" i="1"/>
  <c r="R489" i="1" s="1"/>
  <c r="P654" i="1"/>
  <c r="T654" i="1" s="1"/>
  <c r="P640" i="1"/>
  <c r="T640" i="1" s="1"/>
  <c r="O490" i="1"/>
  <c r="S490" i="1" s="1"/>
  <c r="N460" i="1"/>
  <c r="R461" i="1" s="1"/>
  <c r="P626" i="1"/>
  <c r="T626" i="1" s="1"/>
  <c r="P612" i="1"/>
  <c r="T612" i="1" s="1"/>
  <c r="O462" i="1"/>
  <c r="S462" i="1" s="1"/>
  <c r="P598" i="1"/>
  <c r="T598" i="1" s="1"/>
  <c r="O448" i="1"/>
  <c r="S448" i="1" s="1"/>
  <c r="P584" i="1"/>
  <c r="T584" i="1" s="1"/>
  <c r="O434" i="1"/>
  <c r="S434" i="1" s="1"/>
  <c r="P570" i="1"/>
  <c r="T570" i="1" s="1"/>
  <c r="O420" i="1"/>
  <c r="S420" i="1" s="1"/>
  <c r="N390" i="1"/>
  <c r="R391" i="1" s="1"/>
  <c r="P556" i="1"/>
  <c r="T556" i="1" s="1"/>
  <c r="O406" i="1"/>
  <c r="S406" i="1" s="1"/>
  <c r="P542" i="1"/>
  <c r="T542" i="1" s="1"/>
  <c r="N362" i="1"/>
  <c r="R363" i="1" s="1"/>
  <c r="P528" i="1"/>
  <c r="T528" i="1" s="1"/>
  <c r="P514" i="1"/>
  <c r="T514" i="1" s="1"/>
  <c r="P500" i="1"/>
  <c r="T500" i="1" s="1"/>
  <c r="O350" i="1"/>
  <c r="S350" i="1" s="1"/>
  <c r="P486" i="1"/>
  <c r="O336" i="1"/>
  <c r="S336" i="1" s="1"/>
  <c r="N306" i="1"/>
  <c r="R307" i="1" s="1"/>
  <c r="P472" i="1"/>
  <c r="T472" i="1" s="1"/>
  <c r="O322" i="1"/>
  <c r="S322" i="1" s="1"/>
  <c r="N292" i="1"/>
  <c r="R293" i="1" s="1"/>
  <c r="P458" i="1"/>
  <c r="T458" i="1" s="1"/>
  <c r="P444" i="1"/>
  <c r="T444" i="1" s="1"/>
  <c r="O294" i="1"/>
  <c r="S294" i="1" s="1"/>
  <c r="P430" i="1"/>
  <c r="T430" i="1" s="1"/>
  <c r="N250" i="1"/>
  <c r="R251" i="1" s="1"/>
  <c r="P416" i="1"/>
  <c r="T416" i="1" s="1"/>
  <c r="O266" i="1"/>
  <c r="S266" i="1" s="1"/>
  <c r="P402" i="1"/>
  <c r="T402" i="1" s="1"/>
  <c r="O252" i="1"/>
  <c r="S252" i="1" s="1"/>
  <c r="N222" i="1"/>
  <c r="R223" i="1" s="1"/>
  <c r="P388" i="1"/>
  <c r="T388" i="1" s="1"/>
  <c r="O238" i="1"/>
  <c r="S238" i="1" s="1"/>
  <c r="P374" i="1"/>
  <c r="T374" i="1" s="1"/>
  <c r="O224" i="1"/>
  <c r="S224" i="1" s="1"/>
  <c r="P360" i="1"/>
  <c r="T360" i="1" s="1"/>
  <c r="O210" i="1"/>
  <c r="S210" i="1" s="1"/>
  <c r="P346" i="1"/>
  <c r="T346" i="1" s="1"/>
  <c r="N166" i="1"/>
  <c r="P332" i="1"/>
  <c r="T332" i="1" s="1"/>
  <c r="O182" i="1"/>
  <c r="S182" i="1" s="1"/>
  <c r="P318" i="1"/>
  <c r="T318" i="1" s="1"/>
  <c r="P304" i="1"/>
  <c r="T304" i="1" s="1"/>
  <c r="O154" i="1"/>
  <c r="S154" i="1" s="1"/>
  <c r="P290" i="1"/>
  <c r="T290" i="1" s="1"/>
  <c r="O140" i="1"/>
  <c r="S140" i="1" s="1"/>
  <c r="P276" i="1"/>
  <c r="T276" i="1" s="1"/>
  <c r="N96" i="1"/>
  <c r="R97" i="1" s="1"/>
  <c r="O126" i="1"/>
  <c r="S126" i="1" s="1"/>
  <c r="P262" i="1"/>
  <c r="T262" i="1" s="1"/>
  <c r="P248" i="1"/>
  <c r="T248" i="1" s="1"/>
  <c r="O98" i="1"/>
  <c r="S98" i="1" s="1"/>
  <c r="N68" i="1"/>
  <c r="R69" i="1" s="1"/>
  <c r="P234" i="1"/>
  <c r="T234" i="1" s="1"/>
  <c r="N54" i="1"/>
  <c r="R55" i="1" s="1"/>
  <c r="P220" i="1"/>
  <c r="T220" i="1" s="1"/>
  <c r="N40" i="1"/>
  <c r="R41" i="1" s="1"/>
  <c r="O70" i="1"/>
  <c r="S70" i="1" s="1"/>
  <c r="M30" i="1"/>
  <c r="Q31" i="1" s="1"/>
  <c r="P206" i="1"/>
  <c r="T206" i="1" s="1"/>
  <c r="M16" i="1"/>
  <c r="Q17" i="1" s="1"/>
  <c r="M1225" i="1"/>
  <c r="Q1226" i="1" s="1"/>
  <c r="M1137" i="1"/>
  <c r="Q1138" i="1" s="1"/>
  <c r="M1066" i="1"/>
  <c r="Q1067" i="1" s="1"/>
  <c r="M1029" i="1"/>
  <c r="Q1030" i="1" s="1"/>
  <c r="M941" i="1"/>
  <c r="Q942" i="1" s="1"/>
  <c r="M870" i="1"/>
  <c r="Q871" i="1" s="1"/>
  <c r="M833" i="1"/>
  <c r="M745" i="1"/>
  <c r="Q746" i="1" s="1"/>
  <c r="M674" i="1"/>
  <c r="Q675" i="1" s="1"/>
  <c r="M637" i="1"/>
  <c r="Q638" i="1" s="1"/>
  <c r="M549" i="1"/>
  <c r="M478" i="1"/>
  <c r="Q479" i="1" s="1"/>
  <c r="M441" i="1"/>
  <c r="Q442" i="1" s="1"/>
  <c r="M353" i="1"/>
  <c r="Q354" i="1" s="1"/>
  <c r="M282" i="1"/>
  <c r="M245" i="1"/>
  <c r="Q246" i="1" s="1"/>
  <c r="M157" i="1"/>
  <c r="Q158" i="1" s="1"/>
  <c r="M100" i="1"/>
  <c r="Q101" i="1" s="1"/>
  <c r="M63" i="1"/>
  <c r="Q64" i="1" s="1"/>
  <c r="N1193" i="1"/>
  <c r="R1194" i="1" s="1"/>
  <c r="N1020" i="1"/>
  <c r="R1021" i="1" s="1"/>
  <c r="N978" i="1"/>
  <c r="R979" i="1" s="1"/>
  <c r="N908" i="1"/>
  <c r="R909" i="1" s="1"/>
  <c r="N866" i="1"/>
  <c r="R867" i="1" s="1"/>
  <c r="N755" i="1"/>
  <c r="V755" i="1" s="1"/>
  <c r="N642" i="1"/>
  <c r="N531" i="1"/>
  <c r="R532" i="1" s="1"/>
  <c r="N419" i="1"/>
  <c r="R420" i="1" s="1"/>
  <c r="N376" i="1"/>
  <c r="R377" i="1" s="1"/>
  <c r="N87" i="1"/>
  <c r="R88" i="1" s="1"/>
  <c r="N31" i="1"/>
  <c r="R32" i="1" s="1"/>
  <c r="O1237" i="1"/>
  <c r="S1237" i="1" s="1"/>
  <c r="O1205" i="1"/>
  <c r="S1205" i="1" s="1"/>
  <c r="O1176" i="1"/>
  <c r="S1176" i="1" s="1"/>
  <c r="O855" i="1"/>
  <c r="S855" i="1" s="1"/>
  <c r="O784" i="1"/>
  <c r="S784" i="1" s="1"/>
  <c r="O719" i="1"/>
  <c r="S719" i="1" s="1"/>
  <c r="O686" i="1"/>
  <c r="S686" i="1" s="1"/>
  <c r="O463" i="1"/>
  <c r="S463" i="1" s="1"/>
  <c r="O187" i="1"/>
  <c r="S187" i="1" s="1"/>
  <c r="P925" i="1"/>
  <c r="T925" i="1" s="1"/>
  <c r="P585" i="1"/>
  <c r="T585" i="1" s="1"/>
  <c r="P337" i="1"/>
  <c r="T337" i="1" s="1"/>
  <c r="P211" i="1"/>
  <c r="T211" i="1" s="1"/>
  <c r="O1242" i="1"/>
  <c r="S1242" i="1" s="1"/>
  <c r="O1200" i="1"/>
  <c r="S1200" i="1" s="1"/>
  <c r="O1172" i="1"/>
  <c r="S1172" i="1" s="1"/>
  <c r="O1144" i="1"/>
  <c r="S1144" i="1" s="1"/>
  <c r="O1102" i="1"/>
  <c r="S1102" i="1" s="1"/>
  <c r="O1074" i="1"/>
  <c r="S1074" i="1" s="1"/>
  <c r="O1046" i="1"/>
  <c r="S1046" i="1" s="1"/>
  <c r="O1018" i="1"/>
  <c r="S1018" i="1" s="1"/>
  <c r="P1112" i="1"/>
  <c r="T1112" i="1" s="1"/>
  <c r="O962" i="1"/>
  <c r="S962" i="1" s="1"/>
  <c r="O934" i="1"/>
  <c r="S934" i="1" s="1"/>
  <c r="O906" i="1"/>
  <c r="S906" i="1" s="1"/>
  <c r="P1056" i="1"/>
  <c r="T1056" i="1" s="1"/>
  <c r="O878" i="1"/>
  <c r="S878" i="1" s="1"/>
  <c r="O850" i="1"/>
  <c r="S850" i="1" s="1"/>
  <c r="O808" i="1"/>
  <c r="S808" i="1" s="1"/>
  <c r="O780" i="1"/>
  <c r="S780" i="1" s="1"/>
  <c r="O738" i="1"/>
  <c r="S738" i="1" s="1"/>
  <c r="O696" i="1"/>
  <c r="S696" i="1" s="1"/>
  <c r="P846" i="1"/>
  <c r="T846" i="1" s="1"/>
  <c r="P804" i="1"/>
  <c r="T804" i="1" s="1"/>
  <c r="O654" i="1"/>
  <c r="S654" i="1" s="1"/>
  <c r="O612" i="1"/>
  <c r="S612" i="1" s="1"/>
  <c r="O570" i="1"/>
  <c r="S570" i="1" s="1"/>
  <c r="P720" i="1"/>
  <c r="T720" i="1" s="1"/>
  <c r="N498" i="1"/>
  <c r="R499" i="1" s="1"/>
  <c r="P678" i="1"/>
  <c r="T678" i="1" s="1"/>
  <c r="O500" i="1"/>
  <c r="S500" i="1" s="1"/>
  <c r="O360" i="1"/>
  <c r="S360" i="1" s="1"/>
  <c r="P510" i="1"/>
  <c r="T510" i="1" s="1"/>
  <c r="P412" i="1"/>
  <c r="T412" i="1" s="1"/>
  <c r="M1174" i="1"/>
  <c r="Q1175" i="1" s="1"/>
  <c r="M978" i="1"/>
  <c r="Q979" i="1" s="1"/>
  <c r="M922" i="1"/>
  <c r="Q923" i="1" s="1"/>
  <c r="M698" i="1"/>
  <c r="Q699" i="1" s="1"/>
  <c r="M642" i="1"/>
  <c r="Q643" i="1" s="1"/>
  <c r="M572" i="1"/>
  <c r="Q573" i="1" s="1"/>
  <c r="M488" i="1"/>
  <c r="Q489" i="1" s="1"/>
  <c r="M222" i="1"/>
  <c r="Q223" i="1" s="1"/>
  <c r="O1228" i="1"/>
  <c r="S1228" i="1" s="1"/>
  <c r="O1214" i="1"/>
  <c r="S1214" i="1" s="1"/>
  <c r="O1186" i="1"/>
  <c r="S1186" i="1" s="1"/>
  <c r="O1158" i="1"/>
  <c r="S1158" i="1" s="1"/>
  <c r="O1130" i="1"/>
  <c r="S1130" i="1" s="1"/>
  <c r="O1116" i="1"/>
  <c r="S1116" i="1" s="1"/>
  <c r="N1086" i="1"/>
  <c r="R1087" i="1" s="1"/>
  <c r="O1088" i="1"/>
  <c r="S1088" i="1" s="1"/>
  <c r="O1060" i="1"/>
  <c r="S1060" i="1" s="1"/>
  <c r="O1032" i="1"/>
  <c r="S1032" i="1" s="1"/>
  <c r="O1004" i="1"/>
  <c r="S1004" i="1" s="1"/>
  <c r="O990" i="1"/>
  <c r="S990" i="1" s="1"/>
  <c r="O976" i="1"/>
  <c r="S976" i="1" s="1"/>
  <c r="P1098" i="1"/>
  <c r="T1098" i="1" s="1"/>
  <c r="O948" i="1"/>
  <c r="S948" i="1" s="1"/>
  <c r="O920" i="1"/>
  <c r="S920" i="1" s="1"/>
  <c r="N890" i="1"/>
  <c r="R891" i="1" s="1"/>
  <c r="O892" i="1"/>
  <c r="S892" i="1" s="1"/>
  <c r="P1042" i="1"/>
  <c r="T1042" i="1" s="1"/>
  <c r="O864" i="1"/>
  <c r="S864" i="1" s="1"/>
  <c r="O836" i="1"/>
  <c r="S836" i="1" s="1"/>
  <c r="O822" i="1"/>
  <c r="S822" i="1" s="1"/>
  <c r="P972" i="1"/>
  <c r="T972" i="1" s="1"/>
  <c r="O794" i="1"/>
  <c r="S794" i="1" s="1"/>
  <c r="P944" i="1"/>
  <c r="T944" i="1" s="1"/>
  <c r="P916" i="1"/>
  <c r="T916" i="1" s="1"/>
  <c r="O766" i="1"/>
  <c r="S766" i="1" s="1"/>
  <c r="P902" i="1"/>
  <c r="T902" i="1" s="1"/>
  <c r="O752" i="1"/>
  <c r="S752" i="1" s="1"/>
  <c r="O724" i="1"/>
  <c r="S724" i="1" s="1"/>
  <c r="N694" i="1"/>
  <c r="R695" i="1" s="1"/>
  <c r="P860" i="1"/>
  <c r="T860" i="1" s="1"/>
  <c r="O710" i="1"/>
  <c r="S710" i="1" s="1"/>
  <c r="O682" i="1"/>
  <c r="S682" i="1" s="1"/>
  <c r="O668" i="1"/>
  <c r="S668" i="1" s="1"/>
  <c r="O640" i="1"/>
  <c r="S640" i="1" s="1"/>
  <c r="P790" i="1"/>
  <c r="T790" i="1" s="1"/>
  <c r="O626" i="1"/>
  <c r="S626" i="1" s="1"/>
  <c r="O598" i="1"/>
  <c r="S598" i="1" s="1"/>
  <c r="O584" i="1"/>
  <c r="S584" i="1" s="1"/>
  <c r="P706" i="1"/>
  <c r="T706" i="1" s="1"/>
  <c r="O556" i="1"/>
  <c r="S556" i="1" s="1"/>
  <c r="O542" i="1"/>
  <c r="S542" i="1" s="1"/>
  <c r="P664" i="1"/>
  <c r="T664" i="1" s="1"/>
  <c r="O514" i="1"/>
  <c r="S514" i="1" s="1"/>
  <c r="P636" i="1"/>
  <c r="T636" i="1" s="1"/>
  <c r="P594" i="1"/>
  <c r="T594" i="1" s="1"/>
  <c r="P538" i="1"/>
  <c r="T538" i="1" s="1"/>
  <c r="O374" i="1"/>
  <c r="S374" i="1" s="1"/>
  <c r="P496" i="1"/>
  <c r="T496" i="1" s="1"/>
  <c r="N316" i="1"/>
  <c r="R317" i="1" s="1"/>
  <c r="P468" i="1"/>
  <c r="T468" i="1" s="1"/>
  <c r="P398" i="1"/>
  <c r="T398" i="1" s="1"/>
  <c r="N218" i="1"/>
  <c r="R219" i="1" s="1"/>
  <c r="O248" i="1"/>
  <c r="S248" i="1" s="1"/>
  <c r="O234" i="1"/>
  <c r="S234" i="1" s="1"/>
  <c r="N190" i="1"/>
  <c r="R191" i="1" s="1"/>
  <c r="O206" i="1"/>
  <c r="S206" i="1" s="1"/>
  <c r="P342" i="1"/>
  <c r="T342" i="1" s="1"/>
  <c r="O178" i="1"/>
  <c r="S178" i="1" s="1"/>
  <c r="O164" i="1"/>
  <c r="S164" i="1" s="1"/>
  <c r="P314" i="1"/>
  <c r="T314" i="1" s="1"/>
  <c r="P300" i="1"/>
  <c r="T300" i="1" s="1"/>
  <c r="P286" i="1"/>
  <c r="T286" i="1" s="1"/>
  <c r="P272" i="1"/>
  <c r="O122" i="1"/>
  <c r="S122" i="1" s="1"/>
  <c r="P258" i="1"/>
  <c r="T258" i="1" s="1"/>
  <c r="O66" i="1"/>
  <c r="S66" i="1" s="1"/>
  <c r="M1244" i="1"/>
  <c r="Q1245" i="1" s="1"/>
  <c r="M1230" i="1"/>
  <c r="Q1231" i="1" s="1"/>
  <c r="M1202" i="1"/>
  <c r="Q1203" i="1" s="1"/>
  <c r="M1188" i="1"/>
  <c r="Q1189" i="1" s="1"/>
  <c r="M1160" i="1"/>
  <c r="Q1161" i="1" s="1"/>
  <c r="M1146" i="1"/>
  <c r="Q1147" i="1" s="1"/>
  <c r="M1132" i="1"/>
  <c r="Q1133" i="1" s="1"/>
  <c r="M1104" i="1"/>
  <c r="Q1105" i="1" s="1"/>
  <c r="M1090" i="1"/>
  <c r="Q1091" i="1" s="1"/>
  <c r="M1076" i="1"/>
  <c r="Q1077" i="1" s="1"/>
  <c r="M1062" i="1"/>
  <c r="Q1063" i="1" s="1"/>
  <c r="M1034" i="1"/>
  <c r="Q1035" i="1" s="1"/>
  <c r="M1020" i="1"/>
  <c r="Q1021" i="1" s="1"/>
  <c r="M1006" i="1"/>
  <c r="Q1007" i="1" s="1"/>
  <c r="M992" i="1"/>
  <c r="Q993" i="1" s="1"/>
  <c r="M964" i="1"/>
  <c r="Q965" i="1" s="1"/>
  <c r="M950" i="1"/>
  <c r="Q951" i="1" s="1"/>
  <c r="M936" i="1"/>
  <c r="Q937" i="1" s="1"/>
  <c r="M908" i="1"/>
  <c r="Q909" i="1" s="1"/>
  <c r="M894" i="1"/>
  <c r="Q895" i="1" s="1"/>
  <c r="M866" i="1"/>
  <c r="Q867" i="1" s="1"/>
  <c r="M852" i="1"/>
  <c r="Q853" i="1" s="1"/>
  <c r="M838" i="1"/>
  <c r="M810" i="1"/>
  <c r="Q811" i="1" s="1"/>
  <c r="M796" i="1"/>
  <c r="Q797" i="1" s="1"/>
  <c r="M782" i="1"/>
  <c r="Q783" i="1" s="1"/>
  <c r="M768" i="1"/>
  <c r="Q769" i="1" s="1"/>
  <c r="M740" i="1"/>
  <c r="Q741" i="1" s="1"/>
  <c r="M726" i="1"/>
  <c r="M712" i="1"/>
  <c r="Q713" i="1" s="1"/>
  <c r="M684" i="1"/>
  <c r="Q685" i="1" s="1"/>
  <c r="M670" i="1"/>
  <c r="Q671" i="1" s="1"/>
  <c r="M656" i="1"/>
  <c r="Q657" i="1" s="1"/>
  <c r="M628" i="1"/>
  <c r="Q629" i="1" s="1"/>
  <c r="M614" i="1"/>
  <c r="Q615" i="1" s="1"/>
  <c r="M600" i="1"/>
  <c r="Q601" i="1" s="1"/>
  <c r="M586" i="1"/>
  <c r="Q587" i="1" s="1"/>
  <c r="M558" i="1"/>
  <c r="Q559" i="1" s="1"/>
  <c r="M544" i="1"/>
  <c r="Q545" i="1" s="1"/>
  <c r="M530" i="1"/>
  <c r="Q531" i="1" s="1"/>
  <c r="M516" i="1"/>
  <c r="Q517" i="1" s="1"/>
  <c r="M502" i="1"/>
  <c r="Q503" i="1" s="1"/>
  <c r="M474" i="1"/>
  <c r="Q475" i="1" s="1"/>
  <c r="M460" i="1"/>
  <c r="Q461" i="1" s="1"/>
  <c r="M446" i="1"/>
  <c r="Q447" i="1" s="1"/>
  <c r="M432" i="1"/>
  <c r="Q433" i="1" s="1"/>
  <c r="M404" i="1"/>
  <c r="Q405" i="1" s="1"/>
  <c r="M390" i="1"/>
  <c r="Q391" i="1" s="1"/>
  <c r="M376" i="1"/>
  <c r="Q377" i="1" s="1"/>
  <c r="M362" i="1"/>
  <c r="Q363" i="1" s="1"/>
  <c r="M334" i="1"/>
  <c r="Q335" i="1" s="1"/>
  <c r="M320" i="1"/>
  <c r="Q321" i="1" s="1"/>
  <c r="M306" i="1"/>
  <c r="Q307" i="1" s="1"/>
  <c r="M292" i="1"/>
  <c r="Q293" i="1" s="1"/>
  <c r="M264" i="1"/>
  <c r="Q265" i="1" s="1"/>
  <c r="M250" i="1"/>
  <c r="M236" i="1"/>
  <c r="Q237" i="1" s="1"/>
  <c r="M208" i="1"/>
  <c r="Q209" i="1" s="1"/>
  <c r="M180" i="1"/>
  <c r="Q181" i="1" s="1"/>
  <c r="M166" i="1"/>
  <c r="Q167" i="1" s="1"/>
  <c r="M152" i="1"/>
  <c r="Q153" i="1" s="1"/>
  <c r="N1058" i="1"/>
  <c r="R1059" i="1" s="1"/>
  <c r="N960" i="1"/>
  <c r="R961" i="1" s="1"/>
  <c r="N847" i="1"/>
  <c r="R848" i="1" s="1"/>
  <c r="N749" i="1"/>
  <c r="R750" i="1" s="1"/>
  <c r="N441" i="1"/>
  <c r="R442" i="1" s="1"/>
  <c r="N343" i="1"/>
  <c r="R344" i="1" s="1"/>
  <c r="N204" i="1"/>
  <c r="R205" i="1" s="1"/>
  <c r="N134" i="1"/>
  <c r="R135" i="1" s="1"/>
  <c r="N64" i="1"/>
  <c r="R65" i="1" s="1"/>
  <c r="O472" i="1"/>
  <c r="S472" i="1" s="1"/>
  <c r="O318" i="1"/>
  <c r="S318" i="1" s="1"/>
  <c r="O205" i="1"/>
  <c r="S205" i="1" s="1"/>
  <c r="P1168" i="1"/>
  <c r="P1014" i="1"/>
  <c r="T1014" i="1" s="1"/>
  <c r="P482" i="1"/>
  <c r="T482" i="1" s="1"/>
  <c r="P355" i="1"/>
  <c r="T355" i="1" s="1"/>
  <c r="O1255" i="1"/>
  <c r="S1255" i="1" s="1"/>
  <c r="O1241" i="1"/>
  <c r="S1241" i="1" s="1"/>
  <c r="O1227" i="1"/>
  <c r="S1227" i="1" s="1"/>
  <c r="O1213" i="1"/>
  <c r="S1213" i="1" s="1"/>
  <c r="O1199" i="1"/>
  <c r="S1199" i="1" s="1"/>
  <c r="O1185" i="1"/>
  <c r="S1185" i="1" s="1"/>
  <c r="O1171" i="1"/>
  <c r="S1171" i="1" s="1"/>
  <c r="O1157" i="1"/>
  <c r="S1157" i="1" s="1"/>
  <c r="O1143" i="1"/>
  <c r="S1143" i="1" s="1"/>
  <c r="O1129" i="1"/>
  <c r="S1129" i="1" s="1"/>
  <c r="O1115" i="1"/>
  <c r="S1115" i="1" s="1"/>
  <c r="O1101" i="1"/>
  <c r="S1101" i="1" s="1"/>
  <c r="P1251" i="1"/>
  <c r="T1251" i="1" s="1"/>
  <c r="N1071" i="1"/>
  <c r="R1072" i="1" s="1"/>
  <c r="O1087" i="1"/>
  <c r="S1087" i="1" s="1"/>
  <c r="P1237" i="1"/>
  <c r="T1237" i="1" s="1"/>
  <c r="O1073" i="1"/>
  <c r="S1073" i="1" s="1"/>
  <c r="O1059" i="1"/>
  <c r="S1059" i="1" s="1"/>
  <c r="O1045" i="1"/>
  <c r="S1045" i="1" s="1"/>
  <c r="W1045" i="1" s="1"/>
  <c r="O1031" i="1"/>
  <c r="S1031" i="1" s="1"/>
  <c r="O1017" i="1"/>
  <c r="S1017" i="1" s="1"/>
  <c r="O1003" i="1"/>
  <c r="S1003" i="1" s="1"/>
  <c r="O989" i="1"/>
  <c r="S989" i="1" s="1"/>
  <c r="O975" i="1"/>
  <c r="S975" i="1" s="1"/>
  <c r="O961" i="1"/>
  <c r="S961" i="1" s="1"/>
  <c r="P1111" i="1"/>
  <c r="T1111" i="1" s="1"/>
  <c r="P1097" i="1"/>
  <c r="T1097" i="1" s="1"/>
  <c r="O947" i="1"/>
  <c r="S947" i="1" s="1"/>
  <c r="O933" i="1"/>
  <c r="S933" i="1" s="1"/>
  <c r="P1083" i="1"/>
  <c r="T1083" i="1" s="1"/>
  <c r="O919" i="1"/>
  <c r="S919" i="1" s="1"/>
  <c r="O905" i="1"/>
  <c r="S905" i="1" s="1"/>
  <c r="N875" i="1"/>
  <c r="R876" i="1" s="1"/>
  <c r="O891" i="1"/>
  <c r="S891" i="1" s="1"/>
  <c r="O877" i="1"/>
  <c r="S877" i="1" s="1"/>
  <c r="O863" i="1"/>
  <c r="S863" i="1" s="1"/>
  <c r="O849" i="1"/>
  <c r="S849" i="1" s="1"/>
  <c r="P999" i="1"/>
  <c r="T999" i="1" s="1"/>
  <c r="O835" i="1"/>
  <c r="S835" i="1" s="1"/>
  <c r="P985" i="1"/>
  <c r="T985" i="1" s="1"/>
  <c r="O821" i="1"/>
  <c r="S821" i="1" s="1"/>
  <c r="O807" i="1"/>
  <c r="S807" i="1" s="1"/>
  <c r="O793" i="1"/>
  <c r="S793" i="1" s="1"/>
  <c r="P943" i="1"/>
  <c r="T943" i="1" s="1"/>
  <c r="O779" i="1"/>
  <c r="S779" i="1" s="1"/>
  <c r="O765" i="1"/>
  <c r="S765" i="1" s="1"/>
  <c r="P901" i="1"/>
  <c r="T901" i="1" s="1"/>
  <c r="O751" i="1"/>
  <c r="S751" i="1" s="1"/>
  <c r="O737" i="1"/>
  <c r="S737" i="1" s="1"/>
  <c r="O723" i="1"/>
  <c r="S723" i="1" s="1"/>
  <c r="P873" i="1"/>
  <c r="T873" i="1" s="1"/>
  <c r="O709" i="1"/>
  <c r="S709" i="1" s="1"/>
  <c r="N679" i="1"/>
  <c r="R680" i="1" s="1"/>
  <c r="P845" i="1"/>
  <c r="T845" i="1" s="1"/>
  <c r="O695" i="1"/>
  <c r="S695" i="1" s="1"/>
  <c r="O681" i="1"/>
  <c r="S681" i="1" s="1"/>
  <c r="O667" i="1"/>
  <c r="S667" i="1" s="1"/>
  <c r="O653" i="1"/>
  <c r="S653" i="1" s="1"/>
  <c r="O639" i="1"/>
  <c r="S639" i="1" s="1"/>
  <c r="P789" i="1"/>
  <c r="T789" i="1" s="1"/>
  <c r="O625" i="1"/>
  <c r="S625" i="1" s="1"/>
  <c r="P775" i="1"/>
  <c r="T775" i="1" s="1"/>
  <c r="O611" i="1"/>
  <c r="S611" i="1" s="1"/>
  <c r="O597" i="1"/>
  <c r="S597" i="1" s="1"/>
  <c r="O583" i="1"/>
  <c r="S583" i="1" s="1"/>
  <c r="P733" i="1"/>
  <c r="O569" i="1"/>
  <c r="S569" i="1" s="1"/>
  <c r="P719" i="1"/>
  <c r="T719" i="1" s="1"/>
  <c r="O555" i="1"/>
  <c r="S555" i="1" s="1"/>
  <c r="P691" i="1"/>
  <c r="T691" i="1" s="1"/>
  <c r="O541" i="1"/>
  <c r="S541" i="1" s="1"/>
  <c r="P663" i="1"/>
  <c r="T663" i="1" s="1"/>
  <c r="N483" i="1"/>
  <c r="R484" i="1" s="1"/>
  <c r="P649" i="1"/>
  <c r="T649" i="1" s="1"/>
  <c r="P635" i="1"/>
  <c r="T635" i="1" s="1"/>
  <c r="O471" i="1"/>
  <c r="S471" i="1" s="1"/>
  <c r="P607" i="1"/>
  <c r="T607" i="1" s="1"/>
  <c r="O457" i="1"/>
  <c r="S457" i="1" s="1"/>
  <c r="P593" i="1"/>
  <c r="T593" i="1" s="1"/>
  <c r="O443" i="1"/>
  <c r="S443" i="1" s="1"/>
  <c r="P565" i="1"/>
  <c r="T565" i="1" s="1"/>
  <c r="P551" i="1"/>
  <c r="T551" i="1" s="1"/>
  <c r="P523" i="1"/>
  <c r="T523" i="1" s="1"/>
  <c r="O359" i="1"/>
  <c r="S359" i="1" s="1"/>
  <c r="P495" i="1"/>
  <c r="T495" i="1" s="1"/>
  <c r="O345" i="1"/>
  <c r="S345" i="1" s="1"/>
  <c r="O331" i="1"/>
  <c r="S331" i="1" s="1"/>
  <c r="P467" i="1"/>
  <c r="T467" i="1" s="1"/>
  <c r="P453" i="1"/>
  <c r="T453" i="1" s="1"/>
  <c r="P439" i="1"/>
  <c r="T439" i="1" s="1"/>
  <c r="P397" i="1"/>
  <c r="T397" i="1" s="1"/>
  <c r="P383" i="1"/>
  <c r="T383" i="1" s="1"/>
  <c r="N175" i="1"/>
  <c r="R176" i="1" s="1"/>
  <c r="P341" i="1"/>
  <c r="T341" i="1" s="1"/>
  <c r="O191" i="1"/>
  <c r="S191" i="1" s="1"/>
  <c r="O177" i="1"/>
  <c r="S177" i="1" s="1"/>
  <c r="O163" i="1"/>
  <c r="S163" i="1" s="1"/>
  <c r="P313" i="1"/>
  <c r="T313" i="1" s="1"/>
  <c r="O149" i="1"/>
  <c r="S149" i="1" s="1"/>
  <c r="P285" i="1"/>
  <c r="T285" i="1" s="1"/>
  <c r="N105" i="1"/>
  <c r="R106" i="1" s="1"/>
  <c r="O135" i="1"/>
  <c r="S135" i="1" s="1"/>
  <c r="P257" i="1"/>
  <c r="T257" i="1" s="1"/>
  <c r="P229" i="1"/>
  <c r="T229" i="1" s="1"/>
  <c r="M1257" i="1"/>
  <c r="M1243" i="1"/>
  <c r="Q1244" i="1" s="1"/>
  <c r="M1229" i="1"/>
  <c r="Q1230" i="1" s="1"/>
  <c r="M1215" i="1"/>
  <c r="Q1216" i="1" s="1"/>
  <c r="M1201" i="1"/>
  <c r="Q1202" i="1" s="1"/>
  <c r="M1187" i="1"/>
  <c r="Q1188" i="1" s="1"/>
  <c r="M1173" i="1"/>
  <c r="Q1174" i="1" s="1"/>
  <c r="M1159" i="1"/>
  <c r="Q1160" i="1" s="1"/>
  <c r="M1145" i="1"/>
  <c r="Q1146" i="1" s="1"/>
  <c r="M1131" i="1"/>
  <c r="Q1132" i="1" s="1"/>
  <c r="M1117" i="1"/>
  <c r="Q1118" i="1" s="1"/>
  <c r="M1103" i="1"/>
  <c r="Q1104" i="1" s="1"/>
  <c r="M1089" i="1"/>
  <c r="Q1090" i="1" s="1"/>
  <c r="M1075" i="1"/>
  <c r="Q1076" i="1" s="1"/>
  <c r="M1061" i="1"/>
  <c r="Q1062" i="1" s="1"/>
  <c r="M1047" i="1"/>
  <c r="Q1048" i="1" s="1"/>
  <c r="M1033" i="1"/>
  <c r="Q1034" i="1" s="1"/>
  <c r="M1019" i="1"/>
  <c r="Q1020" i="1" s="1"/>
  <c r="M1005" i="1"/>
  <c r="Q1006" i="1" s="1"/>
  <c r="M991" i="1"/>
  <c r="Q992" i="1" s="1"/>
  <c r="M977" i="1"/>
  <c r="Q978" i="1" s="1"/>
  <c r="M963" i="1"/>
  <c r="Q964" i="1" s="1"/>
  <c r="M949" i="1"/>
  <c r="Q950" i="1" s="1"/>
  <c r="M935" i="1"/>
  <c r="Q936" i="1" s="1"/>
  <c r="M921" i="1"/>
  <c r="Q922" i="1" s="1"/>
  <c r="M907" i="1"/>
  <c r="Q908" i="1" s="1"/>
  <c r="M893" i="1"/>
  <c r="Q894" i="1" s="1"/>
  <c r="M879" i="1"/>
  <c r="Q880" i="1" s="1"/>
  <c r="M865" i="1"/>
  <c r="Q866" i="1" s="1"/>
  <c r="M851" i="1"/>
  <c r="Q852" i="1" s="1"/>
  <c r="M837" i="1"/>
  <c r="Q838" i="1" s="1"/>
  <c r="M823" i="1"/>
  <c r="Q824" i="1" s="1"/>
  <c r="M809" i="1"/>
  <c r="Q810" i="1" s="1"/>
  <c r="M795" i="1"/>
  <c r="M781" i="1"/>
  <c r="Q782" i="1" s="1"/>
  <c r="M767" i="1"/>
  <c r="Q768" i="1" s="1"/>
  <c r="M753" i="1"/>
  <c r="Q754" i="1" s="1"/>
  <c r="M739" i="1"/>
  <c r="Q740" i="1" s="1"/>
  <c r="M725" i="1"/>
  <c r="Q726" i="1" s="1"/>
  <c r="M711" i="1"/>
  <c r="Q712" i="1" s="1"/>
  <c r="M697" i="1"/>
  <c r="Q698" i="1" s="1"/>
  <c r="M683" i="1"/>
  <c r="Q684" i="1" s="1"/>
  <c r="M669" i="1"/>
  <c r="Q670" i="1" s="1"/>
  <c r="M655" i="1"/>
  <c r="Q656" i="1" s="1"/>
  <c r="M641" i="1"/>
  <c r="Q642" i="1" s="1"/>
  <c r="M627" i="1"/>
  <c r="Q628" i="1" s="1"/>
  <c r="M613" i="1"/>
  <c r="Q614" i="1" s="1"/>
  <c r="M599" i="1"/>
  <c r="Q600" i="1" s="1"/>
  <c r="M585" i="1"/>
  <c r="Q586" i="1" s="1"/>
  <c r="M571" i="1"/>
  <c r="Q572" i="1" s="1"/>
  <c r="M557" i="1"/>
  <c r="M543" i="1"/>
  <c r="Q544" i="1" s="1"/>
  <c r="M529" i="1"/>
  <c r="Q530" i="1" s="1"/>
  <c r="M515" i="1"/>
  <c r="M501" i="1"/>
  <c r="Q502" i="1" s="1"/>
  <c r="M487" i="1"/>
  <c r="Q488" i="1" s="1"/>
  <c r="M473" i="1"/>
  <c r="Q474" i="1" s="1"/>
  <c r="M459" i="1"/>
  <c r="Q460" i="1" s="1"/>
  <c r="M445" i="1"/>
  <c r="Q446" i="1" s="1"/>
  <c r="M431" i="1"/>
  <c r="Q432" i="1" s="1"/>
  <c r="M417" i="1"/>
  <c r="Q418" i="1" s="1"/>
  <c r="M403" i="1"/>
  <c r="Q404" i="1" s="1"/>
  <c r="M389" i="1"/>
  <c r="Q390" i="1" s="1"/>
  <c r="M375" i="1"/>
  <c r="Q376" i="1" s="1"/>
  <c r="M361" i="1"/>
  <c r="Q362" i="1" s="1"/>
  <c r="M347" i="1"/>
  <c r="Q348" i="1" s="1"/>
  <c r="M333" i="1"/>
  <c r="Q334" i="1" s="1"/>
  <c r="M319" i="1"/>
  <c r="Q320" i="1" s="1"/>
  <c r="M305" i="1"/>
  <c r="Q306" i="1" s="1"/>
  <c r="M291" i="1"/>
  <c r="Q292" i="1" s="1"/>
  <c r="M277" i="1"/>
  <c r="Q278" i="1" s="1"/>
  <c r="M263" i="1"/>
  <c r="Q264" i="1" s="1"/>
  <c r="M249" i="1"/>
  <c r="Q250" i="1" s="1"/>
  <c r="M235" i="1"/>
  <c r="Q236" i="1" s="1"/>
  <c r="M221" i="1"/>
  <c r="Q222" i="1" s="1"/>
  <c r="M207" i="1"/>
  <c r="Q208" i="1" s="1"/>
  <c r="M193" i="1"/>
  <c r="Q194" i="1" s="1"/>
  <c r="M179" i="1"/>
  <c r="Q180" i="1" s="1"/>
  <c r="M165" i="1"/>
  <c r="M151" i="1"/>
  <c r="Q152" i="1" s="1"/>
  <c r="N1170" i="1"/>
  <c r="R1171" i="1" s="1"/>
  <c r="N1057" i="1"/>
  <c r="R1058" i="1" s="1"/>
  <c r="N959" i="1"/>
  <c r="R960" i="1" s="1"/>
  <c r="N862" i="1"/>
  <c r="R863" i="1" s="1"/>
  <c r="N764" i="1"/>
  <c r="R765" i="1" s="1"/>
  <c r="N651" i="1"/>
  <c r="R652" i="1" s="1"/>
  <c r="N553" i="1"/>
  <c r="R554" i="1" s="1"/>
  <c r="N456" i="1"/>
  <c r="R457" i="1" s="1"/>
  <c r="N358" i="1"/>
  <c r="R359" i="1" s="1"/>
  <c r="N273" i="1"/>
  <c r="R274" i="1" s="1"/>
  <c r="N203" i="1"/>
  <c r="N133" i="1"/>
  <c r="R134" i="1" s="1"/>
  <c r="N63" i="1"/>
  <c r="R64" i="1" s="1"/>
  <c r="O317" i="1"/>
  <c r="S317" i="1" s="1"/>
  <c r="O94" i="1"/>
  <c r="S94" i="1" s="1"/>
  <c r="P1167" i="1"/>
  <c r="T1167" i="1" s="1"/>
  <c r="P1013" i="1"/>
  <c r="P509" i="1"/>
  <c r="T509" i="1" s="1"/>
  <c r="P481" i="1"/>
  <c r="T481" i="1" s="1"/>
  <c r="P216" i="1"/>
  <c r="T216" i="1" s="1"/>
  <c r="O64" i="1"/>
  <c r="S64" i="1" s="1"/>
  <c r="N568" i="1"/>
  <c r="R569" i="1" s="1"/>
  <c r="N455" i="1"/>
  <c r="R456" i="1" s="1"/>
  <c r="N357" i="1"/>
  <c r="R358" i="1" s="1"/>
  <c r="O513" i="1"/>
  <c r="S513" i="1" s="1"/>
  <c r="O402" i="1"/>
  <c r="S402" i="1" s="1"/>
  <c r="O247" i="1"/>
  <c r="S247" i="1" s="1"/>
  <c r="O93" i="1"/>
  <c r="S93" i="1" s="1"/>
  <c r="P1210" i="1"/>
  <c r="T1210" i="1" s="1"/>
  <c r="P1055" i="1"/>
  <c r="T1055" i="1" s="1"/>
  <c r="P915" i="1"/>
  <c r="T915" i="1" s="1"/>
  <c r="P748" i="1"/>
  <c r="T748" i="1" s="1"/>
  <c r="P384" i="1"/>
  <c r="T384" i="1" s="1"/>
  <c r="P215" i="1"/>
  <c r="T215" i="1" s="1"/>
  <c r="R343" i="1" l="1"/>
  <c r="R460" i="1"/>
  <c r="U1073" i="1"/>
  <c r="Q1074" i="1"/>
  <c r="X662" i="1"/>
  <c r="T662" i="1"/>
  <c r="V945" i="1"/>
  <c r="R946" i="1"/>
  <c r="K139" i="1"/>
  <c r="U139" i="1" s="1"/>
  <c r="K573" i="1"/>
  <c r="K335" i="1"/>
  <c r="W335" i="1" s="1"/>
  <c r="Q927" i="1"/>
  <c r="U927" i="1" s="1"/>
  <c r="R435" i="1"/>
  <c r="V209" i="1"/>
  <c r="R210" i="1"/>
  <c r="U651" i="1"/>
  <c r="Q652" i="1"/>
  <c r="U792" i="1"/>
  <c r="Q793" i="1"/>
  <c r="U1054" i="1"/>
  <c r="Q1055" i="1"/>
  <c r="U201" i="1"/>
  <c r="Q202" i="1"/>
  <c r="Q831" i="1"/>
  <c r="V165" i="1"/>
  <c r="R166" i="1"/>
  <c r="V320" i="1"/>
  <c r="R321" i="1"/>
  <c r="V293" i="1"/>
  <c r="R294" i="1"/>
  <c r="W324" i="1"/>
  <c r="X740" i="1"/>
  <c r="T740" i="1"/>
  <c r="W1024" i="1"/>
  <c r="W1219" i="1"/>
  <c r="Q37" i="1"/>
  <c r="T380" i="1"/>
  <c r="Q715" i="1"/>
  <c r="V662" i="1"/>
  <c r="R663" i="1"/>
  <c r="V860" i="1"/>
  <c r="R861" i="1"/>
  <c r="K36" i="1"/>
  <c r="J197" i="1"/>
  <c r="J1151" i="1"/>
  <c r="K531" i="1"/>
  <c r="Q845" i="1"/>
  <c r="K408" i="1"/>
  <c r="J807" i="1"/>
  <c r="J954" i="1"/>
  <c r="J1192" i="1"/>
  <c r="V1192" i="1" s="1"/>
  <c r="K801" i="1"/>
  <c r="K833" i="1"/>
  <c r="U833" i="1" s="1"/>
  <c r="J190" i="1"/>
  <c r="K458" i="1"/>
  <c r="U458" i="1" s="1"/>
  <c r="J27" i="1"/>
  <c r="V27" i="1" s="1"/>
  <c r="J546" i="1"/>
  <c r="X546" i="1" s="1"/>
  <c r="K554" i="1"/>
  <c r="K222" i="1"/>
  <c r="R1209" i="1"/>
  <c r="Q743" i="1"/>
  <c r="R68" i="1"/>
  <c r="V321" i="1"/>
  <c r="U158" i="1"/>
  <c r="Q159" i="1"/>
  <c r="U506" i="1"/>
  <c r="Q507" i="1"/>
  <c r="V280" i="1"/>
  <c r="R281" i="1"/>
  <c r="T1024" i="1"/>
  <c r="X1024" i="1" s="1"/>
  <c r="U1070" i="1"/>
  <c r="Q1071" i="1"/>
  <c r="T838" i="1"/>
  <c r="X838" i="1" s="1"/>
  <c r="U956" i="1"/>
  <c r="Q957" i="1"/>
  <c r="V937" i="1"/>
  <c r="R938" i="1"/>
  <c r="T1219" i="1"/>
  <c r="X1219" i="1" s="1"/>
  <c r="W338" i="1"/>
  <c r="U330" i="1"/>
  <c r="Q331" i="1"/>
  <c r="R322" i="1"/>
  <c r="X1220" i="1"/>
  <c r="V733" i="1"/>
  <c r="R734" i="1"/>
  <c r="W502" i="1"/>
  <c r="W280" i="1"/>
  <c r="R37" i="1"/>
  <c r="T733" i="1"/>
  <c r="T1117" i="1"/>
  <c r="X1117" i="1" s="1"/>
  <c r="V290" i="1"/>
  <c r="R291" i="1"/>
  <c r="V528" i="1"/>
  <c r="R529" i="1"/>
  <c r="T1016" i="1"/>
  <c r="X1016" i="1" s="1"/>
  <c r="W956" i="1"/>
  <c r="Q29" i="1"/>
  <c r="Q727" i="1"/>
  <c r="X726" i="1"/>
  <c r="T726" i="1"/>
  <c r="V969" i="1"/>
  <c r="R970" i="1"/>
  <c r="T735" i="1"/>
  <c r="X735" i="1" s="1"/>
  <c r="W860" i="1"/>
  <c r="V1054" i="1"/>
  <c r="R1055" i="1"/>
  <c r="U280" i="1"/>
  <c r="Q281" i="1"/>
  <c r="U281" i="1" s="1"/>
  <c r="X1184" i="1"/>
  <c r="V506" i="1"/>
  <c r="Q453" i="1"/>
  <c r="X967" i="1"/>
  <c r="T967" i="1"/>
  <c r="R421" i="1"/>
  <c r="Q550" i="1"/>
  <c r="T486" i="1"/>
  <c r="X486" i="1" s="1"/>
  <c r="R1217" i="1"/>
  <c r="Q968" i="1"/>
  <c r="V1024" i="1"/>
  <c r="R1025" i="1"/>
  <c r="U1024" i="1"/>
  <c r="Q1025" i="1"/>
  <c r="U494" i="1"/>
  <c r="Q495" i="1"/>
  <c r="W735" i="1"/>
  <c r="R49" i="1"/>
  <c r="V118" i="1"/>
  <c r="V314" i="1"/>
  <c r="R315" i="1"/>
  <c r="U374" i="1"/>
  <c r="Q375" i="1"/>
  <c r="V917" i="1"/>
  <c r="R918" i="1"/>
  <c r="X833" i="1"/>
  <c r="T833" i="1"/>
  <c r="U749" i="1"/>
  <c r="Q750" i="1"/>
  <c r="V388" i="1"/>
  <c r="R389" i="1"/>
  <c r="K393" i="1"/>
  <c r="K729" i="1"/>
  <c r="J127" i="1"/>
  <c r="J463" i="1"/>
  <c r="J624" i="1"/>
  <c r="W624" i="1" s="1"/>
  <c r="J834" i="1"/>
  <c r="J346" i="1"/>
  <c r="U346" i="1" s="1"/>
  <c r="J472" i="1"/>
  <c r="J1011" i="1"/>
  <c r="K170" i="1"/>
  <c r="K1161" i="1"/>
  <c r="K1007" i="1"/>
  <c r="J1247" i="1"/>
  <c r="K471" i="1"/>
  <c r="K583" i="1"/>
  <c r="J646" i="1"/>
  <c r="J758" i="1"/>
  <c r="K752" i="1"/>
  <c r="U752" i="1" s="1"/>
  <c r="K532" i="1"/>
  <c r="U532" i="1" s="1"/>
  <c r="K1162" i="1"/>
  <c r="K259" i="1"/>
  <c r="X259" i="1" s="1"/>
  <c r="J22" i="1"/>
  <c r="U22" i="1" s="1"/>
  <c r="J519" i="1"/>
  <c r="K115" i="1"/>
  <c r="K1198" i="1"/>
  <c r="J44" i="1"/>
  <c r="K584" i="1"/>
  <c r="K962" i="1"/>
  <c r="J927" i="1"/>
  <c r="X927" i="1" s="1"/>
  <c r="K868" i="1"/>
  <c r="K47" i="1"/>
  <c r="K145" i="1"/>
  <c r="J271" i="1"/>
  <c r="U271" i="1" s="1"/>
  <c r="J369" i="1"/>
  <c r="J467" i="1"/>
  <c r="W467" i="1" s="1"/>
  <c r="J565" i="1"/>
  <c r="J663" i="1"/>
  <c r="J14" i="1"/>
  <c r="J112" i="1"/>
  <c r="K820" i="1"/>
  <c r="K1058" i="1"/>
  <c r="K1156" i="1"/>
  <c r="J622" i="1"/>
  <c r="U622" i="1" s="1"/>
  <c r="J818" i="1"/>
  <c r="J1014" i="1"/>
  <c r="J581" i="1"/>
  <c r="J679" i="1"/>
  <c r="W679" i="1" s="1"/>
  <c r="J1071" i="1"/>
  <c r="R350" i="1"/>
  <c r="V350" i="1" s="1"/>
  <c r="U165" i="1"/>
  <c r="Q166" i="1"/>
  <c r="U662" i="1"/>
  <c r="Q663" i="1"/>
  <c r="U733" i="1"/>
  <c r="Q734" i="1"/>
  <c r="R140" i="1"/>
  <c r="T942" i="1"/>
  <c r="X942" i="1" s="1"/>
  <c r="W57" i="1"/>
  <c r="Q183" i="1"/>
  <c r="U183" i="1" s="1"/>
  <c r="U246" i="1"/>
  <c r="Q247" i="1"/>
  <c r="T272" i="1"/>
  <c r="X272" i="1" s="1"/>
  <c r="T710" i="1"/>
  <c r="X710" i="1" s="1"/>
  <c r="W759" i="1"/>
  <c r="R954" i="1"/>
  <c r="V954" i="1" s="1"/>
  <c r="U1125" i="1"/>
  <c r="Q1126" i="1"/>
  <c r="Q185" i="1"/>
  <c r="U185" i="1" s="1"/>
  <c r="U659" i="1"/>
  <c r="Q660" i="1"/>
  <c r="T350" i="1"/>
  <c r="X350" i="1" s="1"/>
  <c r="V338" i="1"/>
  <c r="R339" i="1"/>
  <c r="V339" i="1" s="1"/>
  <c r="Q399" i="1"/>
  <c r="Q296" i="1"/>
  <c r="U50" i="1"/>
  <c r="Q51" i="1"/>
  <c r="R257" i="1"/>
  <c r="Q708" i="1"/>
  <c r="V838" i="1"/>
  <c r="R839" i="1"/>
  <c r="Q549" i="1"/>
  <c r="U549" i="1" s="1"/>
  <c r="U764" i="1"/>
  <c r="Q765" i="1"/>
  <c r="W761" i="1"/>
  <c r="X746" i="1"/>
  <c r="T746" i="1"/>
  <c r="T622" i="1"/>
  <c r="X622" i="1" s="1"/>
  <c r="T956" i="1"/>
  <c r="X956" i="1" s="1"/>
  <c r="R1185" i="1"/>
  <c r="W399" i="1"/>
  <c r="X773" i="1"/>
  <c r="T298" i="1"/>
  <c r="X298" i="1" s="1"/>
  <c r="X648" i="1"/>
  <c r="T648" i="1"/>
  <c r="Q1255" i="1"/>
  <c r="Q770" i="1"/>
  <c r="U418" i="1"/>
  <c r="Q419" i="1"/>
  <c r="U1157" i="1"/>
  <c r="Q1158" i="1"/>
  <c r="Q98" i="1"/>
  <c r="K148" i="1"/>
  <c r="J675" i="1"/>
  <c r="X675" i="1" s="1"/>
  <c r="J850" i="1"/>
  <c r="J1018" i="1"/>
  <c r="K324" i="1"/>
  <c r="K972" i="1"/>
  <c r="K468" i="1"/>
  <c r="K966" i="1"/>
  <c r="K423" i="1"/>
  <c r="U423" i="1" s="1"/>
  <c r="J21" i="1"/>
  <c r="J119" i="1"/>
  <c r="K1065" i="1"/>
  <c r="K1163" i="1"/>
  <c r="J784" i="1"/>
  <c r="T349" i="1"/>
  <c r="X349" i="1" s="1"/>
  <c r="R756" i="1"/>
  <c r="R72" i="1"/>
  <c r="V72" i="1" s="1"/>
  <c r="T828" i="1"/>
  <c r="X828" i="1" s="1"/>
  <c r="U557" i="1"/>
  <c r="Q558" i="1"/>
  <c r="R968" i="1"/>
  <c r="X280" i="1"/>
  <c r="T280" i="1"/>
  <c r="T1040" i="1"/>
  <c r="X1040" i="1" s="1"/>
  <c r="W1018" i="1"/>
  <c r="U546" i="1"/>
  <c r="Q547" i="1"/>
  <c r="V1152" i="1"/>
  <c r="R1153" i="1"/>
  <c r="U755" i="1"/>
  <c r="Q756" i="1"/>
  <c r="V1183" i="1"/>
  <c r="R1184" i="1"/>
  <c r="V1184" i="1" s="1"/>
  <c r="T858" i="1"/>
  <c r="X858" i="1" s="1"/>
  <c r="U293" i="1"/>
  <c r="Q294" i="1"/>
  <c r="U735" i="1"/>
  <c r="Q736" i="1"/>
  <c r="K561" i="1"/>
  <c r="J484" i="1"/>
  <c r="J890" i="1"/>
  <c r="K184" i="1"/>
  <c r="K769" i="1"/>
  <c r="K766" i="1"/>
  <c r="K757" i="1"/>
  <c r="V757" i="1" s="1"/>
  <c r="K978" i="1"/>
  <c r="J1118" i="1"/>
  <c r="J636" i="1"/>
  <c r="V636" i="1" s="1"/>
  <c r="T862" i="1"/>
  <c r="X862" i="1" s="1"/>
  <c r="U1056" i="1"/>
  <c r="Q1057" i="1"/>
  <c r="W200" i="1"/>
  <c r="Q834" i="1"/>
  <c r="Q839" i="1"/>
  <c r="W738" i="1"/>
  <c r="R1011" i="1"/>
  <c r="V1228" i="1"/>
  <c r="R1229" i="1"/>
  <c r="V956" i="1"/>
  <c r="R957" i="1"/>
  <c r="T1054" i="1"/>
  <c r="X1054" i="1" s="1"/>
  <c r="X1026" i="1"/>
  <c r="W960" i="1"/>
  <c r="V627" i="1"/>
  <c r="R628" i="1"/>
  <c r="W290" i="1"/>
  <c r="T525" i="1"/>
  <c r="X525" i="1" s="1"/>
  <c r="K162" i="1"/>
  <c r="K414" i="1"/>
  <c r="K1037" i="1"/>
  <c r="J645" i="1"/>
  <c r="J918" i="1"/>
  <c r="J367" i="1"/>
  <c r="J247" i="1"/>
  <c r="K111" i="1"/>
  <c r="V111" i="1" s="1"/>
  <c r="K328" i="1"/>
  <c r="X328" i="1" s="1"/>
  <c r="K132" i="1"/>
  <c r="K307" i="1"/>
  <c r="U307" i="1" s="1"/>
  <c r="K678" i="1"/>
  <c r="K867" i="1"/>
  <c r="U867" i="1" s="1"/>
  <c r="K492" i="1"/>
  <c r="K885" i="1"/>
  <c r="K1029" i="1"/>
  <c r="K1218" i="1"/>
  <c r="K448" i="1"/>
  <c r="J575" i="1"/>
  <c r="J855" i="1"/>
  <c r="K136" i="1"/>
  <c r="K234" i="1"/>
  <c r="K339" i="1"/>
  <c r="X339" i="1" s="1"/>
  <c r="J562" i="1"/>
  <c r="K605" i="1"/>
  <c r="W605" i="1" s="1"/>
  <c r="K68" i="1"/>
  <c r="J612" i="1"/>
  <c r="J202" i="1"/>
  <c r="J398" i="1"/>
  <c r="V398" i="1" s="1"/>
  <c r="J231" i="1"/>
  <c r="J525" i="1"/>
  <c r="K421" i="1"/>
  <c r="J60" i="1"/>
  <c r="J158" i="1"/>
  <c r="J256" i="1"/>
  <c r="V256" i="1" s="1"/>
  <c r="J354" i="1"/>
  <c r="V354" i="1" s="1"/>
  <c r="J452" i="1"/>
  <c r="V452" i="1" s="1"/>
  <c r="J550" i="1"/>
  <c r="K201" i="1"/>
  <c r="W201" i="1" s="1"/>
  <c r="K299" i="1"/>
  <c r="K397" i="1"/>
  <c r="K495" i="1"/>
  <c r="K593" i="1"/>
  <c r="K691" i="1"/>
  <c r="U691" i="1" s="1"/>
  <c r="K568" i="1"/>
  <c r="J824" i="1"/>
  <c r="J960" i="1"/>
  <c r="K72" i="1"/>
  <c r="K1059" i="1"/>
  <c r="K940" i="1"/>
  <c r="J1231" i="1"/>
  <c r="J602" i="1"/>
  <c r="K84" i="1"/>
  <c r="K182" i="1"/>
  <c r="V182" i="1" s="1"/>
  <c r="Q424" i="1"/>
  <c r="U424" i="1" s="1"/>
  <c r="T1184" i="1"/>
  <c r="J152" i="1"/>
  <c r="J838" i="1"/>
  <c r="K320" i="1"/>
  <c r="K418" i="1"/>
  <c r="K516" i="1"/>
  <c r="K614" i="1"/>
  <c r="K712" i="1"/>
  <c r="K1006" i="1"/>
  <c r="J648" i="1"/>
  <c r="W648" i="1" s="1"/>
  <c r="J746" i="1"/>
  <c r="J844" i="1"/>
  <c r="V844" i="1" s="1"/>
  <c r="J942" i="1"/>
  <c r="J1040" i="1"/>
  <c r="U1040" i="1" s="1"/>
  <c r="J1138" i="1"/>
  <c r="J330" i="1"/>
  <c r="J1254" i="1"/>
  <c r="K93" i="1"/>
  <c r="J860" i="1"/>
  <c r="K1043" i="1"/>
  <c r="J1024" i="1"/>
  <c r="J658" i="1"/>
  <c r="X658" i="1" s="1"/>
  <c r="J756" i="1"/>
  <c r="J1155" i="1"/>
  <c r="U1155" i="1" s="1"/>
  <c r="J714" i="1"/>
  <c r="J1056" i="1"/>
  <c r="W755" i="1"/>
  <c r="X548" i="1"/>
  <c r="U636" i="1"/>
  <c r="K1135" i="1"/>
  <c r="J895" i="1"/>
  <c r="J993" i="1"/>
  <c r="J952" i="1"/>
  <c r="J1148" i="1"/>
  <c r="X638" i="1"/>
  <c r="X612" i="1"/>
  <c r="W420" i="1"/>
  <c r="U717" i="1"/>
  <c r="W281" i="1"/>
  <c r="W766" i="1"/>
  <c r="U760" i="1"/>
  <c r="V28" i="1"/>
  <c r="W1108" i="1"/>
  <c r="V561" i="1"/>
  <c r="J804" i="1"/>
  <c r="J896" i="1"/>
  <c r="U428" i="1"/>
  <c r="U816" i="1"/>
  <c r="U509" i="1"/>
  <c r="W1031" i="1"/>
  <c r="U14" i="1"/>
  <c r="W660" i="1"/>
  <c r="X1118" i="1"/>
  <c r="U470" i="1"/>
  <c r="U1212" i="1"/>
  <c r="U660" i="1"/>
  <c r="U1228" i="1"/>
  <c r="V1108" i="1"/>
  <c r="X549" i="1"/>
  <c r="U443" i="1"/>
  <c r="J332" i="1"/>
  <c r="J219" i="1"/>
  <c r="U219" i="1" s="1"/>
  <c r="K716" i="1"/>
  <c r="J1129" i="1"/>
  <c r="X1129" i="1" s="1"/>
  <c r="K889" i="1"/>
  <c r="K1085" i="1"/>
  <c r="V1085" i="1" s="1"/>
  <c r="K1120" i="1"/>
  <c r="J365" i="1"/>
  <c r="K630" i="1"/>
  <c r="J203" i="1"/>
  <c r="J497" i="1"/>
  <c r="K859" i="1"/>
  <c r="K1160" i="1"/>
  <c r="J1020" i="1"/>
  <c r="W1020" i="1" s="1"/>
  <c r="J785" i="1"/>
  <c r="J1114" i="1"/>
  <c r="X1114" i="1" s="1"/>
  <c r="J1169" i="1"/>
  <c r="J1239" i="1"/>
  <c r="J1252" i="1"/>
  <c r="W1160" i="1"/>
  <c r="W247" i="1"/>
  <c r="X484" i="1"/>
  <c r="X636" i="1"/>
  <c r="X1256" i="1"/>
  <c r="V1212" i="1"/>
  <c r="U517" i="1"/>
  <c r="J86" i="1"/>
  <c r="J241" i="1"/>
  <c r="J215" i="1"/>
  <c r="J411" i="1"/>
  <c r="J607" i="1"/>
  <c r="J1256" i="1"/>
  <c r="W914" i="1"/>
  <c r="U227" i="1"/>
  <c r="V148" i="1"/>
  <c r="X420" i="1"/>
  <c r="V86" i="1"/>
  <c r="V328" i="1"/>
  <c r="K1224" i="1"/>
  <c r="K595" i="1"/>
  <c r="J129" i="1"/>
  <c r="J65" i="1"/>
  <c r="J292" i="1"/>
  <c r="J488" i="1"/>
  <c r="W488" i="1" s="1"/>
  <c r="J586" i="1"/>
  <c r="J427" i="1"/>
  <c r="X1228" i="1"/>
  <c r="W593" i="1"/>
  <c r="V914" i="1"/>
  <c r="X941" i="1"/>
  <c r="X1183" i="1"/>
  <c r="K322" i="1"/>
  <c r="J227" i="1"/>
  <c r="X953" i="1"/>
  <c r="U1252" i="1"/>
  <c r="K183" i="1"/>
  <c r="J29" i="1"/>
  <c r="J255" i="1"/>
  <c r="V255" i="1" s="1"/>
  <c r="J899" i="1"/>
  <c r="X899" i="1" s="1"/>
  <c r="K245" i="1"/>
  <c r="J313" i="1"/>
  <c r="J509" i="1"/>
  <c r="J705" i="1"/>
  <c r="J517" i="1"/>
  <c r="W517" i="1" s="1"/>
  <c r="U126" i="1"/>
  <c r="U580" i="1"/>
  <c r="K1022" i="1"/>
  <c r="W662" i="1"/>
  <c r="K216" i="1"/>
  <c r="W216" i="1" s="1"/>
  <c r="K874" i="1"/>
  <c r="V874" i="1" s="1"/>
  <c r="J925" i="1"/>
  <c r="W925" i="1" s="1"/>
  <c r="W875" i="1"/>
  <c r="J155" i="1"/>
  <c r="J696" i="1"/>
  <c r="J871" i="1"/>
  <c r="J194" i="1"/>
  <c r="J390" i="1"/>
  <c r="W390" i="1" s="1"/>
  <c r="J684" i="1"/>
  <c r="X684" i="1" s="1"/>
  <c r="K1083" i="1"/>
  <c r="V1083" i="1" s="1"/>
  <c r="J1035" i="1"/>
  <c r="X314" i="1"/>
  <c r="X234" i="1"/>
  <c r="V97" i="1"/>
  <c r="K212" i="1"/>
  <c r="K791" i="1"/>
  <c r="W791" i="1" s="1"/>
  <c r="J1241" i="1"/>
  <c r="K1090" i="1"/>
  <c r="V1090" i="1" s="1"/>
  <c r="K620" i="1"/>
  <c r="K718" i="1"/>
  <c r="K816" i="1"/>
  <c r="K914" i="1"/>
  <c r="K1012" i="1"/>
  <c r="V1012" i="1" s="1"/>
  <c r="K1110" i="1"/>
  <c r="W1110" i="1" s="1"/>
  <c r="X528" i="1"/>
  <c r="U941" i="1"/>
  <c r="W941" i="1"/>
  <c r="J794" i="1"/>
  <c r="U953" i="1"/>
  <c r="X717" i="1"/>
  <c r="K728" i="1"/>
  <c r="X654" i="1"/>
  <c r="X216" i="1"/>
  <c r="X666" i="1"/>
  <c r="W1054" i="1"/>
  <c r="V735" i="1"/>
  <c r="K580" i="1"/>
  <c r="K776" i="1"/>
  <c r="K829" i="1"/>
  <c r="U829" i="1" s="1"/>
  <c r="K924" i="1"/>
  <c r="U279" i="1"/>
  <c r="K1023" i="1"/>
  <c r="X258" i="1"/>
  <c r="U283" i="1"/>
  <c r="W106" i="1"/>
  <c r="J394" i="1"/>
  <c r="J92" i="1"/>
  <c r="K454" i="1"/>
  <c r="K62" i="1"/>
  <c r="K843" i="1"/>
  <c r="J30" i="1"/>
  <c r="J128" i="1"/>
  <c r="J257" i="1"/>
  <c r="J453" i="1"/>
  <c r="V453" i="1" s="1"/>
  <c r="J551" i="1"/>
  <c r="J649" i="1"/>
  <c r="J608" i="1"/>
  <c r="X608" i="1" s="1"/>
  <c r="X560" i="1"/>
  <c r="V311" i="1"/>
  <c r="K461" i="1"/>
  <c r="V984" i="1"/>
  <c r="K258" i="1"/>
  <c r="K483" i="1"/>
  <c r="U483" i="1" s="1"/>
  <c r="J355" i="1"/>
  <c r="J706" i="1"/>
  <c r="X706" i="1" s="1"/>
  <c r="X950" i="1"/>
  <c r="V383" i="1"/>
  <c r="K318" i="1"/>
  <c r="V318" i="1" s="1"/>
  <c r="U176" i="1"/>
  <c r="K310" i="1"/>
  <c r="U310" i="1" s="1"/>
  <c r="W217" i="1"/>
  <c r="V483" i="1"/>
  <c r="W558" i="1"/>
  <c r="U658" i="1"/>
  <c r="X301" i="1"/>
  <c r="W333" i="1"/>
  <c r="J668" i="1"/>
  <c r="X668" i="1" s="1"/>
  <c r="K69" i="1"/>
  <c r="K265" i="1"/>
  <c r="K1189" i="1"/>
  <c r="K863" i="1"/>
  <c r="K857" i="1"/>
  <c r="U857" i="1" s="1"/>
  <c r="K1088" i="1"/>
  <c r="U1088" i="1" s="1"/>
  <c r="K861" i="1"/>
  <c r="K722" i="1"/>
  <c r="K17" i="1"/>
  <c r="K514" i="1"/>
  <c r="J142" i="1"/>
  <c r="J149" i="1"/>
  <c r="K690" i="1"/>
  <c r="K788" i="1"/>
  <c r="K886" i="1"/>
  <c r="K984" i="1"/>
  <c r="K1082" i="1"/>
  <c r="V1082" i="1" s="1"/>
  <c r="K1180" i="1"/>
  <c r="J1048" i="1"/>
  <c r="X1048" i="1" s="1"/>
  <c r="K205" i="1"/>
  <c r="J916" i="1"/>
  <c r="J1112" i="1"/>
  <c r="X1112" i="1" s="1"/>
  <c r="J973" i="1"/>
  <c r="W973" i="1" s="1"/>
  <c r="W658" i="1"/>
  <c r="X1200" i="1"/>
  <c r="U567" i="1"/>
  <c r="J120" i="1"/>
  <c r="J661" i="1"/>
  <c r="X661" i="1" s="1"/>
  <c r="K156" i="1"/>
  <c r="W156" i="1" s="1"/>
  <c r="K475" i="1"/>
  <c r="K727" i="1"/>
  <c r="J751" i="1"/>
  <c r="X751" i="1" s="1"/>
  <c r="K976" i="1"/>
  <c r="K1186" i="1"/>
  <c r="K504" i="1"/>
  <c r="W504" i="1" s="1"/>
  <c r="K490" i="1"/>
  <c r="K239" i="1"/>
  <c r="X239" i="1" s="1"/>
  <c r="J750" i="1"/>
  <c r="X750" i="1" s="1"/>
  <c r="K10" i="1"/>
  <c r="K108" i="1"/>
  <c r="W108" i="1" s="1"/>
  <c r="K311" i="1"/>
  <c r="U311" i="1" s="1"/>
  <c r="J37" i="1"/>
  <c r="J135" i="1"/>
  <c r="J1038" i="1"/>
  <c r="U1038" i="1" s="1"/>
  <c r="K577" i="1"/>
  <c r="J264" i="1"/>
  <c r="J362" i="1"/>
  <c r="J460" i="1"/>
  <c r="J558" i="1"/>
  <c r="J656" i="1"/>
  <c r="J521" i="1"/>
  <c r="V521" i="1" s="1"/>
  <c r="K663" i="1"/>
  <c r="K1055" i="1"/>
  <c r="K683" i="1"/>
  <c r="K781" i="1"/>
  <c r="K879" i="1"/>
  <c r="K977" i="1"/>
  <c r="K1075" i="1"/>
  <c r="K1173" i="1"/>
  <c r="X1173" i="1" s="1"/>
  <c r="J599" i="1"/>
  <c r="J697" i="1"/>
  <c r="J795" i="1"/>
  <c r="J893" i="1"/>
  <c r="X893" i="1" s="1"/>
  <c r="J991" i="1"/>
  <c r="J1089" i="1"/>
  <c r="X1089" i="1" s="1"/>
  <c r="J1187" i="1"/>
  <c r="U1187" i="1" s="1"/>
  <c r="J1041" i="1"/>
  <c r="J225" i="1"/>
  <c r="K1003" i="1"/>
  <c r="K1051" i="1"/>
  <c r="K316" i="1"/>
  <c r="V316" i="1" s="1"/>
  <c r="V1021" i="1"/>
  <c r="U826" i="1"/>
  <c r="W148" i="1"/>
  <c r="V549" i="1"/>
  <c r="V1157" i="1"/>
  <c r="V870" i="1"/>
  <c r="K771" i="1"/>
  <c r="J372" i="1"/>
  <c r="J199" i="1"/>
  <c r="J493" i="1"/>
  <c r="X493" i="1" s="1"/>
  <c r="J864" i="1"/>
  <c r="J1067" i="1"/>
  <c r="K345" i="1"/>
  <c r="K1203" i="1"/>
  <c r="K482" i="1"/>
  <c r="K737" i="1"/>
  <c r="J450" i="1"/>
  <c r="V450" i="1" s="1"/>
  <c r="J555" i="1"/>
  <c r="W555" i="1" s="1"/>
  <c r="K1109" i="1"/>
  <c r="K574" i="1"/>
  <c r="U574" i="1" s="1"/>
  <c r="K287" i="1"/>
  <c r="X287" i="1" s="1"/>
  <c r="K1057" i="1"/>
  <c r="J848" i="1"/>
  <c r="J40" i="1"/>
  <c r="K130" i="1"/>
  <c r="U877" i="1"/>
  <c r="J1142" i="1"/>
  <c r="J1052" i="1"/>
  <c r="W1052" i="1" s="1"/>
  <c r="J994" i="1"/>
  <c r="X1233" i="1"/>
  <c r="U868" i="1"/>
  <c r="U1111" i="1"/>
  <c r="V1015" i="1"/>
  <c r="V443" i="1"/>
  <c r="K15" i="1"/>
  <c r="J1074" i="1"/>
  <c r="V1074" i="1" s="1"/>
  <c r="K1000" i="1"/>
  <c r="K1217" i="1"/>
  <c r="J457" i="1"/>
  <c r="X457" i="1" s="1"/>
  <c r="K1116" i="1"/>
  <c r="W1116" i="1" s="1"/>
  <c r="K1078" i="1"/>
  <c r="J138" i="1"/>
  <c r="K437" i="1"/>
  <c r="K703" i="1"/>
  <c r="J990" i="1"/>
  <c r="J1207" i="1"/>
  <c r="V1207" i="1" s="1"/>
  <c r="J104" i="1"/>
  <c r="J300" i="1"/>
  <c r="K789" i="1"/>
  <c r="W789" i="1" s="1"/>
  <c r="K985" i="1"/>
  <c r="U985" i="1" s="1"/>
  <c r="K228" i="1"/>
  <c r="K424" i="1"/>
  <c r="K711" i="1"/>
  <c r="K907" i="1"/>
  <c r="K1103" i="1"/>
  <c r="W1103" i="1" s="1"/>
  <c r="J1146" i="1"/>
  <c r="K1122" i="1"/>
  <c r="J643" i="1"/>
  <c r="W643" i="1" s="1"/>
  <c r="J798" i="1"/>
  <c r="X798" i="1" s="1"/>
  <c r="X1045" i="1"/>
  <c r="X450" i="1"/>
  <c r="V466" i="1"/>
  <c r="W1048" i="1"/>
  <c r="U694" i="1"/>
  <c r="V1002" i="1"/>
  <c r="K736" i="1"/>
  <c r="J192" i="1"/>
  <c r="K83" i="1"/>
  <c r="K279" i="1"/>
  <c r="X279" i="1" s="1"/>
  <c r="K1196" i="1"/>
  <c r="K406" i="1"/>
  <c r="K775" i="1"/>
  <c r="W775" i="1" s="1"/>
  <c r="K18" i="1"/>
  <c r="K214" i="1"/>
  <c r="X214" i="1" s="1"/>
  <c r="K410" i="1"/>
  <c r="W462" i="1"/>
  <c r="W923" i="1"/>
  <c r="U577" i="1"/>
  <c r="V826" i="1"/>
  <c r="X588" i="1"/>
  <c r="X646" i="1"/>
  <c r="V1048" i="1"/>
  <c r="V494" i="1"/>
  <c r="X1052" i="1"/>
  <c r="W1141" i="1"/>
  <c r="U399" i="1"/>
  <c r="V399" i="1"/>
  <c r="J379" i="1"/>
  <c r="V379" i="1" s="1"/>
  <c r="J500" i="1"/>
  <c r="U500" i="1" s="1"/>
  <c r="K198" i="1"/>
  <c r="W198" i="1" s="1"/>
  <c r="K352" i="1"/>
  <c r="K744" i="1"/>
  <c r="U744" i="1" s="1"/>
  <c r="K891" i="1"/>
  <c r="J569" i="1"/>
  <c r="K1004" i="1"/>
  <c r="K301" i="1"/>
  <c r="K770" i="1"/>
  <c r="J113" i="1"/>
  <c r="K38" i="1"/>
  <c r="J1204" i="1"/>
  <c r="W1204" i="1" s="1"/>
  <c r="J206" i="1"/>
  <c r="J6" i="1"/>
  <c r="J329" i="1"/>
  <c r="K887" i="1"/>
  <c r="K32" i="1"/>
  <c r="K326" i="1"/>
  <c r="X326" i="1" s="1"/>
  <c r="K522" i="1"/>
  <c r="K613" i="1"/>
  <c r="W613" i="1" s="1"/>
  <c r="K809" i="1"/>
  <c r="K1005" i="1"/>
  <c r="J274" i="1"/>
  <c r="K904" i="1"/>
  <c r="J839" i="1"/>
  <c r="V960" i="1"/>
  <c r="X443" i="1"/>
  <c r="U314" i="1"/>
  <c r="X784" i="1"/>
  <c r="V281" i="1"/>
  <c r="V897" i="1"/>
  <c r="V1096" i="1"/>
  <c r="V1076" i="1"/>
  <c r="J26" i="1"/>
  <c r="J124" i="1"/>
  <c r="V124" i="1" s="1"/>
  <c r="J51" i="1"/>
  <c r="K1025" i="1"/>
  <c r="J180" i="1"/>
  <c r="J278" i="1"/>
  <c r="J376" i="1"/>
  <c r="V376" i="1" s="1"/>
  <c r="J474" i="1"/>
  <c r="W474" i="1" s="1"/>
  <c r="J572" i="1"/>
  <c r="J670" i="1"/>
  <c r="X670" i="1" s="1"/>
  <c r="K116" i="1"/>
  <c r="K312" i="1"/>
  <c r="V312" i="1" s="1"/>
  <c r="K508" i="1"/>
  <c r="V1163" i="1"/>
  <c r="W672" i="1"/>
  <c r="V348" i="1"/>
  <c r="K589" i="1"/>
  <c r="J1171" i="1"/>
  <c r="U1171" i="1" s="1"/>
  <c r="J1092" i="1"/>
  <c r="V639" i="1"/>
  <c r="U453" i="1"/>
  <c r="V106" i="1"/>
  <c r="K442" i="1"/>
  <c r="J505" i="1"/>
  <c r="J939" i="1"/>
  <c r="J878" i="1"/>
  <c r="W878" i="1" s="1"/>
  <c r="K359" i="1"/>
  <c r="X359" i="1" s="1"/>
  <c r="K797" i="1"/>
  <c r="K699" i="1"/>
  <c r="J1149" i="1"/>
  <c r="K625" i="1"/>
  <c r="K898" i="1"/>
  <c r="J464" i="1"/>
  <c r="W464" i="1" s="1"/>
  <c r="J674" i="1"/>
  <c r="W674" i="1" s="1"/>
  <c r="K787" i="1"/>
  <c r="K892" i="1"/>
  <c r="K1123" i="1"/>
  <c r="K1050" i="1"/>
  <c r="K477" i="1"/>
  <c r="K444" i="1"/>
  <c r="K1226" i="1"/>
  <c r="J702" i="1"/>
  <c r="X702" i="1" s="1"/>
  <c r="J503" i="1"/>
  <c r="J238" i="1"/>
  <c r="K435" i="1"/>
  <c r="K992" i="1"/>
  <c r="K39" i="1"/>
  <c r="K137" i="1"/>
  <c r="K235" i="1"/>
  <c r="K333" i="1"/>
  <c r="V333" i="1" s="1"/>
  <c r="K431" i="1"/>
  <c r="K529" i="1"/>
  <c r="K743" i="1"/>
  <c r="U743" i="1" s="1"/>
  <c r="K1201" i="1"/>
  <c r="J1139" i="1"/>
  <c r="J943" i="1"/>
  <c r="J1167" i="1"/>
  <c r="J288" i="1"/>
  <c r="X288" i="1" s="1"/>
  <c r="K1136" i="1"/>
  <c r="K1086" i="1"/>
  <c r="J650" i="1"/>
  <c r="W650" i="1" s="1"/>
  <c r="J944" i="1"/>
  <c r="J1140" i="1"/>
  <c r="J805" i="1"/>
  <c r="X1042" i="1"/>
  <c r="U383" i="1"/>
  <c r="K302" i="1"/>
  <c r="K806" i="1"/>
  <c r="K559" i="1"/>
  <c r="K317" i="1"/>
  <c r="K1249" i="1"/>
  <c r="U1249" i="1" s="1"/>
  <c r="J997" i="1"/>
  <c r="K796" i="1"/>
  <c r="W796" i="1" s="1"/>
  <c r="W298" i="1"/>
  <c r="X324" i="1"/>
  <c r="W1200" i="1"/>
  <c r="X542" i="1"/>
  <c r="W873" i="1"/>
  <c r="X1128" i="1"/>
  <c r="U859" i="1"/>
  <c r="W1010" i="1"/>
  <c r="U1191" i="1"/>
  <c r="W381" i="1"/>
  <c r="U118" i="1"/>
  <c r="X660" i="1"/>
  <c r="U661" i="1"/>
  <c r="J386" i="1"/>
  <c r="J220" i="1"/>
  <c r="J1081" i="1"/>
  <c r="X1081" i="1" s="1"/>
  <c r="J576" i="1"/>
  <c r="J134" i="1"/>
  <c r="K45" i="1"/>
  <c r="U45" i="1" s="1"/>
  <c r="K894" i="1"/>
  <c r="J1246" i="1"/>
  <c r="W1246" i="1" s="1"/>
  <c r="U984" i="1"/>
  <c r="V890" i="1"/>
  <c r="X1031" i="1"/>
  <c r="J33" i="1"/>
  <c r="U33" i="1" s="1"/>
  <c r="J131" i="1"/>
  <c r="K31" i="1"/>
  <c r="U31" i="1" s="1"/>
  <c r="J24" i="1"/>
  <c r="J58" i="1"/>
  <c r="J187" i="1"/>
  <c r="U187" i="1" s="1"/>
  <c r="J285" i="1"/>
  <c r="V285" i="1" s="1"/>
  <c r="J383" i="1"/>
  <c r="W383" i="1" s="1"/>
  <c r="J481" i="1"/>
  <c r="X481" i="1" s="1"/>
  <c r="J579" i="1"/>
  <c r="J677" i="1"/>
  <c r="J591" i="1"/>
  <c r="J1200" i="1"/>
  <c r="U1200" i="1" s="1"/>
  <c r="J224" i="1"/>
  <c r="V224" i="1" s="1"/>
  <c r="K782" i="1"/>
  <c r="W782" i="1" s="1"/>
  <c r="K880" i="1"/>
  <c r="K1076" i="1"/>
  <c r="U1076" i="1" s="1"/>
  <c r="K25" i="1"/>
  <c r="K123" i="1"/>
  <c r="W123" i="1" s="1"/>
  <c r="K221" i="1"/>
  <c r="X221" i="1" s="1"/>
  <c r="K319" i="1"/>
  <c r="K417" i="1"/>
  <c r="U417" i="1" s="1"/>
  <c r="K515" i="1"/>
  <c r="K606" i="1"/>
  <c r="W606" i="1" s="1"/>
  <c r="K704" i="1"/>
  <c r="K802" i="1"/>
  <c r="K900" i="1"/>
  <c r="K998" i="1"/>
  <c r="K1096" i="1"/>
  <c r="W1096" i="1" s="1"/>
  <c r="K1194" i="1"/>
  <c r="J930" i="1"/>
  <c r="J1126" i="1"/>
  <c r="K91" i="1"/>
  <c r="U91" i="1" s="1"/>
  <c r="V638" i="1"/>
  <c r="W1163" i="1"/>
  <c r="W549" i="1"/>
  <c r="U561" i="1"/>
  <c r="W118" i="1"/>
  <c r="U148" i="1"/>
  <c r="W314" i="1"/>
  <c r="V592" i="1"/>
  <c r="X1121" i="1"/>
  <c r="U1066" i="1"/>
  <c r="W1228" i="1"/>
  <c r="X512" i="1"/>
  <c r="W675" i="1"/>
  <c r="V1061" i="1"/>
  <c r="W479" i="1"/>
  <c r="U372" i="1"/>
  <c r="V126" i="1"/>
  <c r="X772" i="1"/>
  <c r="W542" i="1"/>
  <c r="W611" i="1"/>
  <c r="V1179" i="1"/>
  <c r="X785" i="1"/>
  <c r="X246" i="1"/>
  <c r="X526" i="1"/>
  <c r="X890" i="1"/>
  <c r="U102" i="1"/>
  <c r="W257" i="1"/>
  <c r="V102" i="1"/>
  <c r="U539" i="1"/>
  <c r="V258" i="1"/>
  <c r="J1179" i="1"/>
  <c r="K5" i="1"/>
  <c r="J835" i="1"/>
  <c r="J1094" i="1"/>
  <c r="X1094" i="1" s="1"/>
  <c r="J1213" i="1"/>
  <c r="K1053" i="1"/>
  <c r="V1053" i="1" s="1"/>
  <c r="K413" i="1"/>
  <c r="K763" i="1"/>
  <c r="K196" i="1"/>
  <c r="K294" i="1"/>
  <c r="K596" i="1"/>
  <c r="J260" i="1"/>
  <c r="W260" i="1" s="1"/>
  <c r="K647" i="1"/>
  <c r="J395" i="1"/>
  <c r="W395" i="1" s="1"/>
  <c r="J244" i="1"/>
  <c r="W244" i="1" s="1"/>
  <c r="J440" i="1"/>
  <c r="J469" i="1"/>
  <c r="K1027" i="1"/>
  <c r="J836" i="1"/>
  <c r="J669" i="1"/>
  <c r="X669" i="1" s="1"/>
  <c r="J767" i="1"/>
  <c r="V767" i="1" s="1"/>
  <c r="J865" i="1"/>
  <c r="X865" i="1" s="1"/>
  <c r="J963" i="1"/>
  <c r="J1061" i="1"/>
  <c r="J1159" i="1"/>
  <c r="V1159" i="1" s="1"/>
  <c r="J1257" i="1"/>
  <c r="V1257" i="1" s="1"/>
  <c r="J687" i="1"/>
  <c r="W687" i="1" s="1"/>
  <c r="U606" i="1"/>
  <c r="V394" i="1"/>
  <c r="X251" i="1"/>
  <c r="W592" i="1"/>
  <c r="V548" i="1"/>
  <c r="X687" i="1"/>
  <c r="U1072" i="1"/>
  <c r="U873" i="1"/>
  <c r="U1183" i="1"/>
  <c r="V873" i="1"/>
  <c r="X340" i="1"/>
  <c r="U1031" i="1"/>
  <c r="K176" i="1"/>
  <c r="K610" i="1"/>
  <c r="W610" i="1" s="1"/>
  <c r="K813" i="1"/>
  <c r="J8" i="1"/>
  <c r="J512" i="1"/>
  <c r="J680" i="1"/>
  <c r="J94" i="1"/>
  <c r="J381" i="1"/>
  <c r="V381" i="1" s="1"/>
  <c r="J1102" i="1"/>
  <c r="V1102" i="1" s="1"/>
  <c r="K233" i="1"/>
  <c r="K1028" i="1"/>
  <c r="K160" i="1"/>
  <c r="K713" i="1"/>
  <c r="K1077" i="1"/>
  <c r="K632" i="1"/>
  <c r="K765" i="1"/>
  <c r="J681" i="1"/>
  <c r="X681" i="1" s="1"/>
  <c r="J1066" i="1"/>
  <c r="V1066" i="1" s="1"/>
  <c r="J1185" i="1"/>
  <c r="K1130" i="1"/>
  <c r="K665" i="1"/>
  <c r="K959" i="1"/>
  <c r="K1134" i="1"/>
  <c r="K799" i="1"/>
  <c r="J54" i="1"/>
  <c r="K52" i="1"/>
  <c r="K451" i="1"/>
  <c r="K1233" i="1"/>
  <c r="K82" i="1"/>
  <c r="J283" i="1"/>
  <c r="J20" i="1"/>
  <c r="U20" i="1" s="1"/>
  <c r="J49" i="1"/>
  <c r="J147" i="1"/>
  <c r="J343" i="1"/>
  <c r="J441" i="1"/>
  <c r="J74" i="1"/>
  <c r="W74" i="1" s="1"/>
  <c r="J172" i="1"/>
  <c r="J270" i="1"/>
  <c r="J368" i="1"/>
  <c r="U368" i="1" s="1"/>
  <c r="J466" i="1"/>
  <c r="J564" i="1"/>
  <c r="K803" i="1"/>
  <c r="K901" i="1"/>
  <c r="K999" i="1"/>
  <c r="K1097" i="1"/>
  <c r="U1097" i="1" s="1"/>
  <c r="K46" i="1"/>
  <c r="K144" i="1"/>
  <c r="K242" i="1"/>
  <c r="X242" i="1" s="1"/>
  <c r="K340" i="1"/>
  <c r="W340" i="1" s="1"/>
  <c r="K438" i="1"/>
  <c r="K536" i="1"/>
  <c r="J1174" i="1"/>
  <c r="J950" i="1"/>
  <c r="J974" i="1"/>
  <c r="J1253" i="1"/>
  <c r="K98" i="1"/>
  <c r="K385" i="1"/>
  <c r="U450" i="1"/>
  <c r="W1109" i="1"/>
  <c r="U986" i="1"/>
  <c r="K323" i="1"/>
  <c r="V323" i="1" s="1"/>
  <c r="K456" i="1"/>
  <c r="K827" i="1"/>
  <c r="V827" i="1" s="1"/>
  <c r="J400" i="1"/>
  <c r="U400" i="1" s="1"/>
  <c r="J694" i="1"/>
  <c r="V694" i="1" s="1"/>
  <c r="J988" i="1"/>
  <c r="J101" i="1"/>
  <c r="J570" i="1"/>
  <c r="K240" i="1"/>
  <c r="J163" i="1"/>
  <c r="J282" i="1"/>
  <c r="K363" i="1"/>
  <c r="V363" i="1" s="1"/>
  <c r="K587" i="1"/>
  <c r="K832" i="1"/>
  <c r="K167" i="1"/>
  <c r="U167" i="1" s="1"/>
  <c r="K356" i="1"/>
  <c r="K902" i="1"/>
  <c r="V902" i="1" s="1"/>
  <c r="K1091" i="1"/>
  <c r="U1091" i="1" s="1"/>
  <c r="J1170" i="1"/>
  <c r="K513" i="1"/>
  <c r="K639" i="1"/>
  <c r="J478" i="1"/>
  <c r="J590" i="1"/>
  <c r="J688" i="1"/>
  <c r="X688" i="1" s="1"/>
  <c r="K1137" i="1"/>
  <c r="K672" i="1"/>
  <c r="U672" i="1" s="1"/>
  <c r="K686" i="1"/>
  <c r="K980" i="1"/>
  <c r="K1176" i="1"/>
  <c r="X1176" i="1" s="1"/>
  <c r="K547" i="1"/>
  <c r="K841" i="1"/>
  <c r="J876" i="1"/>
  <c r="X876" i="1" s="1"/>
  <c r="J61" i="1"/>
  <c r="J159" i="1"/>
  <c r="W159" i="1" s="1"/>
  <c r="K157" i="1"/>
  <c r="K360" i="1"/>
  <c r="K1240" i="1"/>
  <c r="J1211" i="1"/>
  <c r="W1211" i="1" s="1"/>
  <c r="J304" i="1"/>
  <c r="X304" i="1" s="1"/>
  <c r="J745" i="1"/>
  <c r="W745" i="1" s="1"/>
  <c r="J223" i="1"/>
  <c r="J56" i="1"/>
  <c r="J154" i="1"/>
  <c r="U154" i="1" s="1"/>
  <c r="J252" i="1"/>
  <c r="U252" i="1" s="1"/>
  <c r="K810" i="1"/>
  <c r="K908" i="1"/>
  <c r="V908" i="1" s="1"/>
  <c r="K1104" i="1"/>
  <c r="W1104" i="1" s="1"/>
  <c r="K53" i="1"/>
  <c r="K151" i="1"/>
  <c r="K249" i="1"/>
  <c r="K347" i="1"/>
  <c r="K445" i="1"/>
  <c r="K543" i="1"/>
  <c r="J1236" i="1"/>
  <c r="J1181" i="1"/>
  <c r="J845" i="1"/>
  <c r="J957" i="1"/>
  <c r="J1009" i="1"/>
  <c r="K415" i="1"/>
  <c r="U415" i="1" s="1"/>
  <c r="K849" i="1"/>
  <c r="K975" i="1"/>
  <c r="K1164" i="1"/>
  <c r="K946" i="1"/>
  <c r="K1100" i="1"/>
  <c r="J566" i="1"/>
  <c r="J762" i="1"/>
  <c r="X762" i="1" s="1"/>
  <c r="J1154" i="1"/>
  <c r="U1154" i="1" s="1"/>
  <c r="J721" i="1"/>
  <c r="X721" i="1" s="1"/>
  <c r="J819" i="1"/>
  <c r="X819" i="1" s="1"/>
  <c r="J1113" i="1"/>
  <c r="X1113" i="1" s="1"/>
  <c r="K7" i="1"/>
  <c r="K105" i="1"/>
  <c r="V105" i="1" s="1"/>
  <c r="K511" i="1"/>
  <c r="U1115" i="1"/>
  <c r="V272" i="1"/>
  <c r="V426" i="1"/>
  <c r="W512" i="1"/>
  <c r="W596" i="1"/>
  <c r="W890" i="1"/>
  <c r="V1109" i="1"/>
  <c r="U1048" i="1"/>
  <c r="V372" i="1"/>
  <c r="K43" i="1"/>
  <c r="K190" i="1"/>
  <c r="U190" i="1" s="1"/>
  <c r="J218" i="1"/>
  <c r="J407" i="1"/>
  <c r="U407" i="1" s="1"/>
  <c r="J540" i="1"/>
  <c r="U540" i="1" s="1"/>
  <c r="J708" i="1"/>
  <c r="W708" i="1" s="1"/>
  <c r="J1002" i="1"/>
  <c r="J402" i="1"/>
  <c r="U402" i="1" s="1"/>
  <c r="J906" i="1"/>
  <c r="J289" i="1"/>
  <c r="X289" i="1" s="1"/>
  <c r="K174" i="1"/>
  <c r="W174" i="1" s="1"/>
  <c r="K370" i="1"/>
  <c r="W370" i="1" s="1"/>
  <c r="K601" i="1"/>
  <c r="K181" i="1"/>
  <c r="K377" i="1"/>
  <c r="K538" i="1"/>
  <c r="K734" i="1"/>
  <c r="K909" i="1"/>
  <c r="K1105" i="1"/>
  <c r="J498" i="1"/>
  <c r="V498" i="1" s="1"/>
  <c r="J1191" i="1"/>
  <c r="K422" i="1"/>
  <c r="K520" i="1"/>
  <c r="K793" i="1"/>
  <c r="U793" i="1" s="1"/>
  <c r="U1128" i="1"/>
  <c r="X1208" i="1"/>
  <c r="V1045" i="1"/>
  <c r="U290" i="1"/>
  <c r="V986" i="1"/>
  <c r="X273" i="1"/>
  <c r="V246" i="1"/>
  <c r="X747" i="1"/>
  <c r="K337" i="1"/>
  <c r="X337" i="1" s="1"/>
  <c r="K631" i="1"/>
  <c r="J232" i="1"/>
  <c r="U232" i="1" s="1"/>
  <c r="J122" i="1"/>
  <c r="J409" i="1"/>
  <c r="J598" i="1"/>
  <c r="X598" i="1" s="1"/>
  <c r="J1172" i="1"/>
  <c r="U1172" i="1" s="1"/>
  <c r="K261" i="1"/>
  <c r="X261" i="1" s="1"/>
  <c r="J177" i="1"/>
  <c r="J296" i="1"/>
  <c r="K195" i="1"/>
  <c r="V195" i="1" s="1"/>
  <c r="K384" i="1"/>
  <c r="K615" i="1"/>
  <c r="X615" i="1" s="1"/>
  <c r="K188" i="1"/>
  <c r="K391" i="1"/>
  <c r="K552" i="1"/>
  <c r="K923" i="1"/>
  <c r="K1119" i="1"/>
  <c r="K429" i="1"/>
  <c r="K527" i="1"/>
  <c r="K653" i="1"/>
  <c r="J254" i="1"/>
  <c r="J709" i="1"/>
  <c r="V709" i="1" s="1"/>
  <c r="J968" i="1"/>
  <c r="J1087" i="1"/>
  <c r="J1206" i="1"/>
  <c r="V1206" i="1" s="1"/>
  <c r="K815" i="1"/>
  <c r="K934" i="1"/>
  <c r="K1046" i="1"/>
  <c r="K308" i="1"/>
  <c r="U475" i="1"/>
  <c r="W594" i="1"/>
  <c r="U1096" i="1"/>
  <c r="V33" i="1"/>
  <c r="X497" i="1"/>
  <c r="V26" i="1"/>
  <c r="U1163" i="1"/>
  <c r="J401" i="1"/>
  <c r="W401" i="1" s="1"/>
  <c r="J485" i="1"/>
  <c r="J597" i="1"/>
  <c r="X597" i="1" s="1"/>
  <c r="J695" i="1"/>
  <c r="X695" i="1" s="1"/>
  <c r="J821" i="1"/>
  <c r="V821" i="1" s="1"/>
  <c r="J961" i="1"/>
  <c r="U961" i="1" s="1"/>
  <c r="J1080" i="1"/>
  <c r="J1199" i="1"/>
  <c r="K808" i="1"/>
  <c r="K920" i="1"/>
  <c r="K1039" i="1"/>
  <c r="K1144" i="1"/>
  <c r="K210" i="1"/>
  <c r="W210" i="1" s="1"/>
  <c r="K693" i="1"/>
  <c r="K371" i="1"/>
  <c r="K854" i="1"/>
  <c r="V854" i="1" s="1"/>
  <c r="K1197" i="1"/>
  <c r="J204" i="1"/>
  <c r="J652" i="1"/>
  <c r="J883" i="1"/>
  <c r="J166" i="1"/>
  <c r="K66" i="1"/>
  <c r="K164" i="1"/>
  <c r="K465" i="1"/>
  <c r="U465" i="1" s="1"/>
  <c r="J814" i="1"/>
  <c r="V814" i="1" s="1"/>
  <c r="K535" i="1"/>
  <c r="U535" i="1" s="1"/>
  <c r="K633" i="1"/>
  <c r="X633" i="1" s="1"/>
  <c r="K731" i="1"/>
  <c r="J542" i="1"/>
  <c r="J1095" i="1"/>
  <c r="X1095" i="1" s="1"/>
  <c r="K96" i="1"/>
  <c r="U96" i="1" s="1"/>
  <c r="J325" i="1"/>
  <c r="U325" i="1" s="1"/>
  <c r="J905" i="1"/>
  <c r="J34" i="1"/>
  <c r="U34" i="1" s="1"/>
  <c r="J230" i="1"/>
  <c r="J426" i="1"/>
  <c r="J524" i="1"/>
  <c r="J63" i="1"/>
  <c r="U63" i="1" s="1"/>
  <c r="J161" i="1"/>
  <c r="W161" i="1" s="1"/>
  <c r="J357" i="1"/>
  <c r="J455" i="1"/>
  <c r="J553" i="1"/>
  <c r="W553" i="1" s="1"/>
  <c r="J88" i="1"/>
  <c r="J186" i="1"/>
  <c r="J284" i="1"/>
  <c r="J382" i="1"/>
  <c r="U382" i="1" s="1"/>
  <c r="J480" i="1"/>
  <c r="J578" i="1"/>
  <c r="V578" i="1" s="1"/>
  <c r="K229" i="1"/>
  <c r="K327" i="1"/>
  <c r="K425" i="1"/>
  <c r="K523" i="1"/>
  <c r="K621" i="1"/>
  <c r="K719" i="1"/>
  <c r="K817" i="1"/>
  <c r="U817" i="1" s="1"/>
  <c r="K915" i="1"/>
  <c r="K1013" i="1"/>
  <c r="K1111" i="1"/>
  <c r="W1111" i="1" s="1"/>
  <c r="K641" i="1"/>
  <c r="K739" i="1"/>
  <c r="V739" i="1" s="1"/>
  <c r="K837" i="1"/>
  <c r="K935" i="1"/>
  <c r="K1033" i="1"/>
  <c r="K1131" i="1"/>
  <c r="J655" i="1"/>
  <c r="J753" i="1"/>
  <c r="J851" i="1"/>
  <c r="V851" i="1" s="1"/>
  <c r="J949" i="1"/>
  <c r="J1047" i="1"/>
  <c r="J1145" i="1"/>
  <c r="J1202" i="1"/>
  <c r="V1202" i="1" s="1"/>
  <c r="J1223" i="1"/>
  <c r="U1223" i="1" s="1"/>
  <c r="J852" i="1"/>
  <c r="V852" i="1" s="1"/>
  <c r="J964" i="1"/>
  <c r="U964" i="1" s="1"/>
  <c r="J1230" i="1"/>
  <c r="V1230" i="1" s="1"/>
  <c r="J449" i="1"/>
  <c r="J1030" i="1"/>
  <c r="K100" i="1"/>
  <c r="V100" i="1" s="1"/>
  <c r="K534" i="1"/>
  <c r="K877" i="1"/>
  <c r="K1115" i="1"/>
  <c r="W1115" i="1" s="1"/>
  <c r="K982" i="1"/>
  <c r="K1107" i="1"/>
  <c r="W1107" i="1" s="1"/>
  <c r="J965" i="1"/>
  <c r="J826" i="1"/>
  <c r="W826" i="1" s="1"/>
  <c r="K189" i="1"/>
  <c r="K392" i="1"/>
  <c r="U392" i="1" s="1"/>
  <c r="K567" i="1"/>
  <c r="V567" i="1" s="1"/>
  <c r="K882" i="1"/>
  <c r="K869" i="1"/>
  <c r="J211" i="1"/>
  <c r="J911" i="1"/>
  <c r="J173" i="1"/>
  <c r="K73" i="1"/>
  <c r="K171" i="1"/>
  <c r="U171" i="1" s="1"/>
  <c r="J856" i="1"/>
  <c r="W856" i="1" s="1"/>
  <c r="K640" i="1"/>
  <c r="V640" i="1" s="1"/>
  <c r="J1158" i="1"/>
  <c r="V1158" i="1" s="1"/>
  <c r="K103" i="1"/>
  <c r="J41" i="1"/>
  <c r="J237" i="1"/>
  <c r="W237" i="1" s="1"/>
  <c r="J433" i="1"/>
  <c r="J70" i="1"/>
  <c r="W70" i="1" s="1"/>
  <c r="J168" i="1"/>
  <c r="J364" i="1"/>
  <c r="J462" i="1"/>
  <c r="J560" i="1"/>
  <c r="J95" i="1"/>
  <c r="J193" i="1"/>
  <c r="J291" i="1"/>
  <c r="W291" i="1" s="1"/>
  <c r="J389" i="1"/>
  <c r="W389" i="1" s="1"/>
  <c r="J487" i="1"/>
  <c r="X487" i="1" s="1"/>
  <c r="J585" i="1"/>
  <c r="K236" i="1"/>
  <c r="X236" i="1" s="1"/>
  <c r="K334" i="1"/>
  <c r="W334" i="1" s="1"/>
  <c r="K432" i="1"/>
  <c r="K530" i="1"/>
  <c r="K628" i="1"/>
  <c r="K922" i="1"/>
  <c r="K1229" i="1"/>
  <c r="J1250" i="1"/>
  <c r="J1244" i="1"/>
  <c r="J1251" i="1"/>
  <c r="K9" i="1"/>
  <c r="K107" i="1"/>
  <c r="K919" i="1"/>
  <c r="W919" i="1" s="1"/>
  <c r="K996" i="1"/>
  <c r="J1168" i="1"/>
  <c r="J637" i="1"/>
  <c r="K85" i="1"/>
  <c r="U85" i="1" s="1"/>
  <c r="K673" i="1"/>
  <c r="K897" i="1"/>
  <c r="J150" i="1"/>
  <c r="J297" i="1"/>
  <c r="J955" i="1"/>
  <c r="J191" i="1"/>
  <c r="J4" i="1"/>
  <c r="K685" i="1"/>
  <c r="U685" i="1" s="1"/>
  <c r="K1098" i="1"/>
  <c r="U1098" i="1" s="1"/>
  <c r="K412" i="1"/>
  <c r="K951" i="1"/>
  <c r="K1147" i="1"/>
  <c r="V1147" i="1" s="1"/>
  <c r="J932" i="1"/>
  <c r="J842" i="1"/>
  <c r="J989" i="1"/>
  <c r="J1227" i="1"/>
  <c r="K948" i="1"/>
  <c r="K217" i="1"/>
  <c r="X217" i="1" s="1"/>
  <c r="K1064" i="1"/>
  <c r="K315" i="1"/>
  <c r="U315" i="1" s="1"/>
  <c r="J563" i="1"/>
  <c r="J16" i="1"/>
  <c r="J114" i="1"/>
  <c r="K556" i="1"/>
  <c r="J243" i="1"/>
  <c r="W243" i="1" s="1"/>
  <c r="J341" i="1"/>
  <c r="J439" i="1"/>
  <c r="J537" i="1"/>
  <c r="J635" i="1"/>
  <c r="J971" i="1"/>
  <c r="J55" i="1"/>
  <c r="J11" i="1"/>
  <c r="J109" i="1"/>
  <c r="J207" i="1"/>
  <c r="J305" i="1"/>
  <c r="J403" i="1"/>
  <c r="J501" i="1"/>
  <c r="K250" i="1"/>
  <c r="X250" i="1" s="1"/>
  <c r="K348" i="1"/>
  <c r="K446" i="1"/>
  <c r="K544" i="1"/>
  <c r="K642" i="1"/>
  <c r="K1034" i="1"/>
  <c r="K1237" i="1"/>
  <c r="W1237" i="1" s="1"/>
  <c r="J676" i="1"/>
  <c r="W676" i="1" s="1"/>
  <c r="J774" i="1"/>
  <c r="X774" i="1" s="1"/>
  <c r="J872" i="1"/>
  <c r="J970" i="1"/>
  <c r="U970" i="1" s="1"/>
  <c r="J1068" i="1"/>
  <c r="V1068" i="1" s="1"/>
  <c r="J1166" i="1"/>
  <c r="X1166" i="1" s="1"/>
  <c r="J754" i="1"/>
  <c r="J99" i="1"/>
  <c r="K23" i="1"/>
  <c r="K121" i="1"/>
  <c r="V329" i="1"/>
  <c r="W541" i="1"/>
  <c r="V979" i="1"/>
  <c r="X1159" i="1"/>
  <c r="V1049" i="1"/>
  <c r="X362" i="1"/>
  <c r="J145" i="1"/>
  <c r="J136" i="1"/>
  <c r="K710" i="1"/>
  <c r="J593" i="1"/>
  <c r="X593" i="1" s="1"/>
  <c r="J1221" i="1"/>
  <c r="W1221" i="1" s="1"/>
  <c r="W213" i="1"/>
  <c r="W663" i="1"/>
  <c r="V201" i="1"/>
  <c r="X570" i="1"/>
  <c r="W86" i="1"/>
  <c r="X787" i="1"/>
  <c r="K346" i="1"/>
  <c r="K612" i="1"/>
  <c r="W612" i="1" s="1"/>
  <c r="J201" i="1"/>
  <c r="J495" i="1"/>
  <c r="W495" i="1" s="1"/>
  <c r="J111" i="1"/>
  <c r="U235" i="1"/>
  <c r="X342" i="1"/>
  <c r="W208" i="1"/>
  <c r="V783" i="1"/>
  <c r="W700" i="1"/>
  <c r="W645" i="1"/>
  <c r="V178" i="1"/>
  <c r="W65" i="1"/>
  <c r="K1101" i="1"/>
  <c r="W1101" i="1" s="1"/>
  <c r="U907" i="1"/>
  <c r="W584" i="1"/>
  <c r="X1210" i="1"/>
  <c r="V1088" i="1"/>
  <c r="W603" i="1"/>
  <c r="U338" i="1"/>
  <c r="X306" i="1"/>
  <c r="V266" i="1"/>
  <c r="X586" i="1"/>
  <c r="X824" i="1"/>
  <c r="U145" i="1"/>
  <c r="U741" i="1"/>
  <c r="W550" i="1"/>
  <c r="X1014" i="1"/>
  <c r="W994" i="1"/>
  <c r="U1026" i="1"/>
  <c r="X1124" i="1"/>
  <c r="X1069" i="1"/>
  <c r="J664" i="1"/>
  <c r="X1035" i="1"/>
  <c r="V939" i="1"/>
  <c r="V994" i="1"/>
  <c r="U350" i="1"/>
  <c r="V741" i="1"/>
  <c r="V595" i="1"/>
  <c r="U373" i="1"/>
  <c r="X786" i="1"/>
  <c r="U347" i="1"/>
  <c r="U1131" i="1"/>
  <c r="X663" i="1"/>
  <c r="W463" i="1"/>
  <c r="X249" i="1"/>
  <c r="X557" i="1"/>
  <c r="U875" i="1"/>
  <c r="W145" i="1"/>
  <c r="W320" i="1"/>
  <c r="X610" i="1"/>
  <c r="V822" i="1"/>
  <c r="X500" i="1"/>
  <c r="V307" i="1"/>
  <c r="X981" i="1"/>
  <c r="X1093" i="1"/>
  <c r="V907" i="1"/>
  <c r="X624" i="1"/>
  <c r="X764" i="1"/>
  <c r="U231" i="1"/>
  <c r="V670" i="1"/>
  <c r="U495" i="1"/>
  <c r="W928" i="1"/>
  <c r="V60" i="1"/>
  <c r="X562" i="1"/>
  <c r="U476" i="1"/>
  <c r="U758" i="1"/>
  <c r="U609" i="1"/>
  <c r="U904" i="1"/>
  <c r="X1178" i="1"/>
  <c r="U1059" i="1"/>
  <c r="X1225" i="1"/>
  <c r="V792" i="1"/>
  <c r="U1161" i="1"/>
  <c r="U1219" i="1"/>
  <c r="V1153" i="1"/>
  <c r="X228" i="1"/>
  <c r="V846" i="1"/>
  <c r="U25" i="1"/>
  <c r="V45" i="1"/>
  <c r="X295" i="1"/>
  <c r="X491" i="1"/>
  <c r="V374" i="1"/>
  <c r="V584" i="1"/>
  <c r="X473" i="1"/>
  <c r="U942" i="1"/>
  <c r="V1092" i="1"/>
  <c r="V263" i="1"/>
  <c r="W153" i="1"/>
  <c r="X667" i="1"/>
  <c r="V823" i="1"/>
  <c r="U831" i="1"/>
  <c r="X571" i="1"/>
  <c r="W1235" i="1"/>
  <c r="U983" i="1"/>
  <c r="U678" i="1"/>
  <c r="X265" i="1"/>
  <c r="U159" i="1"/>
  <c r="X419" i="1"/>
  <c r="J496" i="1"/>
  <c r="W835" i="1"/>
  <c r="V1058" i="1"/>
  <c r="X1092" i="1"/>
  <c r="U436" i="1"/>
  <c r="K13" i="1"/>
  <c r="U13" i="1" s="1"/>
  <c r="K575" i="1"/>
  <c r="W575" i="1" s="1"/>
  <c r="K1247" i="1"/>
  <c r="W1247" i="1" s="1"/>
  <c r="J516" i="1"/>
  <c r="X516" i="1" s="1"/>
  <c r="K452" i="1"/>
  <c r="K1153" i="1"/>
  <c r="X1153" i="1" s="1"/>
  <c r="K1178" i="1"/>
  <c r="U1178" i="1" s="1"/>
  <c r="K764" i="1"/>
  <c r="W764" i="1" s="1"/>
  <c r="K331" i="1"/>
  <c r="W331" i="1" s="1"/>
  <c r="K779" i="1"/>
  <c r="K1177" i="1"/>
  <c r="J741" i="1"/>
  <c r="W741" i="1" s="1"/>
  <c r="J700" i="1"/>
  <c r="X700" i="1" s="1"/>
  <c r="V926" i="1"/>
  <c r="U60" i="1"/>
  <c r="W1210" i="1"/>
  <c r="V1125" i="1"/>
  <c r="U65" i="1"/>
  <c r="U457" i="1"/>
  <c r="X1239" i="1"/>
  <c r="U448" i="1"/>
  <c r="K22" i="1"/>
  <c r="J162" i="1"/>
  <c r="U162" i="1" s="1"/>
  <c r="K1014" i="1"/>
  <c r="U1014" i="1" s="1"/>
  <c r="K463" i="1"/>
  <c r="V463" i="1" s="1"/>
  <c r="K624" i="1"/>
  <c r="K834" i="1"/>
  <c r="U834" i="1" s="1"/>
  <c r="J115" i="1"/>
  <c r="J584" i="1"/>
  <c r="X584" i="1" s="1"/>
  <c r="J170" i="1"/>
  <c r="V170" i="1" s="1"/>
  <c r="K846" i="1"/>
  <c r="U846" i="1" s="1"/>
  <c r="K646" i="1"/>
  <c r="U646" i="1" s="1"/>
  <c r="K954" i="1"/>
  <c r="W954" i="1" s="1"/>
  <c r="U1204" i="1"/>
  <c r="K1001" i="1"/>
  <c r="K546" i="1"/>
  <c r="K862" i="1"/>
  <c r="U862" i="1" s="1"/>
  <c r="J68" i="1"/>
  <c r="V68" i="1" s="1"/>
  <c r="K269" i="1"/>
  <c r="X269" i="1" s="1"/>
  <c r="K367" i="1"/>
  <c r="X367" i="1" s="1"/>
  <c r="J458" i="1"/>
  <c r="J93" i="1"/>
  <c r="V93" i="1" s="1"/>
  <c r="J222" i="1"/>
  <c r="V222" i="1" s="1"/>
  <c r="J320" i="1"/>
  <c r="J418" i="1"/>
  <c r="V418" i="1" s="1"/>
  <c r="J614" i="1"/>
  <c r="X614" i="1" s="1"/>
  <c r="J712" i="1"/>
  <c r="J132" i="1"/>
  <c r="V132" i="1" s="1"/>
  <c r="J328" i="1"/>
  <c r="J259" i="1"/>
  <c r="K645" i="1"/>
  <c r="V645" i="1" s="1"/>
  <c r="K60" i="1"/>
  <c r="W60" i="1" s="1"/>
  <c r="K158" i="1"/>
  <c r="K256" i="1"/>
  <c r="U256" i="1" s="1"/>
  <c r="K354" i="1"/>
  <c r="X354" i="1" s="1"/>
  <c r="K550" i="1"/>
  <c r="J801" i="1"/>
  <c r="K1222" i="1"/>
  <c r="V1222" i="1" s="1"/>
  <c r="V764" i="1"/>
  <c r="X607" i="1"/>
  <c r="U954" i="1"/>
  <c r="X1056" i="1"/>
  <c r="V292" i="1"/>
  <c r="V1151" i="1"/>
  <c r="X267" i="1"/>
  <c r="V157" i="1"/>
  <c r="X582" i="1"/>
  <c r="V710" i="1"/>
  <c r="X960" i="1"/>
  <c r="V1060" i="1"/>
  <c r="U994" i="1"/>
  <c r="U466" i="1"/>
  <c r="W1178" i="1"/>
  <c r="W181" i="1"/>
  <c r="W671" i="1"/>
  <c r="U1151" i="1"/>
  <c r="V1246" i="1"/>
  <c r="X307" i="1"/>
  <c r="W227" i="1"/>
  <c r="U1011" i="1"/>
  <c r="X1101" i="1"/>
  <c r="X884" i="1"/>
  <c r="K1231" i="1"/>
  <c r="X1231" i="1" s="1"/>
  <c r="K758" i="1"/>
  <c r="J1059" i="1"/>
  <c r="X1059" i="1" s="1"/>
  <c r="K1011" i="1"/>
  <c r="J47" i="1"/>
  <c r="J72" i="1"/>
  <c r="W72" i="1" s="1"/>
  <c r="J299" i="1"/>
  <c r="W299" i="1" s="1"/>
  <c r="J397" i="1"/>
  <c r="J691" i="1"/>
  <c r="X691" i="1" s="1"/>
  <c r="J307" i="1"/>
  <c r="W307" i="1" s="1"/>
  <c r="J532" i="1"/>
  <c r="X532" i="1" s="1"/>
  <c r="K918" i="1"/>
  <c r="U918" i="1" s="1"/>
  <c r="K1184" i="1"/>
  <c r="U1184" i="1" s="1"/>
  <c r="J1238" i="1"/>
  <c r="X1238" i="1" s="1"/>
  <c r="W892" i="1"/>
  <c r="V1218" i="1"/>
  <c r="U1188" i="1"/>
  <c r="W500" i="1"/>
  <c r="X248" i="1"/>
  <c r="X519" i="1"/>
  <c r="U72" i="1"/>
  <c r="W226" i="1"/>
  <c r="U496" i="1"/>
  <c r="U1149" i="1"/>
  <c r="V137" i="1"/>
  <c r="X541" i="1"/>
  <c r="V1052" i="1"/>
  <c r="W339" i="1"/>
  <c r="V1150" i="1"/>
  <c r="V593" i="1"/>
  <c r="V301" i="1"/>
  <c r="U472" i="1"/>
  <c r="X1222" i="1"/>
  <c r="V1035" i="1"/>
  <c r="X581" i="1"/>
  <c r="J533" i="1"/>
  <c r="V533" i="1" s="1"/>
  <c r="K720" i="1"/>
  <c r="V720" i="1" s="1"/>
  <c r="K786" i="1"/>
  <c r="W786" i="1" s="1"/>
  <c r="J1073" i="1"/>
  <c r="W1073" i="1" s="1"/>
  <c r="K1099" i="1"/>
  <c r="U1099" i="1" s="1"/>
  <c r="K525" i="1"/>
  <c r="U525" i="1" s="1"/>
  <c r="J617" i="1"/>
  <c r="W617" i="1" s="1"/>
  <c r="K59" i="1"/>
  <c r="V59" i="1" s="1"/>
  <c r="J262" i="1"/>
  <c r="V262" i="1" s="1"/>
  <c r="J800" i="1"/>
  <c r="U800" i="1" s="1"/>
  <c r="K528" i="1"/>
  <c r="K724" i="1"/>
  <c r="J125" i="1"/>
  <c r="V125" i="1" s="1"/>
  <c r="J321" i="1"/>
  <c r="J350" i="1"/>
  <c r="J448" i="1"/>
  <c r="X448" i="1" s="1"/>
  <c r="K634" i="1"/>
  <c r="K732" i="1"/>
  <c r="U732" i="1" s="1"/>
  <c r="K830" i="1"/>
  <c r="K928" i="1"/>
  <c r="U928" i="1" s="1"/>
  <c r="K1026" i="1"/>
  <c r="K1124" i="1"/>
  <c r="K1215" i="1"/>
  <c r="V1215" i="1" s="1"/>
  <c r="J1195" i="1"/>
  <c r="X1195" i="1" s="1"/>
  <c r="J1209" i="1"/>
  <c r="X1209" i="1" s="1"/>
  <c r="J958" i="1"/>
  <c r="X958" i="1" s="1"/>
  <c r="J623" i="1"/>
  <c r="X623" i="1" s="1"/>
  <c r="J917" i="1"/>
  <c r="J1015" i="1"/>
  <c r="X1015" i="1" s="1"/>
  <c r="U263" i="1"/>
  <c r="W457" i="1"/>
  <c r="V190" i="1"/>
  <c r="W724" i="1"/>
  <c r="X262" i="1"/>
  <c r="X360" i="1"/>
  <c r="X1060" i="1"/>
  <c r="W491" i="1"/>
  <c r="X1215" i="1"/>
  <c r="V868" i="1"/>
  <c r="V81" i="1"/>
  <c r="W321" i="1"/>
  <c r="X1017" i="1"/>
  <c r="W411" i="1"/>
  <c r="W646" i="1"/>
  <c r="W884" i="1"/>
  <c r="X363" i="1"/>
  <c r="X937" i="1"/>
  <c r="W1011" i="1"/>
  <c r="U1238" i="1"/>
  <c r="U132" i="1"/>
  <c r="X926" i="1"/>
  <c r="W833" i="1"/>
  <c r="U328" i="1"/>
  <c r="U1035" i="1"/>
  <c r="W190" i="1"/>
  <c r="X213" i="1"/>
  <c r="V146" i="1"/>
  <c r="V1042" i="1"/>
  <c r="U111" i="1"/>
  <c r="V387" i="1"/>
  <c r="X705" i="1"/>
  <c r="W1106" i="1"/>
  <c r="K330" i="1"/>
  <c r="V330" i="1" s="1"/>
  <c r="J36" i="1"/>
  <c r="U36" i="1" s="1"/>
  <c r="K247" i="1"/>
  <c r="X247" i="1" s="1"/>
  <c r="K1056" i="1"/>
  <c r="K707" i="1"/>
  <c r="W707" i="1" s="1"/>
  <c r="J1218" i="1"/>
  <c r="X1218" i="1" s="1"/>
  <c r="X509" i="1"/>
  <c r="V862" i="1"/>
  <c r="U222" i="1"/>
  <c r="W322" i="1"/>
  <c r="V390" i="1"/>
  <c r="X1019" i="1"/>
  <c r="X659" i="1"/>
  <c r="V997" i="1"/>
  <c r="W824" i="1"/>
  <c r="U1218" i="1"/>
  <c r="J213" i="1"/>
  <c r="U213" i="1" s="1"/>
  <c r="K226" i="1"/>
  <c r="W780" i="1"/>
  <c r="X822" i="1"/>
  <c r="W1124" i="1"/>
  <c r="V1011" i="1"/>
  <c r="X800" i="1"/>
  <c r="X1177" i="1"/>
  <c r="X645" i="1"/>
  <c r="V981" i="1"/>
  <c r="K1042" i="1"/>
  <c r="U1042" i="1" s="1"/>
  <c r="U459" i="1"/>
  <c r="X253" i="1"/>
  <c r="U1124" i="1"/>
  <c r="U228" i="1"/>
  <c r="U860" i="1"/>
  <c r="W326" i="1"/>
  <c r="U917" i="1"/>
  <c r="U705" i="1"/>
  <c r="X1125" i="1"/>
  <c r="V517" i="1"/>
  <c r="V1221" i="1"/>
  <c r="X801" i="1"/>
  <c r="V1177" i="1"/>
  <c r="X748" i="1"/>
  <c r="X720" i="1"/>
  <c r="V419" i="1"/>
  <c r="X1074" i="1"/>
  <c r="J601" i="1"/>
  <c r="X601" i="1" s="1"/>
  <c r="J699" i="1"/>
  <c r="W699" i="1" s="1"/>
  <c r="J797" i="1"/>
  <c r="J1091" i="1"/>
  <c r="J1189" i="1"/>
  <c r="K1204" i="1"/>
  <c r="J854" i="1"/>
  <c r="J1050" i="1"/>
  <c r="K42" i="1"/>
  <c r="K140" i="1"/>
  <c r="U140" i="1" s="1"/>
  <c r="X274" i="1"/>
  <c r="X470" i="1"/>
  <c r="V920" i="1"/>
  <c r="X208" i="1"/>
  <c r="X320" i="1"/>
  <c r="V1204" i="1"/>
  <c r="W1152" i="1"/>
  <c r="W1123" i="1"/>
  <c r="U786" i="1"/>
  <c r="V557" i="1"/>
  <c r="V744" i="1"/>
  <c r="U259" i="1"/>
  <c r="U32" i="1"/>
  <c r="W436" i="1"/>
  <c r="X222" i="1"/>
  <c r="V612" i="1"/>
  <c r="V29" i="1"/>
  <c r="W115" i="1"/>
  <c r="X741" i="1"/>
  <c r="U155" i="1"/>
  <c r="U634" i="1"/>
  <c r="X266" i="1"/>
  <c r="U692" i="1"/>
  <c r="V158" i="1"/>
  <c r="W146" i="1"/>
  <c r="X459" i="1"/>
  <c r="V1004" i="1"/>
  <c r="W1040" i="1"/>
  <c r="W170" i="1"/>
  <c r="W846" i="1"/>
  <c r="U528" i="1"/>
  <c r="W1019" i="1"/>
  <c r="U644" i="1"/>
  <c r="X912" i="1"/>
  <c r="W614" i="1"/>
  <c r="U369" i="1"/>
  <c r="W1159" i="1"/>
  <c r="V47" i="1"/>
  <c r="V705" i="1"/>
  <c r="W1127" i="1"/>
  <c r="W694" i="1"/>
  <c r="U822" i="1"/>
  <c r="W1100" i="1"/>
  <c r="W1105" i="1"/>
  <c r="V833" i="1"/>
  <c r="K63" i="1"/>
  <c r="K161" i="1"/>
  <c r="X517" i="1"/>
  <c r="V743" i="1"/>
  <c r="W927" i="1"/>
  <c r="W983" i="1"/>
  <c r="U240" i="1"/>
  <c r="V352" i="1"/>
  <c r="X240" i="1"/>
  <c r="X436" i="1"/>
  <c r="V326" i="1"/>
  <c r="W1202" i="1"/>
  <c r="U663" i="1"/>
  <c r="X758" i="1"/>
  <c r="X954" i="1"/>
  <c r="U419" i="1"/>
  <c r="W831" i="1"/>
  <c r="X1011" i="1"/>
  <c r="V1001" i="1"/>
  <c r="V322" i="1"/>
  <c r="W1029" i="1"/>
  <c r="X368" i="1"/>
  <c r="W582" i="1"/>
  <c r="U612" i="1"/>
  <c r="W792" i="1"/>
  <c r="V778" i="1"/>
  <c r="X1099" i="1"/>
  <c r="V1059" i="1"/>
  <c r="K231" i="1"/>
  <c r="X231" i="1" s="1"/>
  <c r="U814" i="1"/>
  <c r="U47" i="1"/>
  <c r="V603" i="1"/>
  <c r="X1161" i="1"/>
  <c r="U884" i="1"/>
  <c r="X910" i="1"/>
  <c r="W1153" i="1"/>
  <c r="U798" i="1"/>
  <c r="U463" i="1"/>
  <c r="V1111" i="1"/>
  <c r="U910" i="1"/>
  <c r="U170" i="1"/>
  <c r="U960" i="1"/>
  <c r="W721" i="1"/>
  <c r="W231" i="1"/>
  <c r="W917" i="1"/>
  <c r="X732" i="1"/>
  <c r="W1240" i="1"/>
  <c r="V877" i="1"/>
  <c r="V162" i="1"/>
  <c r="W473" i="1"/>
  <c r="U700" i="1"/>
  <c r="U937" i="1"/>
  <c r="K29" i="1"/>
  <c r="U29" i="1" s="1"/>
  <c r="K449" i="1"/>
  <c r="J169" i="1"/>
  <c r="V169" i="1" s="1"/>
  <c r="J393" i="1"/>
  <c r="V393" i="1" s="1"/>
  <c r="J234" i="1"/>
  <c r="J535" i="1"/>
  <c r="J885" i="1"/>
  <c r="V885" i="1" s="1"/>
  <c r="K818" i="1"/>
  <c r="K1252" i="1"/>
  <c r="V1252" i="1" s="1"/>
  <c r="K517" i="1"/>
  <c r="J1156" i="1"/>
  <c r="K373" i="1"/>
  <c r="W373" i="1" s="1"/>
  <c r="K905" i="1"/>
  <c r="J380" i="1"/>
  <c r="X380" i="1" s="1"/>
  <c r="J471" i="1"/>
  <c r="V471" i="1" s="1"/>
  <c r="J583" i="1"/>
  <c r="J793" i="1"/>
  <c r="X793" i="1" s="1"/>
  <c r="J947" i="1"/>
  <c r="X947" i="1" s="1"/>
  <c r="K794" i="1"/>
  <c r="V794" i="1" s="1"/>
  <c r="K899" i="1"/>
  <c r="V529" i="1"/>
  <c r="U266" i="1"/>
  <c r="U605" i="1"/>
  <c r="W942" i="1"/>
  <c r="W158" i="1"/>
  <c r="W1026" i="1"/>
  <c r="W1060" i="1"/>
  <c r="V570" i="1"/>
  <c r="V151" i="1"/>
  <c r="W405" i="1"/>
  <c r="V1089" i="1"/>
  <c r="U1150" i="1"/>
  <c r="W1193" i="1"/>
  <c r="V141" i="1"/>
  <c r="U1015" i="1"/>
  <c r="W1238" i="1"/>
  <c r="V928" i="1"/>
  <c r="W1252" i="1"/>
  <c r="V1209" i="1"/>
  <c r="U584" i="1"/>
  <c r="V1178" i="1"/>
  <c r="V495" i="1"/>
  <c r="W819" i="1"/>
  <c r="X1109" i="1"/>
  <c r="U416" i="1"/>
  <c r="V496" i="1"/>
  <c r="X875" i="1"/>
  <c r="V807" i="1"/>
  <c r="U778" i="1"/>
  <c r="V359" i="1"/>
  <c r="U405" i="1"/>
  <c r="W557" i="1"/>
  <c r="V707" i="1"/>
  <c r="V658" i="1"/>
  <c r="K197" i="1"/>
  <c r="K855" i="1"/>
  <c r="J50" i="1"/>
  <c r="J414" i="1"/>
  <c r="J554" i="1"/>
  <c r="J729" i="1"/>
  <c r="U729" i="1" s="1"/>
  <c r="J752" i="1"/>
  <c r="X752" i="1" s="1"/>
  <c r="J920" i="1"/>
  <c r="K860" i="1"/>
  <c r="X860" i="1" s="1"/>
  <c r="K27" i="1"/>
  <c r="U27" i="1" s="1"/>
  <c r="K748" i="1"/>
  <c r="U748" i="1" s="1"/>
  <c r="J792" i="1"/>
  <c r="X792" i="1" s="1"/>
  <c r="J1198" i="1"/>
  <c r="V1198" i="1" s="1"/>
  <c r="K807" i="1"/>
  <c r="U807" i="1" s="1"/>
  <c r="J408" i="1"/>
  <c r="J492" i="1"/>
  <c r="W492" i="1" s="1"/>
  <c r="K1151" i="1"/>
  <c r="K1148" i="1"/>
  <c r="K1225" i="1"/>
  <c r="U1225" i="1" s="1"/>
  <c r="K582" i="1"/>
  <c r="U582" i="1" s="1"/>
  <c r="J75" i="1"/>
  <c r="W75" i="1" s="1"/>
  <c r="K276" i="1"/>
  <c r="V276" i="1" s="1"/>
  <c r="K374" i="1"/>
  <c r="X374" i="1" s="1"/>
  <c r="K472" i="1"/>
  <c r="V472" i="1" s="1"/>
  <c r="K1254" i="1"/>
  <c r="X1254" i="1" s="1"/>
  <c r="J100" i="1"/>
  <c r="W100" i="1" s="1"/>
  <c r="K542" i="1"/>
  <c r="U542" i="1" s="1"/>
  <c r="K738" i="1"/>
  <c r="U738" i="1" s="1"/>
  <c r="J229" i="1"/>
  <c r="W229" i="1" s="1"/>
  <c r="J327" i="1"/>
  <c r="U327" i="1" s="1"/>
  <c r="J425" i="1"/>
  <c r="J523" i="1"/>
  <c r="J621" i="1"/>
  <c r="W621" i="1" s="1"/>
  <c r="J339" i="1"/>
  <c r="U339" i="1" s="1"/>
  <c r="J962" i="1"/>
  <c r="U962" i="1" s="1"/>
  <c r="J940" i="1"/>
  <c r="X940" i="1" s="1"/>
  <c r="J139" i="1"/>
  <c r="J335" i="1"/>
  <c r="J531" i="1"/>
  <c r="U531" i="1" s="1"/>
  <c r="J266" i="1"/>
  <c r="K666" i="1"/>
  <c r="U666" i="1" s="1"/>
  <c r="U781" i="1"/>
  <c r="W695" i="1"/>
  <c r="X300" i="1"/>
  <c r="W374" i="1"/>
  <c r="W822" i="1"/>
  <c r="X846" i="1"/>
  <c r="W1074" i="1"/>
  <c r="V153" i="1"/>
  <c r="W659" i="1"/>
  <c r="W939" i="1"/>
  <c r="X575" i="1"/>
  <c r="V619" i="1"/>
  <c r="W600" i="1"/>
  <c r="U59" i="1"/>
  <c r="U1177" i="1"/>
  <c r="U141" i="1"/>
  <c r="X485" i="1"/>
  <c r="U603" i="1"/>
  <c r="W1245" i="1"/>
  <c r="U1195" i="1"/>
  <c r="W783" i="1"/>
  <c r="W562" i="1"/>
  <c r="X321" i="1"/>
  <c r="W409" i="1"/>
  <c r="W807" i="1"/>
  <c r="U320" i="1"/>
  <c r="X496" i="1"/>
  <c r="V600" i="1"/>
  <c r="W912" i="1"/>
  <c r="U354" i="1"/>
  <c r="X779" i="1"/>
  <c r="W1035" i="1"/>
  <c r="V143" i="1"/>
  <c r="U89" i="1"/>
  <c r="X434" i="1"/>
  <c r="U1209" i="1"/>
  <c r="U414" i="1"/>
  <c r="X338" i="1"/>
  <c r="X394" i="1"/>
  <c r="V884" i="1"/>
  <c r="U981" i="1"/>
  <c r="X983" i="1"/>
  <c r="X719" i="1"/>
  <c r="X1097" i="1"/>
  <c r="V1071" i="1"/>
  <c r="U600" i="1"/>
  <c r="V1086" i="1"/>
  <c r="W266" i="1"/>
  <c r="W350" i="1"/>
  <c r="W546" i="1"/>
  <c r="X892" i="1"/>
  <c r="W1177" i="1"/>
  <c r="X463" i="1"/>
  <c r="U255" i="1"/>
  <c r="X694" i="1"/>
  <c r="U1246" i="1"/>
  <c r="U1221" i="1"/>
  <c r="U130" i="1"/>
  <c r="W814" i="1"/>
  <c r="W926" i="1"/>
  <c r="W125" i="1"/>
  <c r="W349" i="1"/>
  <c r="X807" i="1"/>
  <c r="V227" i="1"/>
  <c r="W910" i="1"/>
  <c r="U204" i="1"/>
  <c r="U720" i="1"/>
  <c r="X235" i="1"/>
  <c r="W800" i="1"/>
  <c r="V910" i="1"/>
  <c r="U1153" i="1"/>
  <c r="U61" i="1"/>
  <c r="X391" i="1"/>
  <c r="V752" i="1"/>
  <c r="X322" i="1"/>
  <c r="W242" i="1"/>
  <c r="V800" i="1"/>
  <c r="W328" i="1"/>
  <c r="U322" i="1"/>
  <c r="X1247" i="1"/>
  <c r="V634" i="1"/>
  <c r="V717" i="1"/>
  <c r="V1026" i="1"/>
  <c r="X1221" i="1"/>
  <c r="W1156" i="1"/>
  <c r="V1254" i="1"/>
  <c r="U595" i="1"/>
  <c r="W1042" i="1"/>
  <c r="U93" i="1"/>
  <c r="V299" i="1"/>
  <c r="X535" i="1"/>
  <c r="V663" i="1"/>
  <c r="U360" i="1"/>
  <c r="X914" i="1"/>
  <c r="X1236" i="1"/>
  <c r="U81" i="1"/>
  <c r="U68" i="1"/>
  <c r="U153" i="1"/>
  <c r="W262" i="1"/>
  <c r="V259" i="1"/>
  <c r="W430" i="1"/>
  <c r="V470" i="1"/>
  <c r="U503" i="1"/>
  <c r="U619" i="1"/>
  <c r="K127" i="1"/>
  <c r="U127" i="1" s="1"/>
  <c r="K386" i="1"/>
  <c r="K519" i="1"/>
  <c r="K939" i="1"/>
  <c r="J456" i="1"/>
  <c r="U456" i="1" s="1"/>
  <c r="J610" i="1"/>
  <c r="U610" i="1" s="1"/>
  <c r="J820" i="1"/>
  <c r="U820" i="1" s="1"/>
  <c r="J45" i="1"/>
  <c r="J171" i="1"/>
  <c r="V171" i="1" s="1"/>
  <c r="J465" i="1"/>
  <c r="V465" i="1" s="1"/>
  <c r="J815" i="1"/>
  <c r="U815" i="1" s="1"/>
  <c r="J1004" i="1"/>
  <c r="U1004" i="1" s="1"/>
  <c r="K296" i="1"/>
  <c r="K944" i="1"/>
  <c r="U944" i="1" s="1"/>
  <c r="K1140" i="1"/>
  <c r="K622" i="1"/>
  <c r="W622" i="1" s="1"/>
  <c r="K993" i="1"/>
  <c r="X993" i="1" s="1"/>
  <c r="J1058" i="1"/>
  <c r="W1058" i="1" s="1"/>
  <c r="J1240" i="1"/>
  <c r="K464" i="1"/>
  <c r="U464" i="1" s="1"/>
  <c r="K576" i="1"/>
  <c r="K856" i="1"/>
  <c r="U856" i="1" s="1"/>
  <c r="J324" i="1"/>
  <c r="U324" i="1" s="1"/>
  <c r="J422" i="1"/>
  <c r="V422" i="1" s="1"/>
  <c r="J527" i="1"/>
  <c r="V527" i="1" s="1"/>
  <c r="J639" i="1"/>
  <c r="X639" i="1" s="1"/>
  <c r="J877" i="1"/>
  <c r="W877" i="1" s="1"/>
  <c r="K850" i="1"/>
  <c r="V850" i="1" s="1"/>
  <c r="K1081" i="1"/>
  <c r="U1081" i="1" s="1"/>
  <c r="K252" i="1"/>
  <c r="X252" i="1" s="1"/>
  <c r="K364" i="1"/>
  <c r="W364" i="1" s="1"/>
  <c r="K679" i="1"/>
  <c r="K994" i="1"/>
  <c r="X994" i="1" s="1"/>
  <c r="J15" i="1"/>
  <c r="K206" i="1"/>
  <c r="K409" i="1"/>
  <c r="J703" i="1"/>
  <c r="W703" i="1" s="1"/>
  <c r="K675" i="1"/>
  <c r="K927" i="1"/>
  <c r="J892" i="1"/>
  <c r="V892" i="1" s="1"/>
  <c r="K40" i="1"/>
  <c r="V40" i="1" s="1"/>
  <c r="K138" i="1"/>
  <c r="V138" i="1" s="1"/>
  <c r="J31" i="1"/>
  <c r="J1123" i="1"/>
  <c r="X1123" i="1" s="1"/>
  <c r="J1111" i="1"/>
  <c r="X1111" i="1" s="1"/>
  <c r="J76" i="1"/>
  <c r="V76" i="1" s="1"/>
  <c r="J174" i="1"/>
  <c r="U174" i="1" s="1"/>
  <c r="J272" i="1"/>
  <c r="U272" i="1" s="1"/>
  <c r="J370" i="1"/>
  <c r="J468" i="1"/>
  <c r="J7" i="1"/>
  <c r="J105" i="1"/>
  <c r="U105" i="1" s="1"/>
  <c r="J301" i="1"/>
  <c r="K134" i="1"/>
  <c r="J32" i="1"/>
  <c r="V32" i="1" s="1"/>
  <c r="J130" i="1"/>
  <c r="J228" i="1"/>
  <c r="V228" i="1" s="1"/>
  <c r="J326" i="1"/>
  <c r="J424" i="1"/>
  <c r="X424" i="1" s="1"/>
  <c r="J522" i="1"/>
  <c r="X522" i="1" s="1"/>
  <c r="K173" i="1"/>
  <c r="K271" i="1"/>
  <c r="K369" i="1"/>
  <c r="W369" i="1" s="1"/>
  <c r="K467" i="1"/>
  <c r="K565" i="1"/>
  <c r="W565" i="1" s="1"/>
  <c r="K957" i="1"/>
  <c r="K1200" i="1"/>
  <c r="J1109" i="1"/>
  <c r="U1109" i="1" s="1"/>
  <c r="J992" i="1"/>
  <c r="X992" i="1" s="1"/>
  <c r="J796" i="1"/>
  <c r="U796" i="1" s="1"/>
  <c r="J894" i="1"/>
  <c r="X894" i="1" s="1"/>
  <c r="K44" i="1"/>
  <c r="U44" i="1" s="1"/>
  <c r="K191" i="1"/>
  <c r="K702" i="1"/>
  <c r="K1199" i="1"/>
  <c r="K1066" i="1"/>
  <c r="K1255" i="1"/>
  <c r="X371" i="1"/>
  <c r="V302" i="1"/>
  <c r="U335" i="1"/>
  <c r="K274" i="1"/>
  <c r="K400" i="1"/>
  <c r="K540" i="1"/>
  <c r="K988" i="1"/>
  <c r="V988" i="1" s="1"/>
  <c r="J141" i="1"/>
  <c r="W141" i="1" s="1"/>
  <c r="J477" i="1"/>
  <c r="X477" i="1" s="1"/>
  <c r="J631" i="1"/>
  <c r="V631" i="1" s="1"/>
  <c r="J841" i="1"/>
  <c r="J66" i="1"/>
  <c r="W66" i="1" s="1"/>
  <c r="K177" i="1"/>
  <c r="W177" i="1" s="1"/>
  <c r="J233" i="1"/>
  <c r="V233" i="1" s="1"/>
  <c r="K300" i="1"/>
  <c r="U300" i="1" s="1"/>
  <c r="K503" i="1"/>
  <c r="K104" i="1"/>
  <c r="K643" i="1"/>
  <c r="K839" i="1"/>
  <c r="J1100" i="1"/>
  <c r="X1100" i="1" s="1"/>
  <c r="K163" i="1"/>
  <c r="K478" i="1"/>
  <c r="U478" i="1" s="1"/>
  <c r="K597" i="1"/>
  <c r="W597" i="1" s="1"/>
  <c r="J352" i="1"/>
  <c r="W352" i="1" s="1"/>
  <c r="J653" i="1"/>
  <c r="X653" i="1" s="1"/>
  <c r="J765" i="1"/>
  <c r="U765" i="1" s="1"/>
  <c r="J891" i="1"/>
  <c r="X891" i="1" s="1"/>
  <c r="K864" i="1"/>
  <c r="V864" i="1" s="1"/>
  <c r="K990" i="1"/>
  <c r="K1102" i="1"/>
  <c r="W1102" i="1" s="1"/>
  <c r="K1207" i="1"/>
  <c r="K553" i="1"/>
  <c r="K1211" i="1"/>
  <c r="K875" i="1"/>
  <c r="V875" i="1" s="1"/>
  <c r="K1169" i="1"/>
  <c r="U1169" i="1" s="1"/>
  <c r="K721" i="1"/>
  <c r="K750" i="1"/>
  <c r="J43" i="1"/>
  <c r="J827" i="1"/>
  <c r="X827" i="1" s="1"/>
  <c r="K24" i="1"/>
  <c r="K122" i="1"/>
  <c r="U122" i="1" s="1"/>
  <c r="K220" i="1"/>
  <c r="X220" i="1" s="1"/>
  <c r="K325" i="1"/>
  <c r="V325" i="1" s="1"/>
  <c r="K521" i="1"/>
  <c r="J429" i="1"/>
  <c r="X429" i="1" s="1"/>
  <c r="J1136" i="1"/>
  <c r="K591" i="1"/>
  <c r="J934" i="1"/>
  <c r="V934" i="1" s="1"/>
  <c r="K848" i="1"/>
  <c r="J629" i="1"/>
  <c r="X629" i="1" s="1"/>
  <c r="J727" i="1"/>
  <c r="J825" i="1"/>
  <c r="V825" i="1" s="1"/>
  <c r="J923" i="1"/>
  <c r="V923" i="1" s="1"/>
  <c r="J1021" i="1"/>
  <c r="X1021" i="1" s="1"/>
  <c r="J1119" i="1"/>
  <c r="J1217" i="1"/>
  <c r="J686" i="1"/>
  <c r="W686" i="1" s="1"/>
  <c r="J882" i="1"/>
  <c r="J980" i="1"/>
  <c r="J1078" i="1"/>
  <c r="W1078" i="1" s="1"/>
  <c r="J1176" i="1"/>
  <c r="V1176" i="1" s="1"/>
  <c r="K70" i="1"/>
  <c r="K168" i="1"/>
  <c r="W263" i="1"/>
  <c r="V373" i="1"/>
  <c r="V401" i="1"/>
  <c r="X609" i="1"/>
  <c r="W585" i="1"/>
  <c r="V1214" i="1"/>
  <c r="K8" i="1"/>
  <c r="K155" i="1"/>
  <c r="W155" i="1" s="1"/>
  <c r="K407" i="1"/>
  <c r="K1009" i="1"/>
  <c r="J148" i="1"/>
  <c r="J73" i="1"/>
  <c r="J360" i="1"/>
  <c r="J682" i="1"/>
  <c r="X682" i="1" s="1"/>
  <c r="J240" i="1"/>
  <c r="W240" i="1" s="1"/>
  <c r="K524" i="1"/>
  <c r="V524" i="1" s="1"/>
  <c r="K1035" i="1"/>
  <c r="K1210" i="1"/>
  <c r="J1135" i="1"/>
  <c r="K219" i="1"/>
  <c r="X219" i="1" s="1"/>
  <c r="K485" i="1"/>
  <c r="K884" i="1"/>
  <c r="J359" i="1"/>
  <c r="J898" i="1"/>
  <c r="X898" i="1" s="1"/>
  <c r="J1164" i="1"/>
  <c r="V1164" i="1" s="1"/>
  <c r="K871" i="1"/>
  <c r="V871" i="1" s="1"/>
  <c r="K997" i="1"/>
  <c r="U997" i="1" s="1"/>
  <c r="K1239" i="1"/>
  <c r="W1239" i="1" s="1"/>
  <c r="K560" i="1"/>
  <c r="U560" i="1" s="1"/>
  <c r="K896" i="1"/>
  <c r="U896" i="1" s="1"/>
  <c r="K427" i="1"/>
  <c r="K365" i="1"/>
  <c r="U365" i="1" s="1"/>
  <c r="J547" i="1"/>
  <c r="K129" i="1"/>
  <c r="W129" i="1" s="1"/>
  <c r="K227" i="1"/>
  <c r="X227" i="1" s="1"/>
  <c r="K332" i="1"/>
  <c r="W332" i="1" s="1"/>
  <c r="J534" i="1"/>
  <c r="K598" i="1"/>
  <c r="U598" i="1" s="1"/>
  <c r="K696" i="1"/>
  <c r="K1095" i="1"/>
  <c r="K61" i="1"/>
  <c r="W61" i="1" s="1"/>
  <c r="J212" i="1"/>
  <c r="J97" i="1"/>
  <c r="W97" i="1" s="1"/>
  <c r="J195" i="1"/>
  <c r="J293" i="1"/>
  <c r="W293" i="1" s="1"/>
  <c r="J391" i="1"/>
  <c r="W391" i="1" s="1"/>
  <c r="J489" i="1"/>
  <c r="W489" i="1" s="1"/>
  <c r="J322" i="1"/>
  <c r="J518" i="1"/>
  <c r="W518" i="1" s="1"/>
  <c r="K351" i="1"/>
  <c r="W351" i="1" s="1"/>
  <c r="J53" i="1"/>
  <c r="J151" i="1"/>
  <c r="U151" i="1" s="1"/>
  <c r="J249" i="1"/>
  <c r="J347" i="1"/>
  <c r="W347" i="1" s="1"/>
  <c r="J445" i="1"/>
  <c r="X445" i="1" s="1"/>
  <c r="J543" i="1"/>
  <c r="V543" i="1" s="1"/>
  <c r="K194" i="1"/>
  <c r="W194" i="1" s="1"/>
  <c r="K292" i="1"/>
  <c r="K390" i="1"/>
  <c r="X390" i="1" s="1"/>
  <c r="K488" i="1"/>
  <c r="K586" i="1"/>
  <c r="V586" i="1" s="1"/>
  <c r="K684" i="1"/>
  <c r="V684" i="1" s="1"/>
  <c r="K1181" i="1"/>
  <c r="J1144" i="1"/>
  <c r="J620" i="1"/>
  <c r="W620" i="1" s="1"/>
  <c r="J718" i="1"/>
  <c r="X718" i="1" s="1"/>
  <c r="J816" i="1"/>
  <c r="W816" i="1" s="1"/>
  <c r="J914" i="1"/>
  <c r="U914" i="1" s="1"/>
  <c r="J1012" i="1"/>
  <c r="J1110" i="1"/>
  <c r="X1110" i="1" s="1"/>
  <c r="J1083" i="1"/>
  <c r="W1083" i="1" s="1"/>
  <c r="J1090" i="1"/>
  <c r="X1090" i="1" s="1"/>
  <c r="J817" i="1"/>
  <c r="X817" i="1" s="1"/>
  <c r="J267" i="1"/>
  <c r="J946" i="1"/>
  <c r="V946" i="1" s="1"/>
  <c r="J1163" i="1"/>
  <c r="K65" i="1"/>
  <c r="K772" i="1"/>
  <c r="V772" i="1" s="1"/>
  <c r="K1045" i="1"/>
  <c r="U1045" i="1" s="1"/>
  <c r="K1241" i="1"/>
  <c r="U1241" i="1" s="1"/>
  <c r="K883" i="1"/>
  <c r="K1170" i="1"/>
  <c r="J734" i="1"/>
  <c r="X734" i="1" s="1"/>
  <c r="J832" i="1"/>
  <c r="X832" i="1" s="1"/>
  <c r="J1028" i="1"/>
  <c r="X1028" i="1" s="1"/>
  <c r="J1224" i="1"/>
  <c r="J595" i="1"/>
  <c r="X595" i="1" s="1"/>
  <c r="J693" i="1"/>
  <c r="X693" i="1" s="1"/>
  <c r="J791" i="1"/>
  <c r="J889" i="1"/>
  <c r="W889" i="1" s="1"/>
  <c r="J1085" i="1"/>
  <c r="W1085" i="1" s="1"/>
  <c r="J1190" i="1"/>
  <c r="V1079" i="1"/>
  <c r="V1219" i="1"/>
  <c r="W496" i="1"/>
  <c r="V436" i="1"/>
  <c r="V562" i="1"/>
  <c r="V424" i="1"/>
  <c r="V1077" i="1"/>
  <c r="U426" i="1"/>
  <c r="X411" i="1"/>
  <c r="U931" i="1"/>
  <c r="U593" i="1"/>
  <c r="X814" i="1"/>
  <c r="X856" i="1"/>
  <c r="W1014" i="1"/>
  <c r="W1056" i="1"/>
  <c r="V145" i="1"/>
  <c r="V803" i="1"/>
  <c r="V1195" i="1"/>
  <c r="X634" i="1"/>
  <c r="V659" i="1"/>
  <c r="U421" i="1"/>
  <c r="V1124" i="1"/>
  <c r="V300" i="1"/>
  <c r="W63" i="1"/>
  <c r="U429" i="1"/>
  <c r="W525" i="1"/>
  <c r="W176" i="1"/>
  <c r="X396" i="1"/>
  <c r="U892" i="1"/>
  <c r="W1016" i="1"/>
  <c r="U1214" i="1"/>
  <c r="X1071" i="1"/>
  <c r="U939" i="1"/>
  <c r="W81" i="1"/>
  <c r="V65" i="1"/>
  <c r="V219" i="1"/>
  <c r="X566" i="1"/>
  <c r="X707" i="1"/>
  <c r="V569" i="1"/>
  <c r="X777" i="1"/>
  <c r="K204" i="1"/>
  <c r="X204" i="1" s="1"/>
  <c r="K344" i="1"/>
  <c r="U344" i="1" s="1"/>
  <c r="K484" i="1"/>
  <c r="W484" i="1" s="1"/>
  <c r="K659" i="1"/>
  <c r="K890" i="1"/>
  <c r="U890" i="1" s="1"/>
  <c r="J64" i="1"/>
  <c r="W64" i="1" s="1"/>
  <c r="J246" i="1"/>
  <c r="W246" i="1" s="1"/>
  <c r="J421" i="1"/>
  <c r="J561" i="1"/>
  <c r="W561" i="1" s="1"/>
  <c r="J757" i="1"/>
  <c r="J1037" i="1"/>
  <c r="J143" i="1"/>
  <c r="W143" i="1" s="1"/>
  <c r="J423" i="1"/>
  <c r="X423" i="1" s="1"/>
  <c r="J605" i="1"/>
  <c r="X605" i="1" s="1"/>
  <c r="J766" i="1"/>
  <c r="X766" i="1" s="1"/>
  <c r="J948" i="1"/>
  <c r="K268" i="1"/>
  <c r="X268" i="1" s="1"/>
  <c r="J184" i="1"/>
  <c r="K398" i="1"/>
  <c r="K636" i="1"/>
  <c r="K34" i="1"/>
  <c r="K202" i="1"/>
  <c r="V202" i="1" s="1"/>
  <c r="K405" i="1"/>
  <c r="V405" i="1" s="1"/>
  <c r="K566" i="1"/>
  <c r="K762" i="1"/>
  <c r="W762" i="1" s="1"/>
  <c r="K937" i="1"/>
  <c r="W937" i="1" s="1"/>
  <c r="K1133" i="1"/>
  <c r="X1133" i="1" s="1"/>
  <c r="J897" i="1"/>
  <c r="X897" i="1" s="1"/>
  <c r="J1205" i="1"/>
  <c r="U1205" i="1" s="1"/>
  <c r="K436" i="1"/>
  <c r="K541" i="1"/>
  <c r="V541" i="1" s="1"/>
  <c r="K660" i="1"/>
  <c r="K821" i="1"/>
  <c r="J261" i="1"/>
  <c r="J415" i="1"/>
  <c r="X415" i="1" s="1"/>
  <c r="J499" i="1"/>
  <c r="W851" i="1"/>
  <c r="X520" i="1"/>
  <c r="U349" i="1"/>
  <c r="K211" i="1"/>
  <c r="K358" i="1"/>
  <c r="V358" i="1" s="1"/>
  <c r="K491" i="1"/>
  <c r="J281" i="1"/>
  <c r="X281" i="1" s="1"/>
  <c r="J428" i="1"/>
  <c r="W428" i="1" s="1"/>
  <c r="J568" i="1"/>
  <c r="X568" i="1" s="1"/>
  <c r="J778" i="1"/>
  <c r="J1044" i="1"/>
  <c r="X1044" i="1" s="1"/>
  <c r="J430" i="1"/>
  <c r="J626" i="1"/>
  <c r="J780" i="1"/>
  <c r="U780" i="1" s="1"/>
  <c r="J1228" i="1"/>
  <c r="K275" i="1"/>
  <c r="U275" i="1" s="1"/>
  <c r="K230" i="1"/>
  <c r="X230" i="1" s="1"/>
  <c r="K419" i="1"/>
  <c r="W419" i="1" s="1"/>
  <c r="K895" i="1"/>
  <c r="K41" i="1"/>
  <c r="U41" i="1" s="1"/>
  <c r="K209" i="1"/>
  <c r="W209" i="1" s="1"/>
  <c r="J1219" i="1"/>
  <c r="K443" i="1"/>
  <c r="W443" i="1" s="1"/>
  <c r="K548" i="1"/>
  <c r="U548" i="1" s="1"/>
  <c r="K667" i="1"/>
  <c r="U667" i="1" s="1"/>
  <c r="K828" i="1"/>
  <c r="J303" i="1"/>
  <c r="J338" i="1"/>
  <c r="J506" i="1"/>
  <c r="X506" i="1" s="1"/>
  <c r="J618" i="1"/>
  <c r="V618" i="1" s="1"/>
  <c r="J730" i="1"/>
  <c r="V730" i="1" s="1"/>
  <c r="J1108" i="1"/>
  <c r="X1108" i="1" s="1"/>
  <c r="K1060" i="1"/>
  <c r="U1060" i="1" s="1"/>
  <c r="K1165" i="1"/>
  <c r="W1165" i="1" s="1"/>
  <c r="K1018" i="1"/>
  <c r="U1018" i="1" s="1"/>
  <c r="K1256" i="1"/>
  <c r="U1256" i="1" s="1"/>
  <c r="K1071" i="1"/>
  <c r="U1071" i="1" s="1"/>
  <c r="K336" i="1"/>
  <c r="W336" i="1" s="1"/>
  <c r="K203" i="1"/>
  <c r="V203" i="1" s="1"/>
  <c r="K497" i="1"/>
  <c r="K526" i="1"/>
  <c r="J183" i="1"/>
  <c r="J603" i="1"/>
  <c r="X603" i="1" s="1"/>
  <c r="J869" i="1"/>
  <c r="K150" i="1"/>
  <c r="K255" i="1"/>
  <c r="X255" i="1" s="1"/>
  <c r="K353" i="1"/>
  <c r="X353" i="1" s="1"/>
  <c r="J248" i="1"/>
  <c r="W248" i="1" s="1"/>
  <c r="J79" i="1"/>
  <c r="U79" i="1" s="1"/>
  <c r="J716" i="1"/>
  <c r="U716" i="1" s="1"/>
  <c r="K241" i="1"/>
  <c r="X241" i="1" s="1"/>
  <c r="K619" i="1"/>
  <c r="K717" i="1"/>
  <c r="W717" i="1" s="1"/>
  <c r="K1242" i="1"/>
  <c r="J1046" i="1"/>
  <c r="V1046" i="1" s="1"/>
  <c r="J1197" i="1"/>
  <c r="V1197" i="1" s="1"/>
  <c r="J208" i="1"/>
  <c r="U208" i="1" s="1"/>
  <c r="J306" i="1"/>
  <c r="W306" i="1" s="1"/>
  <c r="J404" i="1"/>
  <c r="X404" i="1" s="1"/>
  <c r="J502" i="1"/>
  <c r="U502" i="1" s="1"/>
  <c r="J600" i="1"/>
  <c r="X600" i="1" s="1"/>
  <c r="J698" i="1"/>
  <c r="J689" i="1"/>
  <c r="U689" i="1" s="1"/>
  <c r="J1235" i="1"/>
  <c r="U1235" i="1" s="1"/>
  <c r="J118" i="1"/>
  <c r="J216" i="1"/>
  <c r="U216" i="1" s="1"/>
  <c r="J314" i="1"/>
  <c r="J412" i="1"/>
  <c r="V412" i="1" s="1"/>
  <c r="J510" i="1"/>
  <c r="W510" i="1" s="1"/>
  <c r="J245" i="1"/>
  <c r="J539" i="1"/>
  <c r="K498" i="1"/>
  <c r="K215" i="1"/>
  <c r="X215" i="1" s="1"/>
  <c r="K313" i="1"/>
  <c r="X313" i="1" s="1"/>
  <c r="K411" i="1"/>
  <c r="U411" i="1" s="1"/>
  <c r="K509" i="1"/>
  <c r="W509" i="1" s="1"/>
  <c r="K607" i="1"/>
  <c r="V607" i="1" s="1"/>
  <c r="K705" i="1"/>
  <c r="W705" i="1" s="1"/>
  <c r="K1202" i="1"/>
  <c r="K627" i="1"/>
  <c r="K725" i="1"/>
  <c r="U725" i="1" s="1"/>
  <c r="K823" i="1"/>
  <c r="K921" i="1"/>
  <c r="W921" i="1" s="1"/>
  <c r="K1019" i="1"/>
  <c r="U1019" i="1" s="1"/>
  <c r="K1117" i="1"/>
  <c r="K785" i="1"/>
  <c r="W785" i="1" s="1"/>
  <c r="K1208" i="1"/>
  <c r="U1208" i="1" s="1"/>
  <c r="J641" i="1"/>
  <c r="J739" i="1"/>
  <c r="X739" i="1" s="1"/>
  <c r="J837" i="1"/>
  <c r="X837" i="1" s="1"/>
  <c r="J935" i="1"/>
  <c r="J1033" i="1"/>
  <c r="X1033" i="1" s="1"/>
  <c r="J1131" i="1"/>
  <c r="J1229" i="1"/>
  <c r="U1229" i="1" s="1"/>
  <c r="J1160" i="1"/>
  <c r="V1160" i="1" s="1"/>
  <c r="J1188" i="1"/>
  <c r="W1188" i="1" s="1"/>
  <c r="J309" i="1"/>
  <c r="J1212" i="1"/>
  <c r="K86" i="1"/>
  <c r="U86" i="1" s="1"/>
  <c r="K401" i="1"/>
  <c r="K814" i="1"/>
  <c r="K1087" i="1"/>
  <c r="V1087" i="1" s="1"/>
  <c r="K961" i="1"/>
  <c r="K1150" i="1"/>
  <c r="W1150" i="1" s="1"/>
  <c r="K925" i="1"/>
  <c r="U925" i="1" s="1"/>
  <c r="K1093" i="1"/>
  <c r="V1093" i="1" s="1"/>
  <c r="K1191" i="1"/>
  <c r="J657" i="1"/>
  <c r="J755" i="1"/>
  <c r="X755" i="1" s="1"/>
  <c r="J853" i="1"/>
  <c r="U853" i="1" s="1"/>
  <c r="J951" i="1"/>
  <c r="W951" i="1" s="1"/>
  <c r="J1049" i="1"/>
  <c r="X1049" i="1" s="1"/>
  <c r="J1147" i="1"/>
  <c r="J1245" i="1"/>
  <c r="X1245" i="1" s="1"/>
  <c r="J616" i="1"/>
  <c r="J812" i="1"/>
  <c r="J910" i="1"/>
  <c r="J1008" i="1"/>
  <c r="W1008" i="1" s="1"/>
  <c r="J1106" i="1"/>
  <c r="V1106" i="1" s="1"/>
  <c r="K726" i="1"/>
  <c r="U726" i="1" s="1"/>
  <c r="K824" i="1"/>
  <c r="V824" i="1" s="1"/>
  <c r="K1020" i="1"/>
  <c r="K1118" i="1"/>
  <c r="U1118" i="1" s="1"/>
  <c r="K1223" i="1"/>
  <c r="V1223" i="1" s="1"/>
  <c r="K67" i="1"/>
  <c r="K165" i="1"/>
  <c r="W165" i="1" s="1"/>
  <c r="K263" i="1"/>
  <c r="X263" i="1" s="1"/>
  <c r="K361" i="1"/>
  <c r="U361" i="1" s="1"/>
  <c r="K459" i="1"/>
  <c r="V459" i="1" s="1"/>
  <c r="K557" i="1"/>
  <c r="K648" i="1"/>
  <c r="K746" i="1"/>
  <c r="V746" i="1" s="1"/>
  <c r="K844" i="1"/>
  <c r="W844" i="1" s="1"/>
  <c r="K942" i="1"/>
  <c r="V942" i="1" s="1"/>
  <c r="K1040" i="1"/>
  <c r="K1138" i="1"/>
  <c r="X1138" i="1" s="1"/>
  <c r="J829" i="1"/>
  <c r="X829" i="1" s="1"/>
  <c r="J1216" i="1"/>
  <c r="J859" i="1"/>
  <c r="W859" i="1" s="1"/>
  <c r="J978" i="1"/>
  <c r="J470" i="1"/>
  <c r="W470" i="1" s="1"/>
  <c r="J1065" i="1"/>
  <c r="W1065" i="1" s="1"/>
  <c r="K562" i="1"/>
  <c r="U562" i="1" s="1"/>
  <c r="K1129" i="1"/>
  <c r="U1129" i="1" s="1"/>
  <c r="K1192" i="1"/>
  <c r="J611" i="1"/>
  <c r="X611" i="1" s="1"/>
  <c r="J723" i="1"/>
  <c r="V723" i="1" s="1"/>
  <c r="J982" i="1"/>
  <c r="K822" i="1"/>
  <c r="K941" i="1"/>
  <c r="V941" i="1" s="1"/>
  <c r="K1158" i="1"/>
  <c r="X1158" i="1" s="1"/>
  <c r="K1183" i="1"/>
  <c r="K399" i="1"/>
  <c r="X399" i="1" s="1"/>
  <c r="K756" i="1"/>
  <c r="W756" i="1" s="1"/>
  <c r="K588" i="1"/>
  <c r="V588" i="1" s="1"/>
  <c r="K903" i="1"/>
  <c r="W903" i="1" s="1"/>
  <c r="K876" i="1"/>
  <c r="J673" i="1"/>
  <c r="X673" i="1" s="1"/>
  <c r="J82" i="1"/>
  <c r="V82" i="1" s="1"/>
  <c r="K366" i="1"/>
  <c r="K80" i="1"/>
  <c r="V80" i="1" s="1"/>
  <c r="K178" i="1"/>
  <c r="W178" i="1" s="1"/>
  <c r="K283" i="1"/>
  <c r="V283" i="1" s="1"/>
  <c r="K434" i="1"/>
  <c r="K784" i="1"/>
  <c r="U784" i="1" s="1"/>
  <c r="K1232" i="1"/>
  <c r="W1232" i="1" s="1"/>
  <c r="K420" i="1"/>
  <c r="K777" i="1"/>
  <c r="U777" i="1" s="1"/>
  <c r="K609" i="1"/>
  <c r="V609" i="1" s="1"/>
  <c r="K78" i="1"/>
  <c r="V78" i="1" s="1"/>
  <c r="K638" i="1"/>
  <c r="U638" i="1" s="1"/>
  <c r="K953" i="1"/>
  <c r="V953" i="1" s="1"/>
  <c r="J295" i="1"/>
  <c r="V295" i="1" s="1"/>
  <c r="J715" i="1"/>
  <c r="V715" i="1" s="1"/>
  <c r="J981" i="1"/>
  <c r="W981" i="1" s="1"/>
  <c r="J89" i="1"/>
  <c r="V89" i="1" s="1"/>
  <c r="K387" i="1"/>
  <c r="U387" i="1" s="1"/>
  <c r="K87" i="1"/>
  <c r="K185" i="1"/>
  <c r="K290" i="1"/>
  <c r="X290" i="1" s="1"/>
  <c r="K388" i="1"/>
  <c r="U388" i="1" s="1"/>
  <c r="K486" i="1"/>
  <c r="J912" i="1"/>
  <c r="V912" i="1" s="1"/>
  <c r="K654" i="1"/>
  <c r="V654" i="1" s="1"/>
  <c r="K773" i="1"/>
  <c r="U773" i="1" s="1"/>
  <c r="J759" i="1"/>
  <c r="U759" i="1" s="1"/>
  <c r="J1214" i="1"/>
  <c r="X1214" i="1" s="1"/>
  <c r="K19" i="1"/>
  <c r="K117" i="1"/>
  <c r="V117" i="1" s="1"/>
  <c r="J52" i="1"/>
  <c r="U52" i="1" s="1"/>
  <c r="J1137" i="1"/>
  <c r="J83" i="1"/>
  <c r="U83" i="1" s="1"/>
  <c r="J181" i="1"/>
  <c r="J279" i="1"/>
  <c r="J377" i="1"/>
  <c r="U377" i="1" s="1"/>
  <c r="J475" i="1"/>
  <c r="W475" i="1" s="1"/>
  <c r="J210" i="1"/>
  <c r="U210" i="1" s="1"/>
  <c r="J308" i="1"/>
  <c r="J406" i="1"/>
  <c r="W406" i="1" s="1"/>
  <c r="J504" i="1"/>
  <c r="K260" i="1"/>
  <c r="J39" i="1"/>
  <c r="J137" i="1"/>
  <c r="U137" i="1" s="1"/>
  <c r="J235" i="1"/>
  <c r="J333" i="1"/>
  <c r="U333" i="1" s="1"/>
  <c r="J431" i="1"/>
  <c r="X431" i="1" s="1"/>
  <c r="J529" i="1"/>
  <c r="X529" i="1" s="1"/>
  <c r="K180" i="1"/>
  <c r="W180" i="1" s="1"/>
  <c r="K278" i="1"/>
  <c r="X278" i="1" s="1"/>
  <c r="K376" i="1"/>
  <c r="K474" i="1"/>
  <c r="K572" i="1"/>
  <c r="K670" i="1"/>
  <c r="U670" i="1" s="1"/>
  <c r="K964" i="1"/>
  <c r="K1167" i="1"/>
  <c r="K11" i="1"/>
  <c r="K109" i="1"/>
  <c r="U109" i="1" s="1"/>
  <c r="K207" i="1"/>
  <c r="W207" i="1" s="1"/>
  <c r="K305" i="1"/>
  <c r="K403" i="1"/>
  <c r="K501" i="1"/>
  <c r="W501" i="1" s="1"/>
  <c r="K599" i="1"/>
  <c r="U599" i="1" s="1"/>
  <c r="J1116" i="1"/>
  <c r="X1116" i="1" s="1"/>
  <c r="J606" i="1"/>
  <c r="J704" i="1"/>
  <c r="J802" i="1"/>
  <c r="J900" i="1"/>
  <c r="X900" i="1" s="1"/>
  <c r="J998" i="1"/>
  <c r="V998" i="1" s="1"/>
  <c r="J1096" i="1"/>
  <c r="X1096" i="1" s="1"/>
  <c r="J1194" i="1"/>
  <c r="U1194" i="1" s="1"/>
  <c r="J1027" i="1"/>
  <c r="U1027" i="1" s="1"/>
  <c r="J803" i="1"/>
  <c r="U803" i="1" s="1"/>
  <c r="J901" i="1"/>
  <c r="J1055" i="1"/>
  <c r="U1055" i="1" s="1"/>
  <c r="J239" i="1"/>
  <c r="V239" i="1" s="1"/>
  <c r="J799" i="1"/>
  <c r="U799" i="1" s="1"/>
  <c r="K51" i="1"/>
  <c r="V51" i="1" s="1"/>
  <c r="K709" i="1"/>
  <c r="K1017" i="1"/>
  <c r="V1017" i="1" s="1"/>
  <c r="K1213" i="1"/>
  <c r="V1213" i="1" s="1"/>
  <c r="K1080" i="1"/>
  <c r="K1030" i="1"/>
  <c r="K1142" i="1"/>
  <c r="J902" i="1"/>
  <c r="J1000" i="1"/>
  <c r="W1000" i="1" s="1"/>
  <c r="J1098" i="1"/>
  <c r="X1098" i="1" s="1"/>
  <c r="J1196" i="1"/>
  <c r="V1196" i="1" s="1"/>
  <c r="K1253" i="1"/>
  <c r="X1253" i="1" s="1"/>
  <c r="J665" i="1"/>
  <c r="X665" i="1" s="1"/>
  <c r="J763" i="1"/>
  <c r="J861" i="1"/>
  <c r="W861" i="1" s="1"/>
  <c r="J959" i="1"/>
  <c r="J1057" i="1"/>
  <c r="K49" i="1"/>
  <c r="K147" i="1"/>
  <c r="V147" i="1" s="1"/>
  <c r="K4" i="1"/>
  <c r="K54" i="1"/>
  <c r="J108" i="1"/>
  <c r="J556" i="1"/>
  <c r="U556" i="1" s="1"/>
  <c r="J1186" i="1"/>
  <c r="V1186" i="1" s="1"/>
  <c r="J156" i="1"/>
  <c r="U156" i="1" s="1"/>
  <c r="J90" i="1"/>
  <c r="U90" i="1" s="1"/>
  <c r="J188" i="1"/>
  <c r="J286" i="1"/>
  <c r="J384" i="1"/>
  <c r="V384" i="1" s="1"/>
  <c r="J482" i="1"/>
  <c r="W482" i="1" s="1"/>
  <c r="J217" i="1"/>
  <c r="J315" i="1"/>
  <c r="J413" i="1"/>
  <c r="V413" i="1" s="1"/>
  <c r="J511" i="1"/>
  <c r="X511" i="1" s="1"/>
  <c r="K288" i="1"/>
  <c r="J46" i="1"/>
  <c r="U46" i="1" s="1"/>
  <c r="J144" i="1"/>
  <c r="U144" i="1" s="1"/>
  <c r="J242" i="1"/>
  <c r="V242" i="1" s="1"/>
  <c r="J340" i="1"/>
  <c r="J438" i="1"/>
  <c r="V438" i="1" s="1"/>
  <c r="J536" i="1"/>
  <c r="V536" i="1" s="1"/>
  <c r="K187" i="1"/>
  <c r="W187" i="1" s="1"/>
  <c r="K285" i="1"/>
  <c r="W285" i="1" s="1"/>
  <c r="K383" i="1"/>
  <c r="X383" i="1" s="1"/>
  <c r="K481" i="1"/>
  <c r="K579" i="1"/>
  <c r="U579" i="1" s="1"/>
  <c r="K677" i="1"/>
  <c r="K971" i="1"/>
  <c r="K1174" i="1"/>
  <c r="K650" i="1"/>
  <c r="V650" i="1" s="1"/>
  <c r="K697" i="1"/>
  <c r="K795" i="1"/>
  <c r="W795" i="1" s="1"/>
  <c r="K893" i="1"/>
  <c r="V893" i="1" s="1"/>
  <c r="K991" i="1"/>
  <c r="K1089" i="1"/>
  <c r="K1187" i="1"/>
  <c r="V1187" i="1" s="1"/>
  <c r="J1130" i="1"/>
  <c r="J613" i="1"/>
  <c r="J711" i="1"/>
  <c r="X711" i="1" s="1"/>
  <c r="J809" i="1"/>
  <c r="J907" i="1"/>
  <c r="W907" i="1" s="1"/>
  <c r="J1005" i="1"/>
  <c r="U1005" i="1" s="1"/>
  <c r="J1103" i="1"/>
  <c r="V1103" i="1" s="1"/>
  <c r="J1201" i="1"/>
  <c r="W1201" i="1" s="1"/>
  <c r="J1062" i="1"/>
  <c r="U1062" i="1" s="1"/>
  <c r="J1069" i="1"/>
  <c r="V1069" i="1" s="1"/>
  <c r="J810" i="1"/>
  <c r="J922" i="1"/>
  <c r="J1076" i="1"/>
  <c r="X1076" i="1" s="1"/>
  <c r="J253" i="1"/>
  <c r="V253" i="1" s="1"/>
  <c r="J904" i="1"/>
  <c r="K58" i="1"/>
  <c r="W58" i="1" s="1"/>
  <c r="K254" i="1"/>
  <c r="K751" i="1"/>
  <c r="K1031" i="1"/>
  <c r="K1227" i="1"/>
  <c r="K1094" i="1"/>
  <c r="W1094" i="1" s="1"/>
  <c r="K1149" i="1"/>
  <c r="X1149" i="1" s="1"/>
  <c r="J615" i="1"/>
  <c r="J713" i="1"/>
  <c r="U713" i="1" s="1"/>
  <c r="J811" i="1"/>
  <c r="V811" i="1" s="1"/>
  <c r="J909" i="1"/>
  <c r="X909" i="1" s="1"/>
  <c r="J1007" i="1"/>
  <c r="U1007" i="1" s="1"/>
  <c r="J1105" i="1"/>
  <c r="J1203" i="1"/>
  <c r="W1203" i="1" s="1"/>
  <c r="J574" i="1"/>
  <c r="J672" i="1"/>
  <c r="X672" i="1" s="1"/>
  <c r="J770" i="1"/>
  <c r="X770" i="1" s="1"/>
  <c r="J868" i="1"/>
  <c r="X868" i="1" s="1"/>
  <c r="J966" i="1"/>
  <c r="U966" i="1" s="1"/>
  <c r="J1064" i="1"/>
  <c r="X1064" i="1" s="1"/>
  <c r="J1162" i="1"/>
  <c r="K56" i="1"/>
  <c r="V56" i="1" s="1"/>
  <c r="K154" i="1"/>
  <c r="V154" i="1" s="1"/>
  <c r="K381" i="1"/>
  <c r="K479" i="1"/>
  <c r="V479" i="1" s="1"/>
  <c r="J507" i="1"/>
  <c r="X507" i="1" s="1"/>
  <c r="J9" i="1"/>
  <c r="J107" i="1"/>
  <c r="J870" i="1"/>
  <c r="W870" i="1" s="1"/>
  <c r="K549" i="1"/>
  <c r="K745" i="1"/>
  <c r="J731" i="1"/>
  <c r="U731" i="1" s="1"/>
  <c r="J1193" i="1"/>
  <c r="X1193" i="1" s="1"/>
  <c r="K12" i="1"/>
  <c r="K110" i="1"/>
  <c r="J236" i="1"/>
  <c r="V236" i="1" s="1"/>
  <c r="J334" i="1"/>
  <c r="J432" i="1"/>
  <c r="V432" i="1" s="1"/>
  <c r="J530" i="1"/>
  <c r="V530" i="1" s="1"/>
  <c r="J628" i="1"/>
  <c r="J983" i="1"/>
  <c r="V983" i="1" s="1"/>
  <c r="J48" i="1"/>
  <c r="J146" i="1"/>
  <c r="U146" i="1" s="1"/>
  <c r="J342" i="1"/>
  <c r="V342" i="1" s="1"/>
  <c r="J538" i="1"/>
  <c r="J77" i="1"/>
  <c r="V77" i="1" s="1"/>
  <c r="J175" i="1"/>
  <c r="U175" i="1" s="1"/>
  <c r="J273" i="1"/>
  <c r="U273" i="1" s="1"/>
  <c r="J371" i="1"/>
  <c r="U371" i="1" s="1"/>
  <c r="J567" i="1"/>
  <c r="W567" i="1" s="1"/>
  <c r="K694" i="1"/>
  <c r="J102" i="1"/>
  <c r="W102" i="1" s="1"/>
  <c r="J200" i="1"/>
  <c r="J298" i="1"/>
  <c r="V298" i="1" s="1"/>
  <c r="J396" i="1"/>
  <c r="J494" i="1"/>
  <c r="J592" i="1"/>
  <c r="X592" i="1" s="1"/>
  <c r="K243" i="1"/>
  <c r="V243" i="1" s="1"/>
  <c r="K341" i="1"/>
  <c r="V341" i="1" s="1"/>
  <c r="K439" i="1"/>
  <c r="K537" i="1"/>
  <c r="U537" i="1" s="1"/>
  <c r="K635" i="1"/>
  <c r="K733" i="1"/>
  <c r="K831" i="1"/>
  <c r="V831" i="1" s="1"/>
  <c r="K929" i="1"/>
  <c r="U929" i="1" s="1"/>
  <c r="K1125" i="1"/>
  <c r="W1125" i="1" s="1"/>
  <c r="K1230" i="1"/>
  <c r="X1230" i="1" s="1"/>
  <c r="K74" i="1"/>
  <c r="U74" i="1" s="1"/>
  <c r="K172" i="1"/>
  <c r="V172" i="1" s="1"/>
  <c r="K270" i="1"/>
  <c r="U270" i="1" s="1"/>
  <c r="K368" i="1"/>
  <c r="K466" i="1"/>
  <c r="K564" i="1"/>
  <c r="K655" i="1"/>
  <c r="V655" i="1" s="1"/>
  <c r="K753" i="1"/>
  <c r="V753" i="1" s="1"/>
  <c r="K851" i="1"/>
  <c r="K949" i="1"/>
  <c r="K1047" i="1"/>
  <c r="K1145" i="1"/>
  <c r="U1145" i="1" s="1"/>
  <c r="K1236" i="1"/>
  <c r="W1236" i="1" s="1"/>
  <c r="J1237" i="1"/>
  <c r="U1237" i="1" s="1"/>
  <c r="J719" i="1"/>
  <c r="J866" i="1"/>
  <c r="J999" i="1"/>
  <c r="U999" i="1" s="1"/>
  <c r="J57" i="1"/>
  <c r="J1072" i="1"/>
  <c r="K16" i="1"/>
  <c r="K114" i="1"/>
  <c r="K590" i="1"/>
  <c r="U590" i="1" s="1"/>
  <c r="K926" i="1"/>
  <c r="K1143" i="1"/>
  <c r="X1143" i="1" s="1"/>
  <c r="K1010" i="1"/>
  <c r="U1010" i="1" s="1"/>
  <c r="K1206" i="1"/>
  <c r="K960" i="1"/>
  <c r="J573" i="1"/>
  <c r="V573" i="1" s="1"/>
  <c r="J671" i="1"/>
  <c r="V671" i="1" s="1"/>
  <c r="J769" i="1"/>
  <c r="J867" i="1"/>
  <c r="X867" i="1" s="1"/>
  <c r="J1063" i="1"/>
  <c r="V1063" i="1" s="1"/>
  <c r="J1161" i="1"/>
  <c r="V1161" i="1" s="1"/>
  <c r="J630" i="1"/>
  <c r="J728" i="1"/>
  <c r="V728" i="1" s="1"/>
  <c r="J924" i="1"/>
  <c r="J1022" i="1"/>
  <c r="W1022" i="1" s="1"/>
  <c r="J1120" i="1"/>
  <c r="K14" i="1"/>
  <c r="K112" i="1"/>
  <c r="U112" i="1" s="1"/>
  <c r="K581" i="1"/>
  <c r="V581" i="1" s="1"/>
  <c r="J416" i="1"/>
  <c r="X416" i="1" s="1"/>
  <c r="J1032" i="1"/>
  <c r="J153" i="1"/>
  <c r="J251" i="1"/>
  <c r="J349" i="1"/>
  <c r="V349" i="1" s="1"/>
  <c r="J447" i="1"/>
  <c r="U447" i="1" s="1"/>
  <c r="J545" i="1"/>
  <c r="V545" i="1" s="1"/>
  <c r="J84" i="1"/>
  <c r="U84" i="1" s="1"/>
  <c r="J182" i="1"/>
  <c r="W182" i="1" s="1"/>
  <c r="J280" i="1"/>
  <c r="J378" i="1"/>
  <c r="J476" i="1"/>
  <c r="X476" i="1" s="1"/>
  <c r="K71" i="1"/>
  <c r="U71" i="1" s="1"/>
  <c r="K152" i="1"/>
  <c r="V152" i="1" s="1"/>
  <c r="K740" i="1"/>
  <c r="U740" i="1" s="1"/>
  <c r="K838" i="1"/>
  <c r="U838" i="1" s="1"/>
  <c r="K936" i="1"/>
  <c r="K1132" i="1"/>
  <c r="U1132" i="1" s="1"/>
  <c r="K81" i="1"/>
  <c r="K179" i="1"/>
  <c r="W179" i="1" s="1"/>
  <c r="K277" i="1"/>
  <c r="W277" i="1" s="1"/>
  <c r="K375" i="1"/>
  <c r="K473" i="1"/>
  <c r="V473" i="1" s="1"/>
  <c r="K571" i="1"/>
  <c r="W571" i="1" s="1"/>
  <c r="K662" i="1"/>
  <c r="K760" i="1"/>
  <c r="W760" i="1" s="1"/>
  <c r="K858" i="1"/>
  <c r="U858" i="1" s="1"/>
  <c r="K956" i="1"/>
  <c r="K1054" i="1"/>
  <c r="K1152" i="1"/>
  <c r="X1152" i="1" s="1"/>
  <c r="J913" i="1"/>
  <c r="V913" i="1" s="1"/>
  <c r="K1243" i="1"/>
  <c r="J768" i="1"/>
  <c r="W768" i="1" s="1"/>
  <c r="J761" i="1"/>
  <c r="V761" i="1" s="1"/>
  <c r="J873" i="1"/>
  <c r="X873" i="1" s="1"/>
  <c r="J1006" i="1"/>
  <c r="J701" i="1"/>
  <c r="W701" i="1" s="1"/>
  <c r="J1079" i="1"/>
  <c r="U1079" i="1" s="1"/>
  <c r="K604" i="1"/>
  <c r="X604" i="1" s="1"/>
  <c r="K933" i="1"/>
  <c r="X933" i="1" s="1"/>
  <c r="K1157" i="1"/>
  <c r="W1157" i="1" s="1"/>
  <c r="K1024" i="1"/>
  <c r="K1220" i="1"/>
  <c r="U1220" i="1" s="1"/>
  <c r="K967" i="1"/>
  <c r="W967" i="1" s="1"/>
  <c r="K1114" i="1"/>
  <c r="J580" i="1"/>
  <c r="J678" i="1"/>
  <c r="X678" i="1" s="1"/>
  <c r="J776" i="1"/>
  <c r="X776" i="1" s="1"/>
  <c r="J874" i="1"/>
  <c r="J972" i="1"/>
  <c r="U972" i="1" s="1"/>
  <c r="J1070" i="1"/>
  <c r="J833" i="1"/>
  <c r="J931" i="1"/>
  <c r="W931" i="1" s="1"/>
  <c r="J1029" i="1"/>
  <c r="U1029" i="1" s="1"/>
  <c r="J1127" i="1"/>
  <c r="U1127" i="1" s="1"/>
  <c r="K21" i="1"/>
  <c r="K119" i="1"/>
  <c r="U119" i="1" s="1"/>
  <c r="K602" i="1"/>
  <c r="X602" i="1" s="1"/>
  <c r="W1071" i="1"/>
  <c r="X256" i="1"/>
  <c r="U1116" i="1"/>
  <c r="U526" i="1"/>
  <c r="V660" i="1"/>
  <c r="U554" i="1"/>
  <c r="W1196" i="1"/>
  <c r="U1239" i="1"/>
  <c r="X591" i="1"/>
  <c r="V775" i="1"/>
  <c r="W1001" i="1"/>
  <c r="W330" i="1"/>
  <c r="V1128" i="1"/>
  <c r="W259" i="1"/>
  <c r="X479" i="1"/>
  <c r="V509" i="1"/>
  <c r="W595" i="1"/>
  <c r="X550" i="1"/>
  <c r="W526" i="1"/>
  <c r="U570" i="1"/>
  <c r="X844" i="1"/>
  <c r="U724" i="1"/>
  <c r="X917" i="1"/>
  <c r="V1031" i="1"/>
  <c r="V1115" i="1"/>
  <c r="U19" i="1"/>
  <c r="X203" i="1"/>
  <c r="V289" i="1"/>
  <c r="U321" i="1"/>
  <c r="U363" i="1"/>
  <c r="X637" i="1"/>
  <c r="W528" i="1"/>
  <c r="U367" i="1"/>
  <c r="V482" i="1"/>
  <c r="V560" i="1"/>
  <c r="U686" i="1"/>
  <c r="K218" i="1"/>
  <c r="X218" i="1" s="1"/>
  <c r="K372" i="1"/>
  <c r="W372" i="1" s="1"/>
  <c r="K505" i="1"/>
  <c r="W505" i="1" s="1"/>
  <c r="K687" i="1"/>
  <c r="U687" i="1" s="1"/>
  <c r="K911" i="1"/>
  <c r="X911" i="1" s="1"/>
  <c r="J85" i="1"/>
  <c r="J302" i="1"/>
  <c r="J435" i="1"/>
  <c r="U435" i="1" s="1"/>
  <c r="J589" i="1"/>
  <c r="J806" i="1"/>
  <c r="X806" i="1" s="1"/>
  <c r="J10" i="1"/>
  <c r="J157" i="1"/>
  <c r="U157" i="1" s="1"/>
  <c r="J311" i="1"/>
  <c r="W311" i="1" s="1"/>
  <c r="J437" i="1"/>
  <c r="J633" i="1"/>
  <c r="J787" i="1"/>
  <c r="V787" i="1" s="1"/>
  <c r="K142" i="1"/>
  <c r="W142" i="1" s="1"/>
  <c r="K282" i="1"/>
  <c r="J198" i="1"/>
  <c r="K244" i="1"/>
  <c r="X244" i="1" s="1"/>
  <c r="K433" i="1"/>
  <c r="K916" i="1"/>
  <c r="W916" i="1" s="1"/>
  <c r="K1112" i="1"/>
  <c r="V1112" i="1" s="1"/>
  <c r="K55" i="1"/>
  <c r="W55" i="1" s="1"/>
  <c r="K223" i="1"/>
  <c r="X223" i="1" s="1"/>
  <c r="K426" i="1"/>
  <c r="K965" i="1"/>
  <c r="K1154" i="1"/>
  <c r="J1023" i="1"/>
  <c r="X1023" i="1" s="1"/>
  <c r="J1226" i="1"/>
  <c r="K450" i="1"/>
  <c r="K555" i="1"/>
  <c r="K674" i="1"/>
  <c r="K835" i="1"/>
  <c r="V835" i="1" s="1"/>
  <c r="J310" i="1"/>
  <c r="J345" i="1"/>
  <c r="J513" i="1"/>
  <c r="U513" i="1" s="1"/>
  <c r="J625" i="1"/>
  <c r="U625" i="1" s="1"/>
  <c r="J737" i="1"/>
  <c r="J849" i="1"/>
  <c r="J996" i="1"/>
  <c r="W996" i="1" s="1"/>
  <c r="J1115" i="1"/>
  <c r="X1115" i="1" s="1"/>
  <c r="K836" i="1"/>
  <c r="W836" i="1" s="1"/>
  <c r="K955" i="1"/>
  <c r="K1067" i="1"/>
  <c r="K1172" i="1"/>
  <c r="W1172" i="1" s="1"/>
  <c r="K462" i="1"/>
  <c r="U462" i="1" s="1"/>
  <c r="K805" i="1"/>
  <c r="V805" i="1" s="1"/>
  <c r="K455" i="1"/>
  <c r="K224" i="1"/>
  <c r="K441" i="1"/>
  <c r="K798" i="1"/>
  <c r="W798" i="1" s="1"/>
  <c r="K1092" i="1"/>
  <c r="W1092" i="1" s="1"/>
  <c r="K329" i="1"/>
  <c r="W329" i="1" s="1"/>
  <c r="K637" i="1"/>
  <c r="K952" i="1"/>
  <c r="K120" i="1"/>
  <c r="K652" i="1"/>
  <c r="J316" i="1"/>
  <c r="X316" i="1" s="1"/>
  <c r="J722" i="1"/>
  <c r="X722" i="1" s="1"/>
  <c r="J995" i="1"/>
  <c r="J96" i="1"/>
  <c r="K394" i="1"/>
  <c r="K94" i="1"/>
  <c r="U94" i="1" s="1"/>
  <c r="K192" i="1"/>
  <c r="U192" i="1" s="1"/>
  <c r="K297" i="1"/>
  <c r="V297" i="1" s="1"/>
  <c r="K395" i="1"/>
  <c r="K493" i="1"/>
  <c r="J577" i="1"/>
  <c r="J23" i="1"/>
  <c r="U23" i="1" s="1"/>
  <c r="J121" i="1"/>
  <c r="J919" i="1"/>
  <c r="K563" i="1"/>
  <c r="K661" i="1"/>
  <c r="V661" i="1" s="1"/>
  <c r="K878" i="1"/>
  <c r="J843" i="1"/>
  <c r="X843" i="1" s="1"/>
  <c r="J1249" i="1"/>
  <c r="X1249" i="1" s="1"/>
  <c r="K26" i="1"/>
  <c r="K124" i="1"/>
  <c r="W124" i="1" s="1"/>
  <c r="J250" i="1"/>
  <c r="J348" i="1"/>
  <c r="J446" i="1"/>
  <c r="J544" i="1"/>
  <c r="W544" i="1" s="1"/>
  <c r="J642" i="1"/>
  <c r="J444" i="1"/>
  <c r="X444" i="1" s="1"/>
  <c r="J1053" i="1"/>
  <c r="W1053" i="1" s="1"/>
  <c r="J1097" i="1"/>
  <c r="J62" i="1"/>
  <c r="J160" i="1"/>
  <c r="J258" i="1"/>
  <c r="W258" i="1" s="1"/>
  <c r="J356" i="1"/>
  <c r="J454" i="1"/>
  <c r="J552" i="1"/>
  <c r="W552" i="1" s="1"/>
  <c r="J91" i="1"/>
  <c r="W91" i="1" s="1"/>
  <c r="J189" i="1"/>
  <c r="U189" i="1" s="1"/>
  <c r="J287" i="1"/>
  <c r="W287" i="1" s="1"/>
  <c r="J385" i="1"/>
  <c r="U385" i="1" s="1"/>
  <c r="J483" i="1"/>
  <c r="K92" i="1"/>
  <c r="J18" i="1"/>
  <c r="U18" i="1" s="1"/>
  <c r="J116" i="1"/>
  <c r="J214" i="1"/>
  <c r="U214" i="1" s="1"/>
  <c r="J312" i="1"/>
  <c r="J410" i="1"/>
  <c r="X410" i="1" s="1"/>
  <c r="J508" i="1"/>
  <c r="X508" i="1" s="1"/>
  <c r="K159" i="1"/>
  <c r="V159" i="1" s="1"/>
  <c r="K257" i="1"/>
  <c r="X257" i="1" s="1"/>
  <c r="K355" i="1"/>
  <c r="K453" i="1"/>
  <c r="K551" i="1"/>
  <c r="U551" i="1" s="1"/>
  <c r="K649" i="1"/>
  <c r="K747" i="1"/>
  <c r="K845" i="1"/>
  <c r="K943" i="1"/>
  <c r="U943" i="1" s="1"/>
  <c r="K1041" i="1"/>
  <c r="K1139" i="1"/>
  <c r="X1139" i="1" s="1"/>
  <c r="K1244" i="1"/>
  <c r="W1244" i="1" s="1"/>
  <c r="K88" i="1"/>
  <c r="U88" i="1" s="1"/>
  <c r="K186" i="1"/>
  <c r="V186" i="1" s="1"/>
  <c r="K284" i="1"/>
  <c r="X284" i="1" s="1"/>
  <c r="K382" i="1"/>
  <c r="K480" i="1"/>
  <c r="K578" i="1"/>
  <c r="U578" i="1" s="1"/>
  <c r="K669" i="1"/>
  <c r="K767" i="1"/>
  <c r="K865" i="1"/>
  <c r="K963" i="1"/>
  <c r="K1061" i="1"/>
  <c r="K1159" i="1"/>
  <c r="U1159" i="1" s="1"/>
  <c r="J1025" i="1"/>
  <c r="K1250" i="1"/>
  <c r="X1250" i="1" s="1"/>
  <c r="J683" i="1"/>
  <c r="X683" i="1" s="1"/>
  <c r="J781" i="1"/>
  <c r="J879" i="1"/>
  <c r="V879" i="1" s="1"/>
  <c r="J977" i="1"/>
  <c r="V977" i="1" s="1"/>
  <c r="J1075" i="1"/>
  <c r="W1075" i="1" s="1"/>
  <c r="J1173" i="1"/>
  <c r="V1173" i="1" s="1"/>
  <c r="J775" i="1"/>
  <c r="X775" i="1" s="1"/>
  <c r="J908" i="1"/>
  <c r="J782" i="1"/>
  <c r="X782" i="1" s="1"/>
  <c r="J880" i="1"/>
  <c r="V880" i="1" s="1"/>
  <c r="J1013" i="1"/>
  <c r="W1013" i="1" s="1"/>
  <c r="J106" i="1"/>
  <c r="U106" i="1" s="1"/>
  <c r="J743" i="1"/>
  <c r="X743" i="1" s="1"/>
  <c r="J1086" i="1"/>
  <c r="U1086" i="1" s="1"/>
  <c r="K30" i="1"/>
  <c r="K128" i="1"/>
  <c r="K681" i="1"/>
  <c r="V681" i="1" s="1"/>
  <c r="K968" i="1"/>
  <c r="K1171" i="1"/>
  <c r="K1038" i="1"/>
  <c r="K1234" i="1"/>
  <c r="K974" i="1"/>
  <c r="K1121" i="1"/>
  <c r="W1121" i="1" s="1"/>
  <c r="J587" i="1"/>
  <c r="X587" i="1" s="1"/>
  <c r="J685" i="1"/>
  <c r="X685" i="1" s="1"/>
  <c r="J783" i="1"/>
  <c r="U783" i="1" s="1"/>
  <c r="J881" i="1"/>
  <c r="V881" i="1" s="1"/>
  <c r="J979" i="1"/>
  <c r="U979" i="1" s="1"/>
  <c r="J1077" i="1"/>
  <c r="U1077" i="1" s="1"/>
  <c r="J1175" i="1"/>
  <c r="K987" i="1"/>
  <c r="J644" i="1"/>
  <c r="X644" i="1" s="1"/>
  <c r="J742" i="1"/>
  <c r="W742" i="1" s="1"/>
  <c r="J840" i="1"/>
  <c r="X840" i="1" s="1"/>
  <c r="J938" i="1"/>
  <c r="J1036" i="1"/>
  <c r="J1134" i="1"/>
  <c r="K28" i="1"/>
  <c r="U28" i="1" s="1"/>
  <c r="K126" i="1"/>
  <c r="W126" i="1" s="1"/>
  <c r="K714" i="1"/>
  <c r="U714" i="1" s="1"/>
  <c r="U1222" i="1"/>
  <c r="X405" i="1"/>
  <c r="U299" i="1"/>
  <c r="W1090" i="1"/>
  <c r="V324" i="1"/>
  <c r="X1204" i="1"/>
  <c r="V122" i="1"/>
  <c r="U242" i="1"/>
  <c r="W272" i="1"/>
  <c r="W342" i="1"/>
  <c r="V657" i="1"/>
  <c r="U401" i="1"/>
  <c r="V782" i="1"/>
  <c r="V929" i="1"/>
  <c r="W634" i="1"/>
  <c r="X1163" i="1"/>
  <c r="U427" i="1"/>
  <c r="U1185" i="1"/>
  <c r="V526" i="1"/>
  <c r="U1140" i="1"/>
  <c r="V606" i="1"/>
  <c r="W720" i="1"/>
  <c r="V760" i="1"/>
  <c r="X1038" i="1"/>
  <c r="U945" i="1"/>
  <c r="V677" i="1"/>
  <c r="V1238" i="1"/>
  <c r="V1118" i="1"/>
  <c r="V1249" i="1"/>
  <c r="W441" i="1"/>
  <c r="V624" i="1"/>
  <c r="W133" i="1"/>
  <c r="U359" i="1"/>
  <c r="X745" i="1"/>
  <c r="U695" i="1"/>
  <c r="U1043" i="1"/>
  <c r="W316" i="1"/>
  <c r="X760" i="1"/>
  <c r="U654" i="1"/>
  <c r="X928" i="1"/>
  <c r="V1056" i="1"/>
  <c r="X826" i="1"/>
  <c r="U80" i="1"/>
  <c r="V50" i="1"/>
  <c r="W121" i="1"/>
  <c r="W151" i="1"/>
  <c r="V231" i="1"/>
  <c r="W289" i="1"/>
  <c r="X469" i="1"/>
  <c r="W459" i="1"/>
  <c r="U592" i="1"/>
  <c r="W636" i="1"/>
  <c r="V1018" i="1"/>
  <c r="W946" i="1"/>
  <c r="U143" i="1"/>
  <c r="U1053" i="1"/>
  <c r="V798" i="1"/>
  <c r="K113" i="1"/>
  <c r="K232" i="1"/>
  <c r="X232" i="1" s="1"/>
  <c r="K379" i="1"/>
  <c r="K512" i="1"/>
  <c r="V512" i="1" s="1"/>
  <c r="K708" i="1"/>
  <c r="K932" i="1"/>
  <c r="U932" i="1" s="1"/>
  <c r="J323" i="1"/>
  <c r="J442" i="1"/>
  <c r="J596" i="1"/>
  <c r="X596" i="1" s="1"/>
  <c r="J813" i="1"/>
  <c r="V813" i="1" s="1"/>
  <c r="J38" i="1"/>
  <c r="J164" i="1"/>
  <c r="V164" i="1" s="1"/>
  <c r="J318" i="1"/>
  <c r="J451" i="1"/>
  <c r="X451" i="1" s="1"/>
  <c r="J647" i="1"/>
  <c r="U647" i="1" s="1"/>
  <c r="J808" i="1"/>
  <c r="J976" i="1"/>
  <c r="X976" i="1" s="1"/>
  <c r="K149" i="1"/>
  <c r="K289" i="1"/>
  <c r="U289" i="1" s="1"/>
  <c r="J205" i="1"/>
  <c r="K20" i="1"/>
  <c r="K706" i="1"/>
  <c r="K930" i="1"/>
  <c r="K1126" i="1"/>
  <c r="W1126" i="1" s="1"/>
  <c r="K237" i="1"/>
  <c r="X237" i="1" s="1"/>
  <c r="K440" i="1"/>
  <c r="W440" i="1" s="1"/>
  <c r="K608" i="1"/>
  <c r="U608" i="1" s="1"/>
  <c r="K804" i="1"/>
  <c r="K1168" i="1"/>
  <c r="W1168" i="1" s="1"/>
  <c r="J1051" i="1"/>
  <c r="J1233" i="1"/>
  <c r="U1233" i="1" s="1"/>
  <c r="K457" i="1"/>
  <c r="K569" i="1"/>
  <c r="U569" i="1" s="1"/>
  <c r="K695" i="1"/>
  <c r="K842" i="1"/>
  <c r="J317" i="1"/>
  <c r="J520" i="1"/>
  <c r="J632" i="1"/>
  <c r="J744" i="1"/>
  <c r="W744" i="1" s="1"/>
  <c r="J863" i="1"/>
  <c r="X863" i="1" s="1"/>
  <c r="J1003" i="1"/>
  <c r="W1003" i="1" s="1"/>
  <c r="J1122" i="1"/>
  <c r="K969" i="1"/>
  <c r="K1074" i="1"/>
  <c r="K1179" i="1"/>
  <c r="K826" i="1"/>
  <c r="K238" i="1"/>
  <c r="X238" i="1" s="1"/>
  <c r="K469" i="1"/>
  <c r="K819" i="1"/>
  <c r="U819" i="1" s="1"/>
  <c r="K1113" i="1"/>
  <c r="K343" i="1"/>
  <c r="U343" i="1" s="1"/>
  <c r="K658" i="1"/>
  <c r="K973" i="1"/>
  <c r="V973" i="1" s="1"/>
  <c r="K225" i="1"/>
  <c r="X225" i="1" s="1"/>
  <c r="K680" i="1"/>
  <c r="K1002" i="1"/>
  <c r="J337" i="1"/>
  <c r="U337" i="1" s="1"/>
  <c r="J736" i="1"/>
  <c r="X736" i="1" s="1"/>
  <c r="J5" i="1"/>
  <c r="J103" i="1"/>
  <c r="K6" i="1"/>
  <c r="K101" i="1"/>
  <c r="U101" i="1" s="1"/>
  <c r="K199" i="1"/>
  <c r="V199" i="1" s="1"/>
  <c r="K304" i="1"/>
  <c r="K402" i="1"/>
  <c r="X402" i="1" s="1"/>
  <c r="K500" i="1"/>
  <c r="J640" i="1"/>
  <c r="X640" i="1" s="1"/>
  <c r="J975" i="1"/>
  <c r="X975" i="1" s="1"/>
  <c r="K570" i="1"/>
  <c r="W570" i="1" s="1"/>
  <c r="K668" i="1"/>
  <c r="K906" i="1"/>
  <c r="J857" i="1"/>
  <c r="K357" i="1"/>
  <c r="K33" i="1"/>
  <c r="K131" i="1"/>
  <c r="J17" i="1"/>
  <c r="U17" i="1" s="1"/>
  <c r="J514" i="1"/>
  <c r="V514" i="1" s="1"/>
  <c r="J1088" i="1"/>
  <c r="X1088" i="1" s="1"/>
  <c r="J1104" i="1"/>
  <c r="V1104" i="1" s="1"/>
  <c r="J69" i="1"/>
  <c r="V69" i="1" s="1"/>
  <c r="J167" i="1"/>
  <c r="J265" i="1"/>
  <c r="V265" i="1" s="1"/>
  <c r="J363" i="1"/>
  <c r="J461" i="1"/>
  <c r="W461" i="1" s="1"/>
  <c r="J559" i="1"/>
  <c r="J98" i="1"/>
  <c r="W98" i="1" s="1"/>
  <c r="J196" i="1"/>
  <c r="J294" i="1"/>
  <c r="J392" i="1"/>
  <c r="W392" i="1" s="1"/>
  <c r="J490" i="1"/>
  <c r="W490" i="1" s="1"/>
  <c r="K99" i="1"/>
  <c r="V99" i="1" s="1"/>
  <c r="J25" i="1"/>
  <c r="V25" i="1" s="1"/>
  <c r="J123" i="1"/>
  <c r="U123" i="1" s="1"/>
  <c r="J221" i="1"/>
  <c r="W221" i="1" s="1"/>
  <c r="J319" i="1"/>
  <c r="J417" i="1"/>
  <c r="V417" i="1" s="1"/>
  <c r="J515" i="1"/>
  <c r="K166" i="1"/>
  <c r="K264" i="1"/>
  <c r="X264" i="1" s="1"/>
  <c r="K362" i="1"/>
  <c r="K460" i="1"/>
  <c r="K558" i="1"/>
  <c r="K656" i="1"/>
  <c r="K754" i="1"/>
  <c r="V754" i="1" s="1"/>
  <c r="K852" i="1"/>
  <c r="K950" i="1"/>
  <c r="K1048" i="1"/>
  <c r="K1146" i="1"/>
  <c r="K1251" i="1"/>
  <c r="U1251" i="1" s="1"/>
  <c r="K95" i="1"/>
  <c r="U95" i="1" s="1"/>
  <c r="K193" i="1"/>
  <c r="V193" i="1" s="1"/>
  <c r="K291" i="1"/>
  <c r="X291" i="1" s="1"/>
  <c r="K389" i="1"/>
  <c r="K487" i="1"/>
  <c r="U487" i="1" s="1"/>
  <c r="K585" i="1"/>
  <c r="V585" i="1" s="1"/>
  <c r="K676" i="1"/>
  <c r="V676" i="1" s="1"/>
  <c r="K774" i="1"/>
  <c r="V774" i="1" s="1"/>
  <c r="K872" i="1"/>
  <c r="V872" i="1" s="1"/>
  <c r="K970" i="1"/>
  <c r="K1068" i="1"/>
  <c r="K1166" i="1"/>
  <c r="J1039" i="1"/>
  <c r="V1039" i="1" s="1"/>
  <c r="K1257" i="1"/>
  <c r="J690" i="1"/>
  <c r="W690" i="1" s="1"/>
  <c r="J788" i="1"/>
  <c r="V788" i="1" s="1"/>
  <c r="J886" i="1"/>
  <c r="W886" i="1" s="1"/>
  <c r="J984" i="1"/>
  <c r="J1082" i="1"/>
  <c r="W1082" i="1" s="1"/>
  <c r="J1180" i="1"/>
  <c r="J915" i="1"/>
  <c r="U915" i="1" s="1"/>
  <c r="J985" i="1"/>
  <c r="X985" i="1" s="1"/>
  <c r="J789" i="1"/>
  <c r="U789" i="1" s="1"/>
  <c r="J887" i="1"/>
  <c r="V887" i="1" s="1"/>
  <c r="J1034" i="1"/>
  <c r="J176" i="1"/>
  <c r="V176" i="1" s="1"/>
  <c r="J771" i="1"/>
  <c r="X771" i="1" s="1"/>
  <c r="J1107" i="1"/>
  <c r="X1107" i="1" s="1"/>
  <c r="K37" i="1"/>
  <c r="V37" i="1" s="1"/>
  <c r="K135" i="1"/>
  <c r="K688" i="1"/>
  <c r="U688" i="1" s="1"/>
  <c r="K989" i="1"/>
  <c r="K1185" i="1"/>
  <c r="K1052" i="1"/>
  <c r="U1052" i="1" s="1"/>
  <c r="K1248" i="1"/>
  <c r="V1248" i="1" s="1"/>
  <c r="K1016" i="1"/>
  <c r="U1016" i="1" s="1"/>
  <c r="K1128" i="1"/>
  <c r="W1128" i="1" s="1"/>
  <c r="J594" i="1"/>
  <c r="X594" i="1" s="1"/>
  <c r="J692" i="1"/>
  <c r="X692" i="1" s="1"/>
  <c r="J790" i="1"/>
  <c r="U790" i="1" s="1"/>
  <c r="J888" i="1"/>
  <c r="J986" i="1"/>
  <c r="W986" i="1" s="1"/>
  <c r="J1084" i="1"/>
  <c r="J1182" i="1"/>
  <c r="U1182" i="1" s="1"/>
  <c r="K1155" i="1"/>
  <c r="W1155" i="1" s="1"/>
  <c r="J651" i="1"/>
  <c r="J749" i="1"/>
  <c r="X749" i="1" s="1"/>
  <c r="J847" i="1"/>
  <c r="J945" i="1"/>
  <c r="W945" i="1" s="1"/>
  <c r="J1043" i="1"/>
  <c r="X1043" i="1" s="1"/>
  <c r="J1141" i="1"/>
  <c r="V1141" i="1" s="1"/>
  <c r="K35" i="1"/>
  <c r="V35" i="1" s="1"/>
  <c r="K133" i="1"/>
  <c r="U133" i="1" s="1"/>
  <c r="K735" i="1"/>
  <c r="X499" i="1" l="1"/>
  <c r="W499" i="1"/>
  <c r="U1189" i="1"/>
  <c r="X1189" i="1"/>
  <c r="V1189" i="1"/>
  <c r="U710" i="1"/>
  <c r="W710" i="1"/>
  <c r="W589" i="1"/>
  <c r="V589" i="1"/>
  <c r="U589" i="1"/>
  <c r="U566" i="1"/>
  <c r="W566" i="1"/>
  <c r="W969" i="1"/>
  <c r="X969" i="1"/>
  <c r="U804" i="1"/>
  <c r="W804" i="1"/>
  <c r="V804" i="1"/>
  <c r="V1154" i="1"/>
  <c r="U987" i="1"/>
  <c r="W987" i="1"/>
  <c r="V987" i="1"/>
  <c r="X987" i="1"/>
  <c r="X224" i="1"/>
  <c r="U224" i="1"/>
  <c r="W128" i="1"/>
  <c r="U128" i="1"/>
  <c r="V781" i="1"/>
  <c r="W781" i="1"/>
  <c r="X302" i="1"/>
  <c r="W302" i="1"/>
  <c r="U302" i="1"/>
  <c r="U1243" i="1"/>
  <c r="V1243" i="1"/>
  <c r="W251" i="1"/>
  <c r="U251" i="1"/>
  <c r="X494" i="1"/>
  <c r="W494" i="1"/>
  <c r="U48" i="1"/>
  <c r="V48" i="1"/>
  <c r="U420" i="1"/>
  <c r="V420" i="1"/>
  <c r="U309" i="1"/>
  <c r="X309" i="1"/>
  <c r="U303" i="1"/>
  <c r="W303" i="1"/>
  <c r="V303" i="1"/>
  <c r="U1203" i="1"/>
  <c r="X1084" i="1"/>
  <c r="U1084" i="1"/>
  <c r="V1084" i="1"/>
  <c r="W936" i="1"/>
  <c r="V936" i="1"/>
  <c r="X936" i="1"/>
  <c r="U936" i="1"/>
  <c r="V769" i="1"/>
  <c r="W769" i="1"/>
  <c r="U769" i="1"/>
  <c r="X866" i="1"/>
  <c r="V866" i="1"/>
  <c r="W396" i="1"/>
  <c r="U396" i="1"/>
  <c r="U1105" i="1"/>
  <c r="V286" i="1"/>
  <c r="X286" i="1"/>
  <c r="V279" i="1"/>
  <c r="W279" i="1"/>
  <c r="X1216" i="1"/>
  <c r="W1216" i="1"/>
  <c r="U1216" i="1"/>
  <c r="V1216" i="1"/>
  <c r="U823" i="1"/>
  <c r="X823" i="1"/>
  <c r="W823" i="1"/>
  <c r="X1242" i="1"/>
  <c r="V1242" i="1"/>
  <c r="W497" i="1"/>
  <c r="U497" i="1"/>
  <c r="V828" i="1"/>
  <c r="W828" i="1"/>
  <c r="X430" i="1"/>
  <c r="V430" i="1"/>
  <c r="U430" i="1"/>
  <c r="X1170" i="1"/>
  <c r="U1170" i="1"/>
  <c r="W397" i="1"/>
  <c r="X397" i="1"/>
  <c r="U1001" i="1"/>
  <c r="X1001" i="1"/>
  <c r="V429" i="1"/>
  <c r="W429" i="1"/>
  <c r="U409" i="1"/>
  <c r="X409" i="1"/>
  <c r="W763" i="1"/>
  <c r="W139" i="1"/>
  <c r="V139" i="1"/>
  <c r="X1122" i="1"/>
  <c r="V1122" i="1"/>
  <c r="U1122" i="1"/>
  <c r="W995" i="1"/>
  <c r="V995" i="1"/>
  <c r="U995" i="1"/>
  <c r="X233" i="1"/>
  <c r="W233" i="1"/>
  <c r="W569" i="1"/>
  <c r="X569" i="1"/>
  <c r="X651" i="1"/>
  <c r="V651" i="1"/>
  <c r="V818" i="1"/>
  <c r="X818" i="1"/>
  <c r="W1175" i="1"/>
  <c r="X1175" i="1"/>
  <c r="X310" i="1"/>
  <c r="W310" i="1"/>
  <c r="V67" i="1"/>
  <c r="U67" i="1"/>
  <c r="W67" i="1"/>
  <c r="V626" i="1"/>
  <c r="U626" i="1"/>
  <c r="W1091" i="1"/>
  <c r="W136" i="1"/>
  <c r="U136" i="1"/>
  <c r="V136" i="1"/>
  <c r="U878" i="1"/>
  <c r="X878" i="1"/>
  <c r="U200" i="1"/>
  <c r="V200" i="1"/>
  <c r="U87" i="1"/>
  <c r="W87" i="1"/>
  <c r="V87" i="1"/>
  <c r="V434" i="1"/>
  <c r="U434" i="1"/>
  <c r="V1020" i="1"/>
  <c r="X1020" i="1"/>
  <c r="X657" i="1"/>
  <c r="U657" i="1"/>
  <c r="U627" i="1"/>
  <c r="X627" i="1"/>
  <c r="W627" i="1"/>
  <c r="X619" i="1"/>
  <c r="W619" i="1"/>
  <c r="X778" i="1"/>
  <c r="W778" i="1"/>
  <c r="V184" i="1"/>
  <c r="W184" i="1"/>
  <c r="U184" i="1"/>
  <c r="V675" i="1"/>
  <c r="U675" i="1"/>
  <c r="U226" i="1"/>
  <c r="V226" i="1"/>
  <c r="U304" i="1"/>
  <c r="V245" i="1"/>
  <c r="X245" i="1"/>
  <c r="U245" i="1"/>
  <c r="W427" i="1"/>
  <c r="X427" i="1"/>
  <c r="V304" i="1"/>
  <c r="X1217" i="1"/>
  <c r="U1217" i="1"/>
  <c r="U1255" i="1"/>
  <c r="V1255" i="1"/>
  <c r="V370" i="1"/>
  <c r="X1246" i="1"/>
  <c r="X408" i="1"/>
  <c r="W408" i="1"/>
  <c r="U197" i="1"/>
  <c r="W197" i="1"/>
  <c r="V989" i="1"/>
  <c r="W480" i="1"/>
  <c r="X480" i="1"/>
  <c r="V579" i="1"/>
  <c r="X579" i="1"/>
  <c r="V894" i="1"/>
  <c r="U894" i="1"/>
  <c r="V396" i="1"/>
  <c r="V1217" i="1"/>
  <c r="V378" i="1"/>
  <c r="X378" i="1"/>
  <c r="W378" i="1"/>
  <c r="X733" i="1"/>
  <c r="W733" i="1"/>
  <c r="X1119" i="1"/>
  <c r="V1119" i="1"/>
  <c r="V461" i="1"/>
  <c r="W1217" i="1"/>
  <c r="X724" i="1"/>
  <c r="V724" i="1"/>
  <c r="U565" i="1"/>
  <c r="V565" i="1"/>
  <c r="X565" i="1"/>
  <c r="V1110" i="1"/>
  <c r="U969" i="1"/>
  <c r="X850" i="1"/>
  <c r="W850" i="1"/>
  <c r="U92" i="1"/>
  <c r="W92" i="1"/>
  <c r="X1086" i="1"/>
  <c r="X366" i="1"/>
  <c r="U366" i="1"/>
  <c r="V491" i="1"/>
  <c r="U491" i="1"/>
  <c r="W434" i="1"/>
  <c r="U791" i="1"/>
  <c r="X791" i="1"/>
  <c r="X547" i="1"/>
  <c r="W547" i="1"/>
  <c r="W1135" i="1"/>
  <c r="V1135" i="1"/>
  <c r="V820" i="1"/>
  <c r="V550" i="1"/>
  <c r="U550" i="1"/>
  <c r="V115" i="1"/>
  <c r="U115" i="1"/>
  <c r="V46" i="1"/>
  <c r="X649" i="1"/>
  <c r="W649" i="1"/>
  <c r="X757" i="1"/>
  <c r="W757" i="1"/>
  <c r="U1224" i="1"/>
  <c r="V1224" i="1"/>
  <c r="U830" i="1"/>
  <c r="V830" i="1"/>
  <c r="W830" i="1"/>
  <c r="X830" i="1"/>
  <c r="V1137" i="1"/>
  <c r="U1137" i="1"/>
  <c r="X1041" i="1"/>
  <c r="W1041" i="1"/>
  <c r="W472" i="1"/>
  <c r="X472" i="1"/>
  <c r="V1113" i="1"/>
  <c r="U1113" i="1"/>
  <c r="V706" i="1"/>
  <c r="W706" i="1"/>
  <c r="U442" i="1"/>
  <c r="X442" i="1"/>
  <c r="X492" i="1"/>
  <c r="V492" i="1"/>
  <c r="U492" i="1"/>
  <c r="X628" i="1"/>
  <c r="U628" i="1"/>
  <c r="U935" i="1"/>
  <c r="W935" i="1"/>
  <c r="V931" i="1"/>
  <c r="X931" i="1"/>
  <c r="V1162" i="1"/>
  <c r="U1162" i="1"/>
  <c r="X1162" i="1"/>
  <c r="V647" i="1"/>
  <c r="W267" i="1"/>
  <c r="V267" i="1"/>
  <c r="U267" i="1"/>
  <c r="V488" i="1"/>
  <c r="U488" i="1"/>
  <c r="U1210" i="1"/>
  <c r="V1210" i="1"/>
  <c r="U1101" i="1"/>
  <c r="V458" i="1"/>
  <c r="X458" i="1"/>
  <c r="X834" i="1"/>
  <c r="W834" i="1"/>
  <c r="V834" i="1"/>
  <c r="V551" i="1"/>
  <c r="W551" i="1"/>
  <c r="X1034" i="1"/>
  <c r="W1034" i="1"/>
  <c r="U855" i="1"/>
  <c r="X855" i="1"/>
  <c r="W855" i="1"/>
  <c r="V855" i="1"/>
  <c r="X1224" i="1"/>
  <c r="U1037" i="1"/>
  <c r="V1037" i="1"/>
  <c r="X1037" i="1"/>
  <c r="W519" i="1"/>
  <c r="V519" i="1"/>
  <c r="U519" i="1"/>
  <c r="W818" i="1"/>
  <c r="W1162" i="1"/>
  <c r="U866" i="1"/>
  <c r="W1224" i="1"/>
  <c r="X303" i="1"/>
  <c r="W398" i="1"/>
  <c r="X335" i="1"/>
  <c r="W96" i="1"/>
  <c r="V85" i="1"/>
  <c r="U719" i="1"/>
  <c r="W628" i="1"/>
  <c r="V457" i="1"/>
  <c r="V411" i="1"/>
  <c r="U467" i="1"/>
  <c r="V1100" i="1"/>
  <c r="U193" i="1"/>
  <c r="V546" i="1"/>
  <c r="X905" i="1"/>
  <c r="U575" i="1"/>
  <c r="V467" i="1"/>
  <c r="X797" i="1"/>
  <c r="V791" i="1"/>
  <c r="W101" i="1"/>
  <c r="V439" i="1"/>
  <c r="V433" i="1"/>
  <c r="U1119" i="1"/>
  <c r="V1009" i="1"/>
  <c r="U536" i="1"/>
  <c r="W172" i="1"/>
  <c r="V1134" i="1"/>
  <c r="V1155" i="1"/>
  <c r="V1075" i="1"/>
  <c r="V1226" i="1"/>
  <c r="V891" i="1"/>
  <c r="W793" i="1"/>
  <c r="U124" i="1"/>
  <c r="V175" i="1"/>
  <c r="V732" i="1"/>
  <c r="V423" i="1"/>
  <c r="U1108" i="1"/>
  <c r="W838" i="1"/>
  <c r="U1152" i="1"/>
  <c r="W175" i="1"/>
  <c r="W654" i="1"/>
  <c r="W689" i="1"/>
  <c r="U182" i="1"/>
  <c r="X923" i="1"/>
  <c r="W1122" i="1"/>
  <c r="V1023" i="1"/>
  <c r="U295" i="1"/>
  <c r="W167" i="1"/>
  <c r="V1097" i="1"/>
  <c r="V575" i="1"/>
  <c r="U1025" i="1"/>
  <c r="U62" i="1"/>
  <c r="U555" i="1"/>
  <c r="W282" i="1"/>
  <c r="U21" i="1"/>
  <c r="X381" i="1"/>
  <c r="W305" i="1"/>
  <c r="W219" i="1"/>
  <c r="V271" i="1"/>
  <c r="U1156" i="1"/>
  <c r="V1239" i="1"/>
  <c r="U1192" i="1"/>
  <c r="V1139" i="1"/>
  <c r="W725" i="1"/>
  <c r="W111" i="1"/>
  <c r="U1044" i="1"/>
  <c r="X531" i="1"/>
  <c r="V544" i="1"/>
  <c r="U236" i="1"/>
  <c r="X845" i="1"/>
  <c r="V441" i="1"/>
  <c r="W94" i="1"/>
  <c r="X293" i="1"/>
  <c r="W224" i="1"/>
  <c r="V273" i="1"/>
  <c r="X1160" i="1"/>
  <c r="U477" i="1"/>
  <c r="X939" i="1"/>
  <c r="V682" i="1"/>
  <c r="U51" i="1"/>
  <c r="X352" i="1"/>
  <c r="V128" i="1"/>
  <c r="V714" i="1"/>
  <c r="W506" i="1"/>
  <c r="X896" i="1"/>
  <c r="W858" i="1"/>
  <c r="U97" i="1"/>
  <c r="W732" i="1"/>
  <c r="W726" i="1"/>
  <c r="V71" i="1"/>
  <c r="U1206" i="1"/>
  <c r="U334" i="1"/>
  <c r="V235" i="1"/>
  <c r="W982" i="1"/>
  <c r="W727" i="1"/>
  <c r="W750" i="1"/>
  <c r="U1083" i="1"/>
  <c r="U624" i="1"/>
  <c r="V505" i="1"/>
  <c r="V310" i="1"/>
  <c r="W691" i="1"/>
  <c r="W99" i="1"/>
  <c r="U996" i="1"/>
  <c r="V88" i="1"/>
  <c r="V371" i="1"/>
  <c r="U1046" i="1"/>
  <c r="X1002" i="1"/>
  <c r="X1010" i="1"/>
  <c r="X294" i="1"/>
  <c r="X1206" i="1"/>
  <c r="U505" i="1"/>
  <c r="V742" i="1"/>
  <c r="U1078" i="1"/>
  <c r="X795" i="1"/>
  <c r="U258" i="1"/>
  <c r="X738" i="1"/>
  <c r="U1022" i="1"/>
  <c r="W255" i="1"/>
  <c r="X804" i="1"/>
  <c r="V1010" i="1"/>
  <c r="U452" i="1"/>
  <c r="X467" i="1"/>
  <c r="V121" i="1"/>
  <c r="V237" i="1"/>
  <c r="W132" i="1"/>
  <c r="U1041" i="1"/>
  <c r="W1166" i="1"/>
  <c r="V520" i="1"/>
  <c r="W930" i="1"/>
  <c r="U652" i="1"/>
  <c r="V232" i="1"/>
  <c r="X1192" i="1"/>
  <c r="U615" i="1"/>
  <c r="V935" i="1"/>
  <c r="X398" i="1"/>
  <c r="W1012" i="1"/>
  <c r="X1164" i="1"/>
  <c r="U571" i="1"/>
  <c r="V335" i="1"/>
  <c r="W898" i="1"/>
  <c r="U824" i="1"/>
  <c r="V1040" i="1"/>
  <c r="V679" i="1"/>
  <c r="W752" i="1"/>
  <c r="V622" i="1"/>
  <c r="W59" i="1"/>
  <c r="V867" i="1"/>
  <c r="X754" i="1"/>
  <c r="W915" i="1"/>
  <c r="V1236" i="1"/>
  <c r="V144" i="1"/>
  <c r="U512" i="1"/>
  <c r="X555" i="1"/>
  <c r="X585" i="1"/>
  <c r="W997" i="1"/>
  <c r="U26" i="1"/>
  <c r="X907" i="1"/>
  <c r="W453" i="1"/>
  <c r="X311" i="1"/>
  <c r="U697" i="1"/>
  <c r="U861" i="1"/>
  <c r="V1022" i="1"/>
  <c r="W953" i="1"/>
  <c r="W78" i="1"/>
  <c r="U967" i="1"/>
  <c r="X599" i="1"/>
  <c r="U398" i="1"/>
  <c r="X1167" i="1"/>
  <c r="U70" i="1"/>
  <c r="U1211" i="1"/>
  <c r="X400" i="1"/>
  <c r="V1140" i="1"/>
  <c r="W80" i="1"/>
  <c r="U679" i="1"/>
  <c r="W1088" i="1"/>
  <c r="V899" i="1"/>
  <c r="V535" i="1"/>
  <c r="V944" i="1"/>
  <c r="W1218" i="1"/>
  <c r="X708" i="1"/>
  <c r="U1141" i="1"/>
  <c r="V123" i="1"/>
  <c r="U207" i="1"/>
  <c r="W1087" i="1"/>
  <c r="W232" i="1"/>
  <c r="V566" i="1"/>
  <c r="X347" i="1"/>
  <c r="X590" i="1"/>
  <c r="V240" i="1"/>
  <c r="W765" i="1"/>
  <c r="U507" i="1"/>
  <c r="W137" i="1"/>
  <c r="U601" i="1"/>
  <c r="X1087" i="1"/>
  <c r="U900" i="1"/>
  <c r="X1018" i="1"/>
  <c r="U1075" i="1"/>
  <c r="V475" i="1"/>
  <c r="U863" i="1"/>
  <c r="W900" i="1"/>
  <c r="V92" i="1"/>
  <c r="V155" i="1"/>
  <c r="X714" i="1"/>
  <c r="V967" i="1"/>
  <c r="U1058" i="1"/>
  <c r="U323" i="1"/>
  <c r="V1142" i="1"/>
  <c r="X386" i="1"/>
  <c r="U637" i="1"/>
  <c r="U876" i="1"/>
  <c r="U1110" i="1"/>
  <c r="V1256" i="1"/>
  <c r="X299" i="1"/>
  <c r="W532" i="1"/>
  <c r="U234" i="1"/>
  <c r="U1100" i="1"/>
  <c r="U893" i="1"/>
  <c r="V571" i="1"/>
  <c r="U473" i="1"/>
  <c r="V786" i="1"/>
  <c r="U247" i="1"/>
  <c r="U722" i="1"/>
  <c r="U872" i="1"/>
  <c r="V1244" i="1"/>
  <c r="W95" i="1"/>
  <c r="U73" i="1"/>
  <c r="X753" i="1"/>
  <c r="W920" i="1"/>
  <c r="V360" i="1"/>
  <c r="W901" i="1"/>
  <c r="V1233" i="1"/>
  <c r="X836" i="1"/>
  <c r="V594" i="1"/>
  <c r="U78" i="1"/>
  <c r="X385" i="1"/>
  <c r="W360" i="1"/>
  <c r="V39" i="1"/>
  <c r="V839" i="1"/>
  <c r="U38" i="1"/>
  <c r="V927" i="1"/>
  <c r="W450" i="1"/>
  <c r="V130" i="1"/>
  <c r="X864" i="1"/>
  <c r="X756" i="1"/>
  <c r="X794" i="1"/>
  <c r="W507" i="1"/>
  <c r="U707" i="1"/>
  <c r="U742" i="1"/>
  <c r="W1154" i="1"/>
  <c r="W54" i="1"/>
  <c r="X317" i="1"/>
  <c r="U508" i="1"/>
  <c r="V649" i="1"/>
  <c r="V577" i="1"/>
  <c r="W103" i="1"/>
  <c r="W149" i="1"/>
  <c r="W862" i="1"/>
  <c r="V900" i="1"/>
  <c r="X395" i="1"/>
  <c r="U16" i="1"/>
  <c r="V49" i="1"/>
  <c r="V802" i="1"/>
  <c r="U308" i="1"/>
  <c r="X401" i="1"/>
  <c r="U1144" i="1"/>
  <c r="W980" i="1"/>
  <c r="U1207" i="1"/>
  <c r="V726" i="1"/>
  <c r="W296" i="1"/>
  <c r="V525" i="1"/>
  <c r="X333" i="1"/>
  <c r="U386" i="1"/>
  <c r="V554" i="1"/>
  <c r="X243" i="1"/>
  <c r="W787" i="1"/>
  <c r="X674" i="1"/>
  <c r="W581" i="1"/>
  <c r="U1236" i="1"/>
  <c r="V407" i="1"/>
  <c r="V1050" i="1"/>
  <c r="U1164" i="1"/>
  <c r="V1123" i="1"/>
  <c r="X725" i="1"/>
  <c r="V605" i="1"/>
  <c r="W1192" i="1"/>
  <c r="V621" i="1"/>
  <c r="W317" i="1"/>
  <c r="X505" i="1"/>
  <c r="X495" i="1"/>
  <c r="W560" i="1"/>
  <c r="X655" i="1"/>
  <c r="U524" i="1"/>
  <c r="X441" i="1"/>
  <c r="W273" i="1"/>
  <c r="W157" i="1"/>
  <c r="U98" i="1"/>
  <c r="W1233" i="1"/>
  <c r="U850" i="1"/>
  <c r="V507" i="1"/>
  <c r="U1160" i="1"/>
  <c r="X904" i="1"/>
  <c r="U15" i="1"/>
  <c r="W661" i="1"/>
  <c r="X895" i="1"/>
  <c r="V865" i="1"/>
  <c r="X1174" i="1"/>
  <c r="U326" i="1"/>
  <c r="X384" i="1"/>
  <c r="V163" i="1"/>
  <c r="W452" i="1"/>
  <c r="X679" i="1"/>
  <c r="U682" i="1"/>
  <c r="W295" i="1"/>
  <c r="X379" i="1"/>
  <c r="V1127" i="1"/>
  <c r="V1171" i="1"/>
  <c r="V480" i="1"/>
  <c r="W355" i="1"/>
  <c r="W250" i="1"/>
  <c r="W655" i="1"/>
  <c r="U481" i="1"/>
  <c r="U56" i="1"/>
  <c r="V898" i="1"/>
  <c r="U485" i="1"/>
  <c r="X882" i="1"/>
  <c r="W503" i="1"/>
  <c r="W1256" i="1"/>
  <c r="V500" i="1"/>
  <c r="X488" i="1"/>
  <c r="U523" i="1"/>
  <c r="W1148" i="1"/>
  <c r="X1141" i="1"/>
  <c r="W241" i="1"/>
  <c r="U639" i="1"/>
  <c r="U161" i="1"/>
  <c r="U379" i="1"/>
  <c r="V766" i="1"/>
  <c r="U854" i="1"/>
  <c r="X1156" i="1"/>
  <c r="W256" i="1"/>
  <c r="X805" i="1"/>
  <c r="V1116" i="1"/>
  <c r="U806" i="1"/>
  <c r="V687" i="1"/>
  <c r="W109" i="1"/>
  <c r="U150" i="1"/>
  <c r="U911" i="1"/>
  <c r="W1164" i="1"/>
  <c r="W53" i="1"/>
  <c r="W988" i="1"/>
  <c r="V1253" i="1"/>
  <c r="X835" i="1"/>
  <c r="U58" i="1"/>
  <c r="W88" i="1"/>
  <c r="U771" i="1"/>
  <c r="V689" i="1"/>
  <c r="V555" i="1"/>
  <c r="X848" i="1"/>
  <c r="U69" i="1"/>
  <c r="W714" i="1"/>
  <c r="U768" i="1"/>
  <c r="X1135" i="1"/>
  <c r="U1254" i="1"/>
  <c r="V36" i="1"/>
  <c r="U844" i="1"/>
  <c r="U260" i="1"/>
  <c r="V816" i="1"/>
  <c r="W131" i="1"/>
  <c r="V61" i="1"/>
  <c r="U1074" i="1"/>
  <c r="X1029" i="1"/>
  <c r="X671" i="1"/>
  <c r="X382" i="1"/>
  <c r="X589" i="1"/>
  <c r="W1184" i="1"/>
  <c r="U613" i="1"/>
  <c r="X606" i="1"/>
  <c r="U376" i="1"/>
  <c r="W245" i="1"/>
  <c r="U342" i="1"/>
  <c r="V725" i="1"/>
  <c r="X831" i="1"/>
  <c r="W1206" i="1"/>
  <c r="X1103" i="1"/>
  <c r="X561" i="1"/>
  <c r="W940" i="1"/>
  <c r="V749" i="1"/>
  <c r="V583" i="1"/>
  <c r="X452" i="1"/>
  <c r="V161" i="1"/>
  <c r="V476" i="1"/>
  <c r="W1161" i="1"/>
  <c r="V758" i="1"/>
  <c r="V516" i="1"/>
  <c r="V801" i="1"/>
  <c r="X393" i="1"/>
  <c r="U209" i="1"/>
  <c r="X428" i="1"/>
  <c r="V230" i="1"/>
  <c r="V601" i="1"/>
  <c r="U298" i="1"/>
  <c r="U440" i="1"/>
  <c r="V759" i="1"/>
  <c r="V238" i="1"/>
  <c r="U1092" i="1"/>
  <c r="X1211" i="1"/>
  <c r="W682" i="1"/>
  <c r="V683" i="1"/>
  <c r="U898" i="1"/>
  <c r="W788" i="1"/>
  <c r="U665" i="1"/>
  <c r="U594" i="1"/>
  <c r="X1182" i="1"/>
  <c r="X925" i="1"/>
  <c r="V858" i="1"/>
  <c r="W749" i="1"/>
  <c r="W71" i="1"/>
  <c r="W166" i="1"/>
  <c r="U166" i="1"/>
  <c r="V166" i="1"/>
  <c r="U776" i="1"/>
  <c r="W776" i="1"/>
  <c r="U871" i="1"/>
  <c r="W871" i="1"/>
  <c r="X871" i="1"/>
  <c r="X1180" i="1"/>
  <c r="V1180" i="1"/>
  <c r="V53" i="1"/>
  <c r="U53" i="1"/>
  <c r="V534" i="1"/>
  <c r="W534" i="1"/>
  <c r="V274" i="1"/>
  <c r="W274" i="1"/>
  <c r="U274" i="1"/>
  <c r="U922" i="1"/>
  <c r="X922" i="1"/>
  <c r="U1030" i="1"/>
  <c r="X1030" i="1"/>
  <c r="U229" i="1"/>
  <c r="X229" i="1"/>
  <c r="X1080" i="1"/>
  <c r="W1080" i="1"/>
  <c r="W653" i="1"/>
  <c r="U653" i="1"/>
  <c r="V653" i="1"/>
  <c r="W651" i="1"/>
  <c r="V635" i="1"/>
  <c r="X635" i="1"/>
  <c r="W635" i="1"/>
  <c r="U635" i="1"/>
  <c r="V673" i="1"/>
  <c r="W673" i="1"/>
  <c r="U869" i="1"/>
  <c r="V869" i="1"/>
  <c r="W449" i="1"/>
  <c r="U449" i="1"/>
  <c r="X449" i="1"/>
  <c r="U883" i="1"/>
  <c r="X883" i="1"/>
  <c r="V974" i="1"/>
  <c r="X974" i="1"/>
  <c r="W974" i="1"/>
  <c r="U974" i="1"/>
  <c r="W466" i="1"/>
  <c r="X466" i="1"/>
  <c r="W319" i="1"/>
  <c r="U319" i="1"/>
  <c r="X319" i="1"/>
  <c r="U230" i="1"/>
  <c r="U696" i="1"/>
  <c r="V696" i="1"/>
  <c r="X696" i="1"/>
  <c r="W696" i="1"/>
  <c r="U952" i="1"/>
  <c r="W952" i="1"/>
  <c r="V952" i="1"/>
  <c r="X643" i="1"/>
  <c r="W971" i="1"/>
  <c r="X971" i="1"/>
  <c r="V971" i="1"/>
  <c r="U971" i="1"/>
  <c r="U897" i="1"/>
  <c r="W897" i="1"/>
  <c r="U181" i="1"/>
  <c r="V181" i="1"/>
  <c r="W564" i="1"/>
  <c r="U564" i="1"/>
  <c r="X564" i="1"/>
  <c r="X312" i="1"/>
  <c r="V1030" i="1"/>
  <c r="W380" i="1"/>
  <c r="V380" i="1"/>
  <c r="U380" i="1"/>
  <c r="U1180" i="1"/>
  <c r="X537" i="1"/>
  <c r="W537" i="1"/>
  <c r="W842" i="1"/>
  <c r="V842" i="1"/>
  <c r="V837" i="1"/>
  <c r="W837" i="1"/>
  <c r="W950" i="1"/>
  <c r="V950" i="1"/>
  <c r="U54" i="1"/>
  <c r="V54" i="1"/>
  <c r="W230" i="1"/>
  <c r="U990" i="1"/>
  <c r="W990" i="1"/>
  <c r="V990" i="1"/>
  <c r="X990" i="1"/>
  <c r="U212" i="1"/>
  <c r="X212" i="1"/>
  <c r="U976" i="1"/>
  <c r="W1180" i="1"/>
  <c r="V116" i="1"/>
  <c r="W116" i="1"/>
  <c r="V993" i="1"/>
  <c r="U993" i="1"/>
  <c r="W993" i="1"/>
  <c r="W362" i="1"/>
  <c r="V362" i="1"/>
  <c r="U444" i="1"/>
  <c r="V444" i="1"/>
  <c r="U468" i="1"/>
  <c r="X468" i="1"/>
  <c r="X373" i="1"/>
  <c r="U845" i="1"/>
  <c r="W845" i="1"/>
  <c r="V845" i="1"/>
  <c r="W832" i="1"/>
  <c r="V832" i="1"/>
  <c r="U389" i="1"/>
  <c r="X389" i="1"/>
  <c r="X647" i="1"/>
  <c r="W647" i="1"/>
  <c r="U747" i="1"/>
  <c r="W747" i="1"/>
  <c r="V437" i="1"/>
  <c r="U437" i="1"/>
  <c r="W1255" i="1"/>
  <c r="X1255" i="1"/>
  <c r="W779" i="1"/>
  <c r="U779" i="1"/>
  <c r="U1181" i="1"/>
  <c r="X1181" i="1"/>
  <c r="W1181" i="1"/>
  <c r="U223" i="1"/>
  <c r="W223" i="1"/>
  <c r="V587" i="1"/>
  <c r="U587" i="1"/>
  <c r="W587" i="1"/>
  <c r="X1036" i="1"/>
  <c r="V1036" i="1"/>
  <c r="X1155" i="1"/>
  <c r="U596" i="1"/>
  <c r="V596" i="1"/>
  <c r="V135" i="1"/>
  <c r="U135" i="1"/>
  <c r="W938" i="1"/>
  <c r="U938" i="1"/>
  <c r="X938" i="1"/>
  <c r="U1234" i="1"/>
  <c r="V1234" i="1"/>
  <c r="W1234" i="1"/>
  <c r="X1234" i="1"/>
  <c r="W669" i="1"/>
  <c r="U669" i="1"/>
  <c r="U493" i="1"/>
  <c r="V493" i="1"/>
  <c r="W493" i="1"/>
  <c r="U849" i="1"/>
  <c r="X849" i="1"/>
  <c r="U504" i="1"/>
  <c r="X504" i="1"/>
  <c r="W812" i="1"/>
  <c r="X812" i="1"/>
  <c r="U812" i="1"/>
  <c r="X641" i="1"/>
  <c r="U641" i="1"/>
  <c r="W173" i="1"/>
  <c r="U173" i="1"/>
  <c r="V173" i="1"/>
  <c r="X456" i="1"/>
  <c r="V456" i="1"/>
  <c r="U370" i="1"/>
  <c r="U1061" i="1"/>
  <c r="W1061" i="1"/>
  <c r="X1061" i="1"/>
  <c r="W943" i="1"/>
  <c r="V943" i="1"/>
  <c r="X943" i="1"/>
  <c r="W770" i="1"/>
  <c r="U770" i="1"/>
  <c r="U287" i="1"/>
  <c r="V252" i="1"/>
  <c r="V287" i="1"/>
  <c r="V963" i="1"/>
  <c r="W963" i="1"/>
  <c r="U963" i="1"/>
  <c r="U196" i="1"/>
  <c r="V196" i="1"/>
  <c r="W196" i="1"/>
  <c r="W301" i="1"/>
  <c r="U301" i="1"/>
  <c r="V264" i="1"/>
  <c r="U264" i="1"/>
  <c r="U30" i="1"/>
  <c r="V30" i="1"/>
  <c r="V1120" i="1"/>
  <c r="W1120" i="1"/>
  <c r="X630" i="1"/>
  <c r="W630" i="1"/>
  <c r="U751" i="1"/>
  <c r="V751" i="1"/>
  <c r="V288" i="1"/>
  <c r="W1205" i="1"/>
  <c r="X1205" i="1"/>
  <c r="V1095" i="1"/>
  <c r="W1095" i="1"/>
  <c r="V73" i="1"/>
  <c r="W73" i="1"/>
  <c r="U1090" i="1"/>
  <c r="X414" i="1"/>
  <c r="V414" i="1"/>
  <c r="W252" i="1"/>
  <c r="V1181" i="1"/>
  <c r="U832" i="1"/>
  <c r="V643" i="1"/>
  <c r="U620" i="1"/>
  <c r="V968" i="1"/>
  <c r="X968" i="1"/>
  <c r="U218" i="1"/>
  <c r="V218" i="1"/>
  <c r="W218" i="1"/>
  <c r="V183" i="1"/>
  <c r="W183" i="1"/>
  <c r="W212" i="1"/>
  <c r="W905" i="1"/>
  <c r="U905" i="1"/>
  <c r="X1009" i="1"/>
  <c r="U1009" i="1"/>
  <c r="U356" i="1"/>
  <c r="X356" i="1"/>
  <c r="W356" i="1"/>
  <c r="U1126" i="1"/>
  <c r="X1126" i="1"/>
  <c r="V847" i="1"/>
  <c r="X847" i="1"/>
  <c r="U847" i="1"/>
  <c r="W847" i="1"/>
  <c r="X357" i="1"/>
  <c r="U357" i="1"/>
  <c r="U42" i="1"/>
  <c r="V42" i="1"/>
  <c r="X957" i="1"/>
  <c r="W957" i="1"/>
  <c r="U957" i="1"/>
  <c r="W487" i="1"/>
  <c r="V487" i="1"/>
  <c r="V857" i="1"/>
  <c r="W857" i="1"/>
  <c r="X857" i="1"/>
  <c r="W1051" i="1"/>
  <c r="V1051" i="1"/>
  <c r="X808" i="1"/>
  <c r="W808" i="1"/>
  <c r="U808" i="1"/>
  <c r="V633" i="1"/>
  <c r="W633" i="1"/>
  <c r="X1082" i="1"/>
  <c r="U980" i="1"/>
  <c r="V980" i="1"/>
  <c r="W1136" i="1"/>
  <c r="U1136" i="1"/>
  <c r="X1136" i="1"/>
  <c r="V1136" i="1"/>
  <c r="V922" i="1"/>
  <c r="W559" i="1"/>
  <c r="V559" i="1"/>
  <c r="V906" i="1"/>
  <c r="X906" i="1"/>
  <c r="W906" i="1"/>
  <c r="W113" i="1"/>
  <c r="U113" i="1"/>
  <c r="X369" i="1"/>
  <c r="V369" i="1"/>
  <c r="W206" i="1"/>
  <c r="X206" i="1"/>
  <c r="X820" i="1"/>
  <c r="W820" i="1"/>
  <c r="W1009" i="1"/>
  <c r="U737" i="1"/>
  <c r="V737" i="1"/>
  <c r="X558" i="1"/>
  <c r="U558" i="1"/>
  <c r="W922" i="1"/>
  <c r="X461" i="1"/>
  <c r="U461" i="1"/>
  <c r="V451" i="1"/>
  <c r="W451" i="1"/>
  <c r="W767" i="1"/>
  <c r="U767" i="1"/>
  <c r="V356" i="1"/>
  <c r="U643" i="1"/>
  <c r="V503" i="1"/>
  <c r="X503" i="1"/>
  <c r="V776" i="1"/>
  <c r="U515" i="1"/>
  <c r="W515" i="1"/>
  <c r="V1121" i="1"/>
  <c r="U446" i="1"/>
  <c r="V446" i="1"/>
  <c r="X446" i="1"/>
  <c r="W1070" i="1"/>
  <c r="X1070" i="1"/>
  <c r="W924" i="1"/>
  <c r="X924" i="1"/>
  <c r="U924" i="1"/>
  <c r="V1227" i="1"/>
  <c r="X1227" i="1"/>
  <c r="U1240" i="1"/>
  <c r="X1240" i="1"/>
  <c r="V1240" i="1"/>
  <c r="V212" i="1"/>
  <c r="U906" i="1"/>
  <c r="X788" i="1"/>
  <c r="V294" i="1"/>
  <c r="W294" i="1"/>
  <c r="U294" i="1"/>
  <c r="V34" i="1"/>
  <c r="V697" i="1"/>
  <c r="X1006" i="1"/>
  <c r="U1006" i="1"/>
  <c r="V1006" i="1"/>
  <c r="U375" i="1"/>
  <c r="V375" i="1"/>
  <c r="U114" i="1"/>
  <c r="V114" i="1"/>
  <c r="U1080" i="1"/>
  <c r="V1080" i="1"/>
  <c r="W616" i="1"/>
  <c r="V616" i="1"/>
  <c r="W150" i="1"/>
  <c r="V150" i="1"/>
  <c r="X948" i="1"/>
  <c r="U948" i="1"/>
  <c r="W948" i="1"/>
  <c r="V948" i="1"/>
  <c r="U511" i="1"/>
  <c r="X254" i="1"/>
  <c r="U254" i="1"/>
  <c r="V217" i="1"/>
  <c r="U217" i="1"/>
  <c r="V704" i="1"/>
  <c r="U704" i="1"/>
  <c r="V1117" i="1"/>
  <c r="U1117" i="1"/>
  <c r="X539" i="1"/>
  <c r="W539" i="1"/>
  <c r="V425" i="1"/>
  <c r="U425" i="1"/>
  <c r="W425" i="1"/>
  <c r="X1151" i="1"/>
  <c r="W1151" i="1"/>
  <c r="V223" i="1"/>
  <c r="U865" i="1"/>
  <c r="U712" i="1"/>
  <c r="V712" i="1"/>
  <c r="V140" i="1"/>
  <c r="W346" i="1"/>
  <c r="X346" i="1"/>
  <c r="V346" i="1"/>
  <c r="V537" i="1"/>
  <c r="U950" i="1"/>
  <c r="V220" i="1"/>
  <c r="U220" i="1"/>
  <c r="U1120" i="1"/>
  <c r="X1120" i="1"/>
  <c r="U1174" i="1"/>
  <c r="V1174" i="1"/>
  <c r="X483" i="1"/>
  <c r="W483" i="1"/>
  <c r="V564" i="1"/>
  <c r="V768" i="1"/>
  <c r="X768" i="1"/>
  <c r="U57" i="1"/>
  <c r="V57" i="1"/>
  <c r="U959" i="1"/>
  <c r="V959" i="1"/>
  <c r="W1049" i="1"/>
  <c r="U1049" i="1"/>
  <c r="U451" i="1"/>
  <c r="W591" i="1"/>
  <c r="V591" i="1"/>
  <c r="W702" i="1"/>
  <c r="V808" i="1"/>
  <c r="W1063" i="1"/>
  <c r="W880" i="1"/>
  <c r="U676" i="1"/>
  <c r="X676" i="1"/>
  <c r="U55" i="1"/>
  <c r="V55" i="1"/>
  <c r="X1229" i="1"/>
  <c r="W1229" i="1"/>
  <c r="V1229" i="1"/>
  <c r="V462" i="1"/>
  <c r="X462" i="1"/>
  <c r="W1131" i="1"/>
  <c r="X1131" i="1"/>
  <c r="V327" i="1"/>
  <c r="W327" i="1"/>
  <c r="X327" i="1"/>
  <c r="X426" i="1"/>
  <c r="W426" i="1"/>
  <c r="U1199" i="1"/>
  <c r="W1199" i="1"/>
  <c r="V1199" i="1"/>
  <c r="X1199" i="1"/>
  <c r="W254" i="1"/>
  <c r="V254" i="1"/>
  <c r="W377" i="1"/>
  <c r="X377" i="1"/>
  <c r="V43" i="1"/>
  <c r="U43" i="1"/>
  <c r="V386" i="1"/>
  <c r="W386" i="1"/>
  <c r="V558" i="1"/>
  <c r="X952" i="1"/>
  <c r="W1030" i="1"/>
  <c r="W276" i="1"/>
  <c r="X392" i="1"/>
  <c r="V410" i="1"/>
  <c r="U721" i="1"/>
  <c r="W891" i="1"/>
  <c r="W1249" i="1"/>
  <c r="U684" i="1"/>
  <c r="V691" i="1"/>
  <c r="V882" i="1"/>
  <c r="U864" i="1"/>
  <c r="V44" i="1"/>
  <c r="U253" i="1"/>
  <c r="W1037" i="1"/>
  <c r="W1113" i="1"/>
  <c r="W866" i="1"/>
  <c r="U1002" i="1"/>
  <c r="V31" i="1"/>
  <c r="Y13" i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W601" i="1"/>
  <c r="W864" i="1"/>
  <c r="X439" i="1"/>
  <c r="X453" i="1"/>
  <c r="U1226" i="1"/>
  <c r="X1105" i="1"/>
  <c r="V229" i="1"/>
  <c r="W852" i="1"/>
  <c r="X1172" i="1"/>
  <c r="X1007" i="1"/>
  <c r="U940" i="1"/>
  <c r="W239" i="1"/>
  <c r="X533" i="1"/>
  <c r="V408" i="1"/>
  <c r="X1104" i="1"/>
  <c r="W363" i="1"/>
  <c r="U529" i="1"/>
  <c r="X1226" i="1"/>
  <c r="U499" i="1"/>
  <c r="U706" i="1"/>
  <c r="W1119" i="1"/>
  <c r="V1038" i="1"/>
  <c r="V409" i="1"/>
  <c r="W371" i="1"/>
  <c r="V427" i="1"/>
  <c r="U852" i="1"/>
  <c r="V695" i="1"/>
  <c r="V878" i="1"/>
  <c r="V672" i="1"/>
  <c r="U262" i="1"/>
  <c r="U891" i="1"/>
  <c r="X209" i="1"/>
  <c r="U899" i="1"/>
  <c r="X1025" i="1"/>
  <c r="W85" i="1"/>
  <c r="U233" i="1"/>
  <c r="V1200" i="1"/>
  <c r="U1202" i="1"/>
  <c r="V291" i="1"/>
  <c r="W439" i="1"/>
  <c r="V340" i="1"/>
  <c r="X1187" i="1"/>
  <c r="W1187" i="1"/>
  <c r="U775" i="1"/>
  <c r="U163" i="1"/>
  <c r="X851" i="1"/>
  <c r="W195" i="1"/>
  <c r="V925" i="1"/>
  <c r="W359" i="1"/>
  <c r="V721" i="1"/>
  <c r="X769" i="1"/>
  <c r="V853" i="1"/>
  <c r="U828" i="1"/>
  <c r="U410" i="1"/>
  <c r="U1085" i="1"/>
  <c r="X433" i="1"/>
  <c r="U1135" i="1"/>
  <c r="W865" i="1"/>
  <c r="U439" i="1"/>
  <c r="W827" i="1"/>
  <c r="U276" i="1"/>
  <c r="V628" i="1"/>
  <c r="U881" i="1"/>
  <c r="V940" i="1"/>
  <c r="V197" i="1"/>
  <c r="W169" i="1"/>
  <c r="U671" i="1"/>
  <c r="V501" i="1"/>
  <c r="V700" i="1"/>
  <c r="V1007" i="1"/>
  <c r="U1034" i="1"/>
  <c r="W1158" i="1"/>
  <c r="V856" i="1"/>
  <c r="U195" i="1"/>
  <c r="W1086" i="1"/>
  <c r="V896" i="1"/>
  <c r="V1027" i="1"/>
  <c r="V911" i="1"/>
  <c r="U1093" i="1"/>
  <c r="X1137" i="1"/>
  <c r="W854" i="1"/>
  <c r="X1013" i="1"/>
  <c r="U1033" i="1"/>
  <c r="W811" i="1"/>
  <c r="W253" i="1"/>
  <c r="V109" i="1"/>
  <c r="X973" i="1"/>
  <c r="W222" i="1"/>
  <c r="W68" i="1"/>
  <c r="W692" i="1"/>
  <c r="V531" i="1"/>
  <c r="U851" i="1"/>
  <c r="V347" i="1"/>
  <c r="U441" i="1"/>
  <c r="X997" i="1"/>
  <c r="X1102" i="1"/>
  <c r="V762" i="1"/>
  <c r="V1025" i="1"/>
  <c r="W784" i="1"/>
  <c r="W410" i="1"/>
  <c r="V96" i="1"/>
  <c r="V652" i="1"/>
  <c r="V599" i="1"/>
  <c r="W1007" i="1"/>
  <c r="V474" i="1"/>
  <c r="X650" i="1"/>
  <c r="U848" i="1"/>
  <c r="X852" i="1"/>
  <c r="V901" i="1"/>
  <c r="U291" i="1"/>
  <c r="U1167" i="1"/>
  <c r="V722" i="1"/>
  <c r="X799" i="1"/>
  <c r="W236" i="1"/>
  <c r="W1226" i="1"/>
  <c r="U278" i="1"/>
  <c r="U583" i="1"/>
  <c r="W202" i="1"/>
  <c r="V270" i="1"/>
  <c r="W325" i="1"/>
  <c r="V982" i="1"/>
  <c r="W154" i="1"/>
  <c r="U1247" i="1"/>
  <c r="V499" i="1"/>
  <c r="V999" i="1"/>
  <c r="W1038" i="1"/>
  <c r="W144" i="1"/>
  <c r="X524" i="1"/>
  <c r="X334" i="1"/>
  <c r="X901" i="1"/>
  <c r="X690" i="1"/>
  <c r="V167" i="1"/>
  <c r="U403" i="1"/>
  <c r="V403" i="1"/>
  <c r="W403" i="1"/>
  <c r="W107" i="1"/>
  <c r="U107" i="1"/>
  <c r="U1047" i="1"/>
  <c r="V1047" i="1"/>
  <c r="X455" i="1"/>
  <c r="V455" i="1"/>
  <c r="U455" i="1"/>
  <c r="V108" i="1"/>
  <c r="X888" i="1"/>
  <c r="V888" i="1"/>
  <c r="W1146" i="1"/>
  <c r="U1146" i="1"/>
  <c r="W632" i="1"/>
  <c r="X632" i="1"/>
  <c r="W1006" i="1"/>
  <c r="U1158" i="1"/>
  <c r="V1041" i="1"/>
  <c r="W718" i="1"/>
  <c r="X966" i="1"/>
  <c r="V966" i="1"/>
  <c r="W641" i="1"/>
  <c r="V641" i="1"/>
  <c r="U313" i="1"/>
  <c r="W313" i="1"/>
  <c r="V211" i="1"/>
  <c r="U211" i="1"/>
  <c r="V215" i="1"/>
  <c r="V260" i="1"/>
  <c r="W361" i="1"/>
  <c r="W76" i="1"/>
  <c r="V738" i="1"/>
  <c r="X728" i="1"/>
  <c r="W640" i="1"/>
  <c r="U39" i="1"/>
  <c r="V779" i="1"/>
  <c r="W1081" i="1"/>
  <c r="U827" i="1"/>
  <c r="X1022" i="1"/>
  <c r="W1017" i="1"/>
  <c r="W1129" i="1"/>
  <c r="W894" i="1"/>
  <c r="X616" i="1"/>
  <c r="U655" i="1"/>
  <c r="W211" i="1"/>
  <c r="W1222" i="1"/>
  <c r="U701" i="1"/>
  <c r="V773" i="1"/>
  <c r="W93" i="1"/>
  <c r="U1198" i="1"/>
  <c r="V748" i="1"/>
  <c r="W1068" i="1"/>
  <c r="X1068" i="1"/>
  <c r="V305" i="1"/>
  <c r="U305" i="1"/>
  <c r="V563" i="1"/>
  <c r="U563" i="1"/>
  <c r="X949" i="1"/>
  <c r="U949" i="1"/>
  <c r="W949" i="1"/>
  <c r="W1144" i="1"/>
  <c r="X1144" i="1"/>
  <c r="W683" i="1"/>
  <c r="U1068" i="1"/>
  <c r="X1213" i="1"/>
  <c r="W1213" i="1"/>
  <c r="V98" i="1"/>
  <c r="W872" i="1"/>
  <c r="X944" i="1"/>
  <c r="W944" i="1"/>
  <c r="U674" i="1"/>
  <c r="V674" i="1"/>
  <c r="V572" i="1"/>
  <c r="W572" i="1"/>
  <c r="U572" i="1"/>
  <c r="X563" i="1"/>
  <c r="W697" i="1"/>
  <c r="U205" i="1"/>
  <c r="V205" i="1"/>
  <c r="W205" i="1"/>
  <c r="U1143" i="1"/>
  <c r="U82" i="1"/>
  <c r="W874" i="1"/>
  <c r="U874" i="1"/>
  <c r="X874" i="1"/>
  <c r="X903" i="1"/>
  <c r="V903" i="1"/>
  <c r="U332" i="1"/>
  <c r="X406" i="1"/>
  <c r="X308" i="1"/>
  <c r="W114" i="1"/>
  <c r="V1091" i="1"/>
  <c r="W1079" i="1"/>
  <c r="V364" i="1"/>
  <c r="X211" i="1"/>
  <c r="V840" i="1"/>
  <c r="X765" i="1"/>
  <c r="W797" i="1"/>
  <c r="V590" i="1"/>
  <c r="U664" i="1"/>
  <c r="W664" i="1"/>
  <c r="V404" i="1"/>
  <c r="U650" i="1"/>
  <c r="W666" i="1"/>
  <c r="U404" i="1"/>
  <c r="X361" i="1"/>
  <c r="X502" i="1"/>
  <c r="W1227" i="1"/>
  <c r="X1063" i="1"/>
  <c r="U955" i="1"/>
  <c r="V955" i="1"/>
  <c r="X934" i="1"/>
  <c r="U934" i="1"/>
  <c r="W188" i="1"/>
  <c r="V188" i="1"/>
  <c r="U469" i="1"/>
  <c r="V469" i="1"/>
  <c r="W934" i="1"/>
  <c r="W991" i="1"/>
  <c r="U991" i="1"/>
  <c r="V991" i="1"/>
  <c r="X656" i="1"/>
  <c r="V656" i="1"/>
  <c r="U656" i="1"/>
  <c r="W656" i="1"/>
  <c r="X731" i="1"/>
  <c r="U1227" i="1"/>
  <c r="V1072" i="1"/>
  <c r="W1072" i="1"/>
  <c r="V1057" i="1"/>
  <c r="X1057" i="1"/>
  <c r="X1169" i="1"/>
  <c r="W1169" i="1"/>
  <c r="V1172" i="1"/>
  <c r="V611" i="1"/>
  <c r="U100" i="1"/>
  <c r="U902" i="1"/>
  <c r="W911" i="1"/>
  <c r="W1197" i="1"/>
  <c r="V1205" i="1"/>
  <c r="W1005" i="1"/>
  <c r="V62" i="1"/>
  <c r="V84" i="1"/>
  <c r="W801" i="1"/>
  <c r="U801" i="1"/>
  <c r="X331" i="1"/>
  <c r="V331" i="1"/>
  <c r="U484" i="1"/>
  <c r="X330" i="1"/>
  <c r="X730" i="1"/>
  <c r="V129" i="1"/>
  <c r="U378" i="1"/>
  <c r="U147" i="1"/>
  <c r="W164" i="1"/>
  <c r="V1191" i="1"/>
  <c r="X1191" i="1"/>
  <c r="U919" i="1"/>
  <c r="X205" i="1"/>
  <c r="U989" i="1"/>
  <c r="V210" i="1"/>
  <c r="W337" i="1"/>
  <c r="W264" i="1"/>
  <c r="U345" i="1"/>
  <c r="X345" i="1"/>
  <c r="V345" i="1"/>
  <c r="X697" i="1"/>
  <c r="X1244" i="1"/>
  <c r="U239" i="1"/>
  <c r="U1089" i="1"/>
  <c r="W604" i="1"/>
  <c r="U604" i="1"/>
  <c r="X501" i="1"/>
  <c r="U501" i="1"/>
  <c r="V965" i="1"/>
  <c r="W965" i="1"/>
  <c r="W225" i="1"/>
  <c r="V225" i="1"/>
  <c r="U225" i="1"/>
  <c r="X744" i="1"/>
  <c r="X1142" i="1"/>
  <c r="W1142" i="1"/>
  <c r="V648" i="1"/>
  <c r="U648" i="1"/>
  <c r="X841" i="1"/>
  <c r="V841" i="1"/>
  <c r="W191" i="1"/>
  <c r="U191" i="1"/>
  <c r="X553" i="1"/>
  <c r="U611" i="1"/>
  <c r="U973" i="1"/>
  <c r="U1107" i="1"/>
  <c r="V1094" i="1"/>
  <c r="U454" i="1"/>
  <c r="W454" i="1"/>
  <c r="X370" i="1"/>
  <c r="X1190" i="1"/>
  <c r="U1190" i="1"/>
  <c r="U413" i="1"/>
  <c r="W840" i="1"/>
  <c r="X972" i="1"/>
  <c r="U364" i="1"/>
  <c r="V353" i="1"/>
  <c r="W435" i="1"/>
  <c r="W315" i="1"/>
  <c r="V315" i="1"/>
  <c r="U965" i="1"/>
  <c r="V553" i="1"/>
  <c r="U908" i="1"/>
  <c r="V481" i="1"/>
  <c r="V1098" i="1"/>
  <c r="U521" i="1"/>
  <c r="W521" i="1"/>
  <c r="W323" i="1"/>
  <c r="W809" i="1"/>
  <c r="V809" i="1"/>
  <c r="U306" i="1"/>
  <c r="V306" i="1"/>
  <c r="W275" i="1"/>
  <c r="V275" i="1"/>
  <c r="V1078" i="1"/>
  <c r="U630" i="1"/>
  <c r="W448" i="1"/>
  <c r="V1064" i="1"/>
  <c r="V389" i="1"/>
  <c r="V765" i="1"/>
  <c r="U76" i="1"/>
  <c r="V1250" i="1"/>
  <c r="U1250" i="1"/>
  <c r="X521" i="1"/>
  <c r="V368" i="1"/>
  <c r="W368" i="1"/>
  <c r="W486" i="1"/>
  <c r="U486" i="1"/>
  <c r="X978" i="1"/>
  <c r="V978" i="1"/>
  <c r="U756" i="1"/>
  <c r="W1047" i="1"/>
  <c r="V400" i="1"/>
  <c r="X780" i="1"/>
  <c r="X737" i="1"/>
  <c r="W737" i="1"/>
  <c r="U1063" i="1"/>
  <c r="U802" i="1"/>
  <c r="X877" i="1"/>
  <c r="V972" i="1"/>
  <c r="W998" i="1"/>
  <c r="U1064" i="1"/>
  <c r="X763" i="1"/>
  <c r="U763" i="1"/>
  <c r="X1085" i="1"/>
  <c r="V961" i="1"/>
  <c r="W961" i="1"/>
  <c r="W970" i="1"/>
  <c r="U164" i="1"/>
  <c r="U602" i="1"/>
  <c r="W602" i="1"/>
  <c r="W1032" i="1"/>
  <c r="X1032" i="1"/>
  <c r="V185" i="1"/>
  <c r="W185" i="1"/>
  <c r="W667" i="1"/>
  <c r="V667" i="1"/>
  <c r="V915" i="1"/>
  <c r="U292" i="1"/>
  <c r="X292" i="1"/>
  <c r="V836" i="1"/>
  <c r="W104" i="1"/>
  <c r="U104" i="1"/>
  <c r="W384" i="1"/>
  <c r="W1118" i="1"/>
  <c r="W407" i="1"/>
  <c r="W731" i="1"/>
  <c r="W670" i="1"/>
  <c r="V502" i="1"/>
  <c r="V731" i="1"/>
  <c r="X318" i="1"/>
  <c r="W163" i="1"/>
  <c r="U998" i="1"/>
  <c r="X578" i="1"/>
  <c r="W1002" i="1"/>
  <c r="W978" i="1"/>
  <c r="W590" i="1"/>
  <c r="W1023" i="1"/>
  <c r="U912" i="1"/>
  <c r="U353" i="1"/>
  <c r="X1252" i="1"/>
  <c r="W354" i="1"/>
  <c r="V763" i="1"/>
  <c r="V701" i="1"/>
  <c r="W412" i="1"/>
  <c r="V1201" i="1"/>
  <c r="W1191" i="1"/>
  <c r="V269" i="1"/>
  <c r="W269" i="1"/>
  <c r="X1150" i="1"/>
  <c r="V1019" i="1"/>
  <c r="W1173" i="1"/>
  <c r="X701" i="1"/>
  <c r="X285" i="1"/>
  <c r="U1139" i="1"/>
  <c r="V1247" i="1"/>
  <c r="V1193" i="1"/>
  <c r="W122" i="1"/>
  <c r="W140" i="1"/>
  <c r="V213" i="1"/>
  <c r="X1078" i="1"/>
  <c r="V797" i="1"/>
  <c r="V1129" i="1"/>
  <c r="U690" i="1"/>
  <c r="W652" i="1"/>
  <c r="X652" i="1"/>
  <c r="X821" i="1"/>
  <c r="W821" i="1"/>
  <c r="U821" i="1"/>
  <c r="W469" i="1"/>
  <c r="X709" i="1"/>
  <c r="U709" i="1"/>
  <c r="V708" i="1"/>
  <c r="W665" i="1"/>
  <c r="V665" i="1"/>
  <c r="U673" i="1"/>
  <c r="U1257" i="1"/>
  <c r="W1257" i="1"/>
  <c r="X1257" i="1"/>
  <c r="U1244" i="1"/>
  <c r="W989" i="1"/>
  <c r="W578" i="1"/>
  <c r="W481" i="1"/>
  <c r="X965" i="1"/>
  <c r="V904" i="1"/>
  <c r="W904" i="1"/>
  <c r="W1207" i="1"/>
  <c r="X1207" i="1"/>
  <c r="U317" i="1"/>
  <c r="W848" i="1"/>
  <c r="V848" i="1"/>
  <c r="V1144" i="1"/>
  <c r="X407" i="1"/>
  <c r="V895" i="1"/>
  <c r="U895" i="1"/>
  <c r="U215" i="1"/>
  <c r="W215" i="1"/>
  <c r="X351" i="1"/>
  <c r="V351" i="1"/>
  <c r="W84" i="1"/>
  <c r="W746" i="1"/>
  <c r="W972" i="1"/>
  <c r="X919" i="1"/>
  <c r="X869" i="1"/>
  <c r="W869" i="1"/>
  <c r="V1241" i="1"/>
  <c r="V160" i="1"/>
  <c r="W160" i="1"/>
  <c r="U37" i="1"/>
  <c r="W777" i="1"/>
  <c r="V777" i="1"/>
  <c r="W1212" i="1"/>
  <c r="X1212" i="1"/>
  <c r="X998" i="1"/>
  <c r="V134" i="1"/>
  <c r="W134" i="1"/>
  <c r="X1004" i="1"/>
  <c r="W1004" i="1"/>
  <c r="X1198" i="1"/>
  <c r="V876" i="1"/>
  <c r="W511" i="1"/>
  <c r="W730" i="1"/>
  <c r="X1073" i="1"/>
  <c r="V1065" i="1"/>
  <c r="V918" i="1"/>
  <c r="W918" i="1"/>
  <c r="U268" i="1"/>
  <c r="X1047" i="1"/>
  <c r="X613" i="1"/>
  <c r="W498" i="1"/>
  <c r="X498" i="1"/>
  <c r="U1179" i="1"/>
  <c r="W1179" i="1"/>
  <c r="X1179" i="1"/>
  <c r="V576" i="1"/>
  <c r="W576" i="1"/>
  <c r="U576" i="1"/>
  <c r="W288" i="1"/>
  <c r="X920" i="1"/>
  <c r="W1067" i="1"/>
  <c r="V1067" i="1"/>
  <c r="U1067" i="1"/>
  <c r="U460" i="1"/>
  <c r="V460" i="1"/>
  <c r="X460" i="1"/>
  <c r="W460" i="1"/>
  <c r="V919" i="1"/>
  <c r="U683" i="1"/>
  <c r="W522" i="1"/>
  <c r="X889" i="1"/>
  <c r="U498" i="1"/>
  <c r="V756" i="1"/>
  <c r="W609" i="1"/>
  <c r="X816" i="1"/>
  <c r="V406" i="1"/>
  <c r="W69" i="1"/>
  <c r="V66" i="1"/>
  <c r="X1058" i="1"/>
  <c r="W130" i="1"/>
  <c r="W404" i="1"/>
  <c r="W394" i="1"/>
  <c r="U394" i="1"/>
  <c r="V440" i="1"/>
  <c r="V1190" i="1"/>
  <c r="V540" i="1"/>
  <c r="U296" i="1"/>
  <c r="X475" i="1"/>
  <c r="W531" i="1"/>
  <c r="W719" i="1"/>
  <c r="U1173" i="1"/>
  <c r="U352" i="1"/>
  <c r="W353" i="1"/>
  <c r="W540" i="1"/>
  <c r="W1084" i="1"/>
  <c r="V113" i="1"/>
  <c r="W1044" i="1"/>
  <c r="X802" i="1"/>
  <c r="U774" i="1"/>
  <c r="V784" i="1"/>
  <c r="V518" i="1"/>
  <c r="U318" i="1"/>
  <c r="W1057" i="1"/>
  <c r="U1123" i="1"/>
  <c r="W1242" i="1"/>
  <c r="V504" i="1"/>
  <c r="W583" i="1"/>
  <c r="U841" i="1"/>
  <c r="W318" i="1"/>
  <c r="W1176" i="1"/>
  <c r="V812" i="1"/>
  <c r="X995" i="1"/>
  <c r="U1242" i="1"/>
  <c r="W1137" i="1"/>
  <c r="V1032" i="1"/>
  <c r="U1215" i="1"/>
  <c r="U761" i="1"/>
  <c r="X916" i="1"/>
  <c r="V1105" i="1"/>
  <c r="U772" i="1"/>
  <c r="X332" i="1"/>
  <c r="V511" i="1"/>
  <c r="V1070" i="1"/>
  <c r="W1139" i="1"/>
  <c r="W964" i="1"/>
  <c r="V964" i="1"/>
  <c r="V382" i="1"/>
  <c r="W382" i="1"/>
  <c r="W478" i="1"/>
  <c r="X478" i="1"/>
  <c r="X1130" i="1"/>
  <c r="U1130" i="1"/>
  <c r="W1130" i="1"/>
  <c r="V1130" i="1"/>
  <c r="V680" i="1"/>
  <c r="X680" i="1"/>
  <c r="U474" i="1"/>
  <c r="W955" i="1"/>
  <c r="X1067" i="1"/>
  <c r="V58" i="1"/>
  <c r="W876" i="1"/>
  <c r="X989" i="1"/>
  <c r="X440" i="1"/>
  <c r="W1143" i="1"/>
  <c r="V1143" i="1"/>
  <c r="V110" i="1"/>
  <c r="W110" i="1"/>
  <c r="W698" i="1"/>
  <c r="U698" i="1"/>
  <c r="U249" i="1"/>
  <c r="V249" i="1"/>
  <c r="X715" i="1"/>
  <c r="V1099" i="1"/>
  <c r="W1099" i="1"/>
  <c r="U840" i="1"/>
  <c r="U261" i="1"/>
  <c r="V261" i="1"/>
  <c r="X375" i="1"/>
  <c r="W375" i="1"/>
  <c r="X970" i="1"/>
  <c r="V970" i="1"/>
  <c r="V745" i="1"/>
  <c r="U745" i="1"/>
  <c r="X574" i="1"/>
  <c r="W574" i="1"/>
  <c r="X518" i="1"/>
  <c r="V95" i="1"/>
  <c r="W238" i="1"/>
  <c r="W545" i="1"/>
  <c r="U180" i="1"/>
  <c r="V180" i="1"/>
  <c r="X464" i="1"/>
  <c r="X576" i="1"/>
  <c r="V214" i="1"/>
  <c r="W885" i="1"/>
  <c r="U633" i="1"/>
  <c r="U198" i="1"/>
  <c r="V718" i="1"/>
  <c r="U1013" i="1"/>
  <c r="U142" i="1"/>
  <c r="W357" i="1"/>
  <c r="U77" i="1"/>
  <c r="U489" i="1"/>
  <c r="U331" i="1"/>
  <c r="U975" i="1"/>
  <c r="U238" i="1"/>
  <c r="W1195" i="1"/>
  <c r="U397" i="1"/>
  <c r="X759" i="1"/>
  <c r="W82" i="1"/>
  <c r="W748" i="1"/>
  <c r="X961" i="1"/>
  <c r="W516" i="1"/>
  <c r="X510" i="1"/>
  <c r="X698" i="1"/>
  <c r="U766" i="1"/>
  <c r="V392" i="1"/>
  <c r="V468" i="1"/>
  <c r="U782" i="1"/>
  <c r="X435" i="1"/>
  <c r="U516" i="1"/>
  <c r="X412" i="1"/>
  <c r="V719" i="1"/>
  <c r="U1147" i="1"/>
  <c r="W1147" i="1"/>
  <c r="X1147" i="1"/>
  <c r="V637" i="1"/>
  <c r="W637" i="1"/>
  <c r="U284" i="1"/>
  <c r="V284" i="1"/>
  <c r="U1102" i="1"/>
  <c r="V949" i="1"/>
  <c r="V1185" i="1"/>
  <c r="X1185" i="1"/>
  <c r="W1185" i="1"/>
  <c r="V449" i="1"/>
  <c r="W455" i="1"/>
  <c r="U433" i="1"/>
  <c r="U340" i="1"/>
  <c r="V38" i="1"/>
  <c r="V63" i="1"/>
  <c r="W1098" i="1"/>
  <c r="U237" i="1"/>
  <c r="V771" i="1"/>
  <c r="W771" i="1"/>
  <c r="X767" i="1"/>
  <c r="X955" i="1"/>
  <c r="U680" i="1"/>
  <c r="W433" i="1"/>
  <c r="W722" i="1"/>
  <c r="U522" i="1"/>
  <c r="W979" i="1"/>
  <c r="W1241" i="1"/>
  <c r="W535" i="1"/>
  <c r="U1197" i="1"/>
  <c r="V1156" i="1"/>
  <c r="X902" i="1"/>
  <c r="V332" i="1"/>
  <c r="X545" i="1"/>
  <c r="X364" i="1"/>
  <c r="W868" i="1"/>
  <c r="W1167" i="1"/>
  <c r="U753" i="1"/>
  <c r="X474" i="1"/>
  <c r="W685" i="1"/>
  <c r="V1114" i="1"/>
  <c r="U1114" i="1"/>
  <c r="W62" i="1"/>
  <c r="W743" i="1"/>
  <c r="V377" i="1"/>
  <c r="U640" i="1"/>
  <c r="W902" i="1"/>
  <c r="X704" i="1"/>
  <c r="U534" i="1"/>
  <c r="V539" i="1"/>
  <c r="W77" i="1"/>
  <c r="U618" i="1"/>
  <c r="X315" i="1"/>
  <c r="U1021" i="1"/>
  <c r="V613" i="1"/>
  <c r="U923" i="1"/>
  <c r="V642" i="1"/>
  <c r="X642" i="1"/>
  <c r="X810" i="1"/>
  <c r="V810" i="1"/>
  <c r="W753" i="1"/>
  <c r="V174" i="1"/>
  <c r="U179" i="1"/>
  <c r="W1254" i="1"/>
  <c r="U920" i="1"/>
  <c r="V886" i="1"/>
  <c r="X886" i="1"/>
  <c r="W668" i="1"/>
  <c r="U668" i="1"/>
  <c r="W444" i="1"/>
  <c r="U708" i="1"/>
  <c r="W529" i="1"/>
  <c r="X979" i="1"/>
  <c r="V630" i="1"/>
  <c r="U1087" i="1"/>
  <c r="X425" i="1"/>
  <c r="X986" i="1"/>
  <c r="V817" i="1"/>
  <c r="U886" i="1"/>
  <c r="W271" i="1"/>
  <c r="X271" i="1"/>
  <c r="V23" i="1"/>
  <c r="V104" i="1"/>
  <c r="V402" i="1"/>
  <c r="X881" i="1"/>
  <c r="V296" i="1"/>
  <c r="U1193" i="1"/>
  <c r="W402" i="1"/>
  <c r="W772" i="1"/>
  <c r="U585" i="1"/>
  <c r="W249" i="1"/>
  <c r="V1211" i="1"/>
  <c r="W446" i="1"/>
  <c r="X1072" i="1"/>
  <c r="W958" i="1"/>
  <c r="U730" i="1"/>
  <c r="U836" i="1"/>
  <c r="W711" i="1"/>
  <c r="W204" i="1"/>
  <c r="V690" i="1"/>
  <c r="W899" i="1"/>
  <c r="U1121" i="1"/>
  <c r="W147" i="1"/>
  <c r="U870" i="1"/>
  <c r="X1154" i="1"/>
  <c r="U1232" i="1"/>
  <c r="W1214" i="1"/>
  <c r="V975" i="1"/>
  <c r="X783" i="1"/>
  <c r="V1188" i="1"/>
  <c r="U288" i="1"/>
  <c r="V711" i="1"/>
  <c r="U390" i="1"/>
  <c r="U408" i="1"/>
  <c r="U588" i="1"/>
  <c r="V678" i="1"/>
  <c r="V1245" i="1"/>
  <c r="U739" i="1"/>
  <c r="W358" i="1"/>
  <c r="X515" i="1"/>
  <c r="V620" i="1"/>
  <c r="W413" i="1"/>
  <c r="X348" i="1"/>
  <c r="W348" i="1"/>
  <c r="V189" i="1"/>
  <c r="W189" i="1"/>
  <c r="X1223" i="1"/>
  <c r="X988" i="1"/>
  <c r="U988" i="1"/>
  <c r="X1066" i="1"/>
  <c r="W1066" i="1"/>
  <c r="V685" i="1"/>
  <c r="W1174" i="1"/>
  <c r="W1089" i="1"/>
  <c r="W345" i="1"/>
  <c r="X572" i="1"/>
  <c r="U1201" i="1"/>
  <c r="X417" i="1"/>
  <c r="U1165" i="1"/>
  <c r="X1140" i="1"/>
  <c r="W1140" i="1"/>
  <c r="U248" i="1"/>
  <c r="V464" i="1"/>
  <c r="V538" i="1"/>
  <c r="W538" i="1"/>
  <c r="X620" i="1"/>
  <c r="W1015" i="1"/>
  <c r="V610" i="1"/>
  <c r="U586" i="1"/>
  <c r="W773" i="1"/>
  <c r="U538" i="1"/>
  <c r="X915" i="1"/>
  <c r="W975" i="1"/>
  <c r="W908" i="1"/>
  <c r="X1241" i="1"/>
  <c r="V1107" i="1"/>
  <c r="X959" i="1"/>
  <c r="U351" i="1"/>
  <c r="W1059" i="1"/>
  <c r="V1005" i="1"/>
  <c r="V313" i="1"/>
  <c r="X991" i="1"/>
  <c r="U24" i="1"/>
  <c r="V24" i="1"/>
  <c r="W580" i="1"/>
  <c r="V580" i="1"/>
  <c r="W1025" i="1"/>
  <c r="W1021" i="1"/>
  <c r="X946" i="1"/>
  <c r="V448" i="1"/>
  <c r="V598" i="1"/>
  <c r="U1134" i="1"/>
  <c r="X1134" i="1"/>
  <c r="W1134" i="1"/>
  <c r="W214" i="1"/>
  <c r="U108" i="1"/>
  <c r="W739" i="1"/>
  <c r="W895" i="1"/>
  <c r="U282" i="1"/>
  <c r="U482" i="1"/>
  <c r="X413" i="1"/>
  <c r="W1043" i="1"/>
  <c r="V168" i="1"/>
  <c r="W168" i="1"/>
  <c r="U168" i="1"/>
  <c r="V883" i="1"/>
  <c r="W883" i="1"/>
  <c r="W968" i="1"/>
  <c r="U968" i="1"/>
  <c r="W909" i="1"/>
  <c r="U909" i="1"/>
  <c r="V702" i="1"/>
  <c r="U702" i="1"/>
  <c r="U762" i="1"/>
  <c r="U839" i="1"/>
  <c r="W839" i="1"/>
  <c r="V107" i="1"/>
  <c r="U1245" i="1"/>
  <c r="X275" i="1"/>
  <c r="V120" i="1"/>
  <c r="W120" i="1"/>
  <c r="X536" i="1"/>
  <c r="X984" i="1"/>
  <c r="W984" i="1"/>
  <c r="U559" i="1"/>
  <c r="X559" i="1"/>
  <c r="X1168" i="1"/>
  <c r="U1168" i="1"/>
  <c r="W400" i="1"/>
  <c r="X1005" i="1"/>
  <c r="W959" i="1"/>
  <c r="V485" i="1"/>
  <c r="W684" i="1"/>
  <c r="U188" i="1"/>
  <c r="W849" i="1"/>
  <c r="V849" i="1"/>
  <c r="V957" i="1"/>
  <c r="X872" i="1"/>
  <c r="X1091" i="1"/>
  <c r="X421" i="1"/>
  <c r="W421" i="1"/>
  <c r="V736" i="1"/>
  <c r="U553" i="1"/>
  <c r="U406" i="1"/>
  <c r="W458" i="1"/>
  <c r="U358" i="1"/>
  <c r="X489" i="1"/>
  <c r="X540" i="1"/>
  <c r="U362" i="1"/>
  <c r="V602" i="1"/>
  <c r="U978" i="1"/>
  <c r="U1032" i="1"/>
  <c r="V1073" i="1"/>
  <c r="X534" i="1"/>
  <c r="U616" i="1"/>
  <c r="X908" i="1"/>
  <c r="U269" i="1"/>
  <c r="X839" i="1"/>
  <c r="W976" i="1"/>
  <c r="X471" i="1"/>
  <c r="U40" i="1"/>
  <c r="V317" i="1"/>
  <c r="W536" i="1"/>
  <c r="X323" i="1"/>
  <c r="U797" i="1"/>
  <c r="V1168" i="1"/>
  <c r="U1082" i="1"/>
  <c r="V277" i="1"/>
  <c r="W629" i="1"/>
  <c r="W292" i="1"/>
  <c r="V905" i="1"/>
  <c r="V282" i="1"/>
  <c r="X1251" i="1"/>
  <c r="V574" i="1"/>
  <c r="U1057" i="1"/>
  <c r="U728" i="1"/>
  <c r="V909" i="1"/>
  <c r="U49" i="1"/>
  <c r="V198" i="1"/>
  <c r="V1014" i="1"/>
  <c r="X964" i="1"/>
  <c r="U265" i="1"/>
  <c r="W1076" i="1"/>
  <c r="V522" i="1"/>
  <c r="W308" i="1"/>
  <c r="X870" i="1"/>
  <c r="V103" i="1"/>
  <c r="U103" i="1"/>
  <c r="U842" i="1"/>
  <c r="W680" i="1"/>
  <c r="W563" i="1"/>
  <c r="X403" i="1"/>
  <c r="X1202" i="1"/>
  <c r="U677" i="1"/>
  <c r="X677" i="1"/>
  <c r="W677" i="1"/>
  <c r="W709" i="1"/>
  <c r="W1097" i="1"/>
  <c r="U312" i="1"/>
  <c r="W312" i="1"/>
  <c r="U121" i="1"/>
  <c r="X210" i="1"/>
  <c r="U348" i="1"/>
  <c r="U116" i="1"/>
  <c r="X842" i="1"/>
  <c r="W524" i="1"/>
  <c r="W579" i="1"/>
  <c r="V508" i="1"/>
  <c r="W508" i="1"/>
  <c r="U316" i="1"/>
  <c r="V74" i="1"/>
  <c r="V319" i="1"/>
  <c r="U285" i="1"/>
  <c r="U381" i="1"/>
  <c r="V692" i="1"/>
  <c r="V52" i="1"/>
  <c r="V863" i="1"/>
  <c r="U1023" i="1"/>
  <c r="V477" i="1"/>
  <c r="V133" i="1"/>
  <c r="W882" i="1"/>
  <c r="U178" i="1"/>
  <c r="V442" i="1"/>
  <c r="X551" i="1"/>
  <c r="X963" i="1"/>
  <c r="V1131" i="1"/>
  <c r="U1253" i="1"/>
  <c r="X343" i="1"/>
  <c r="V615" i="1"/>
  <c r="W56" i="1"/>
  <c r="X325" i="1"/>
  <c r="U901" i="1"/>
  <c r="AB203" i="1"/>
  <c r="AB204" i="1" s="1"/>
  <c r="W431" i="1"/>
  <c r="V916" i="1"/>
  <c r="W171" i="1"/>
  <c r="W729" i="1"/>
  <c r="U573" i="1"/>
  <c r="X625" i="1"/>
  <c r="V552" i="1"/>
  <c r="U199" i="1"/>
  <c r="V985" i="1"/>
  <c r="X438" i="1"/>
  <c r="V250" i="1"/>
  <c r="V1203" i="1"/>
  <c r="U1036" i="1"/>
  <c r="V795" i="1"/>
  <c r="X879" i="1"/>
  <c r="V644" i="1"/>
  <c r="U649" i="1"/>
  <c r="X1127" i="1"/>
  <c r="U623" i="1"/>
  <c r="V207" i="1"/>
  <c r="U723" i="1"/>
  <c r="W1027" i="1"/>
  <c r="V740" i="1"/>
  <c r="W422" i="1"/>
  <c r="V1028" i="1"/>
  <c r="V428" i="1"/>
  <c r="V142" i="1"/>
  <c r="V91" i="1"/>
  <c r="V1145" i="1"/>
  <c r="W790" i="1"/>
  <c r="W284" i="1"/>
  <c r="V490" i="1"/>
  <c r="X538" i="1"/>
  <c r="V484" i="1"/>
  <c r="X1062" i="1"/>
  <c r="W1093" i="1"/>
  <c r="U1003" i="1"/>
  <c r="X465" i="1"/>
  <c r="V958" i="1"/>
  <c r="W465" i="1"/>
  <c r="V1194" i="1"/>
  <c r="U693" i="1"/>
  <c r="X296" i="1"/>
  <c r="V614" i="1"/>
  <c r="V1133" i="1"/>
  <c r="X859" i="1"/>
  <c r="U221" i="1"/>
  <c r="V367" i="1"/>
  <c r="X554" i="1"/>
  <c r="W135" i="1"/>
  <c r="X527" i="1"/>
  <c r="W423" i="1"/>
  <c r="W657" i="1"/>
  <c r="U471" i="1"/>
  <c r="W1077" i="1"/>
  <c r="V244" i="1"/>
  <c r="W105" i="1"/>
  <c r="U597" i="1"/>
  <c r="X336" i="1"/>
  <c r="X573" i="1"/>
  <c r="V149" i="1"/>
  <c r="W385" i="1"/>
  <c r="W417" i="1"/>
  <c r="U1051" i="1"/>
  <c r="W527" i="1"/>
  <c r="V1251" i="1"/>
  <c r="V1126" i="1"/>
  <c r="V447" i="1"/>
  <c r="W543" i="1"/>
  <c r="V1029" i="1"/>
  <c r="U206" i="1"/>
  <c r="W1225" i="1"/>
  <c r="V1132" i="1"/>
  <c r="W265" i="1"/>
  <c r="X544" i="1"/>
  <c r="X260" i="1"/>
  <c r="X809" i="1"/>
  <c r="U1104" i="1"/>
  <c r="V216" i="1"/>
  <c r="V41" i="1"/>
  <c r="W573" i="1"/>
  <c r="X1188" i="1"/>
  <c r="W754" i="1"/>
  <c r="X1051" i="1"/>
  <c r="X1075" i="1"/>
  <c r="W947" i="1"/>
  <c r="W1220" i="1"/>
  <c r="V632" i="1"/>
  <c r="W485" i="1"/>
  <c r="W704" i="1"/>
  <c r="V489" i="1"/>
  <c r="W825" i="1"/>
  <c r="W1046" i="1"/>
  <c r="X567" i="1"/>
  <c r="W1251" i="1"/>
  <c r="W736" i="1"/>
  <c r="V366" i="1"/>
  <c r="X447" i="1"/>
  <c r="W414" i="1"/>
  <c r="U805" i="1"/>
  <c r="V194" i="1"/>
  <c r="W588" i="1"/>
  <c r="V1013" i="1"/>
  <c r="W304" i="1"/>
  <c r="W1069" i="1"/>
  <c r="X1000" i="1"/>
  <c r="X1146" i="1"/>
  <c r="X712" i="1"/>
  <c r="U172" i="1"/>
  <c r="V64" i="1"/>
  <c r="V127" i="1"/>
  <c r="V486" i="1"/>
  <c r="W283" i="1"/>
  <c r="X977" i="1"/>
  <c r="V582" i="1"/>
  <c r="V131" i="1"/>
  <c r="X372" i="1"/>
  <c r="X1243" i="1"/>
  <c r="W471" i="1"/>
  <c r="V90" i="1"/>
  <c r="X1053" i="1"/>
  <c r="W642" i="1"/>
  <c r="X945" i="1"/>
  <c r="U1213" i="1"/>
  <c r="U1012" i="1"/>
  <c r="W437" i="1"/>
  <c r="V1149" i="1"/>
  <c r="W1209" i="1"/>
  <c r="W379" i="1"/>
  <c r="V1169" i="1"/>
  <c r="U129" i="1"/>
  <c r="U120" i="1"/>
  <c r="V421" i="1"/>
  <c r="V70" i="1"/>
  <c r="V397" i="1"/>
  <c r="X297" i="1"/>
  <c r="W523" i="1"/>
  <c r="W1250" i="1"/>
  <c r="V179" i="1"/>
  <c r="X344" i="1"/>
  <c r="V391" i="1"/>
  <c r="W817" i="1"/>
  <c r="U711" i="1"/>
  <c r="U813" i="1"/>
  <c r="W193" i="1"/>
  <c r="V309" i="1"/>
  <c r="X723" i="1"/>
  <c r="W520" i="1"/>
  <c r="X388" i="1"/>
  <c r="X270" i="1"/>
  <c r="W716" i="1"/>
  <c r="V278" i="1"/>
  <c r="X1157" i="1"/>
  <c r="V829" i="1"/>
  <c r="V799" i="1"/>
  <c r="U391" i="1"/>
  <c r="V930" i="1"/>
  <c r="U715" i="1"/>
  <c r="W678" i="1"/>
  <c r="X1079" i="1"/>
  <c r="U479" i="1"/>
  <c r="W438" i="1"/>
  <c r="U794" i="1"/>
  <c r="X355" i="1"/>
  <c r="V789" i="1"/>
  <c r="U445" i="1"/>
  <c r="V597" i="1"/>
  <c r="X207" i="1"/>
  <c r="U257" i="1"/>
  <c r="V478" i="1"/>
  <c r="U1020" i="1"/>
  <c r="W1145" i="1"/>
  <c r="U194" i="1"/>
  <c r="V355" i="1"/>
  <c r="X543" i="1"/>
  <c r="W530" i="1"/>
  <c r="V510" i="1"/>
  <c r="U811" i="1"/>
  <c r="W815" i="1"/>
  <c r="U138" i="1"/>
  <c r="U545" i="1"/>
  <c r="U66" i="1"/>
  <c r="X951" i="1"/>
  <c r="V357" i="1"/>
  <c r="V1175" i="1"/>
  <c r="W1055" i="1"/>
  <c r="V385" i="1"/>
  <c r="W297" i="1"/>
  <c r="X790" i="1"/>
  <c r="X580" i="1"/>
  <c r="V241" i="1"/>
  <c r="X437" i="1"/>
  <c r="U818" i="1"/>
  <c r="W1182" i="1"/>
  <c r="X618" i="1"/>
  <c r="U250" i="1"/>
  <c r="W810" i="1"/>
  <c r="V257" i="1"/>
  <c r="W751" i="1"/>
  <c r="W388" i="1"/>
  <c r="V1237" i="1"/>
  <c r="W278" i="1"/>
  <c r="U746" i="1"/>
  <c r="W186" i="1"/>
  <c r="U916" i="1"/>
  <c r="V669" i="1"/>
  <c r="V1016" i="1"/>
  <c r="W843" i="1"/>
  <c r="X1065" i="1"/>
  <c r="U544" i="1"/>
  <c r="V962" i="1"/>
  <c r="V785" i="1"/>
  <c r="V938" i="1"/>
  <c r="U432" i="1"/>
  <c r="X803" i="1"/>
  <c r="U177" i="1"/>
  <c r="W805" i="1"/>
  <c r="U169" i="1"/>
  <c r="W577" i="1"/>
  <c r="W644" i="1"/>
  <c r="V1044" i="1"/>
  <c r="X1235" i="1"/>
  <c r="V1003" i="1"/>
  <c r="V790" i="1"/>
  <c r="U843" i="1"/>
  <c r="U1065" i="1"/>
  <c r="U393" i="1"/>
  <c r="X761" i="1"/>
  <c r="V889" i="1"/>
  <c r="W476" i="1"/>
  <c r="X935" i="1"/>
  <c r="W1149" i="1"/>
  <c r="X811" i="1"/>
  <c r="U785" i="1"/>
  <c r="V208" i="1"/>
  <c r="U810" i="1"/>
  <c r="V395" i="1"/>
  <c r="U117" i="1"/>
  <c r="X1186" i="1"/>
  <c r="X418" i="1"/>
  <c r="U591" i="1"/>
  <c r="V251" i="1"/>
  <c r="W933" i="1"/>
  <c r="U35" i="1"/>
  <c r="U533" i="1"/>
  <c r="U149" i="1"/>
  <c r="X1248" i="1"/>
  <c r="V336" i="1"/>
  <c r="W228" i="1"/>
  <c r="W344" i="1"/>
  <c r="V547" i="1"/>
  <c r="X1203" i="1"/>
  <c r="V1182" i="1"/>
  <c r="U241" i="1"/>
  <c r="W1028" i="1"/>
  <c r="U787" i="1"/>
  <c r="W1132" i="1"/>
  <c r="X276" i="1"/>
  <c r="W1171" i="1"/>
  <c r="V192" i="1"/>
  <c r="U933" i="1"/>
  <c r="U879" i="1"/>
  <c r="W1253" i="1"/>
  <c r="V454" i="1"/>
  <c r="W586" i="1"/>
  <c r="V497" i="1"/>
  <c r="X982" i="1"/>
  <c r="U930" i="1"/>
  <c r="W127" i="1"/>
  <c r="W618" i="1"/>
  <c r="V248" i="1"/>
  <c r="W514" i="1"/>
  <c r="X713" i="1"/>
  <c r="V101" i="1"/>
  <c r="X686" i="1"/>
  <c r="X305" i="1"/>
  <c r="U754" i="1"/>
  <c r="X577" i="1"/>
  <c r="X1196" i="1"/>
  <c r="U736" i="1"/>
  <c r="X277" i="1"/>
  <c r="U412" i="1"/>
  <c r="X631" i="1"/>
  <c r="W367" i="1"/>
  <c r="U384" i="1"/>
  <c r="W447" i="1"/>
  <c r="W688" i="1"/>
  <c r="X514" i="1"/>
  <c r="W343" i="1"/>
  <c r="W1223" i="1"/>
  <c r="U882" i="1"/>
  <c r="W799" i="1"/>
  <c r="W138" i="1"/>
  <c r="X813" i="1"/>
  <c r="V343" i="1"/>
  <c r="U547" i="1"/>
  <c r="V688" i="1"/>
  <c r="W1190" i="1"/>
  <c r="U431" i="1"/>
  <c r="V713" i="1"/>
  <c r="W813" i="1"/>
  <c r="X432" i="1"/>
  <c r="U642" i="1"/>
  <c r="W639" i="1"/>
  <c r="W962" i="1"/>
  <c r="U527" i="1"/>
  <c r="U837" i="1"/>
  <c r="U480" i="1"/>
  <c r="U880" i="1"/>
  <c r="X376" i="1"/>
  <c r="W533" i="1"/>
  <c r="U757" i="1"/>
  <c r="X980" i="1"/>
  <c r="X1003" i="1"/>
  <c r="U203" i="1"/>
  <c r="V1081" i="1"/>
  <c r="X552" i="1"/>
  <c r="X1012" i="1"/>
  <c r="U297" i="1"/>
  <c r="U1142" i="1"/>
  <c r="X1083" i="1"/>
  <c r="U699" i="1"/>
  <c r="X1055" i="1"/>
  <c r="W445" i="1"/>
  <c r="V1043" i="1"/>
  <c r="V806" i="1"/>
  <c r="V859" i="1"/>
  <c r="X727" i="1"/>
  <c r="X454" i="1"/>
  <c r="W681" i="1"/>
  <c r="X1237" i="1"/>
  <c r="W734" i="1"/>
  <c r="V416" i="1"/>
  <c r="W879" i="1"/>
  <c r="V1220" i="1"/>
  <c r="U125" i="1"/>
  <c r="V1101" i="1"/>
  <c r="U1248" i="1"/>
  <c r="U681" i="1"/>
  <c r="W867" i="1"/>
  <c r="X861" i="1"/>
  <c r="W416" i="1"/>
  <c r="U727" i="1"/>
  <c r="W432" i="1"/>
  <c r="U152" i="1"/>
  <c r="V556" i="1"/>
  <c r="W887" i="1"/>
  <c r="X921" i="1"/>
  <c r="X1145" i="1"/>
  <c r="U355" i="1"/>
  <c r="V83" i="1"/>
  <c r="X742" i="1"/>
  <c r="W1036" i="1"/>
  <c r="W977" i="1"/>
  <c r="U887" i="1"/>
  <c r="U632" i="1"/>
  <c r="X1027" i="1"/>
  <c r="U568" i="1"/>
  <c r="X226" i="1"/>
  <c r="W235" i="1"/>
  <c r="V734" i="1"/>
  <c r="X583" i="1"/>
  <c r="U1095" i="1"/>
  <c r="U750" i="1"/>
  <c r="V515" i="1"/>
  <c r="X329" i="1"/>
  <c r="V1055" i="1"/>
  <c r="X815" i="1"/>
  <c r="U286" i="1"/>
  <c r="W893" i="1"/>
  <c r="V1148" i="1"/>
  <c r="U958" i="1"/>
  <c r="X523" i="1"/>
  <c r="U631" i="1"/>
  <c r="V976" i="1"/>
  <c r="V1231" i="1"/>
  <c r="U1175" i="1"/>
  <c r="U888" i="1"/>
  <c r="U835" i="1"/>
  <c r="V1166" i="1"/>
  <c r="U903" i="1"/>
  <c r="X1008" i="1"/>
  <c r="W625" i="1"/>
  <c r="X621" i="1"/>
  <c r="V156" i="1"/>
  <c r="U1166" i="1"/>
  <c r="W1231" i="1"/>
  <c r="U518" i="1"/>
  <c r="W387" i="1"/>
  <c r="V604" i="1"/>
  <c r="W999" i="1"/>
  <c r="V1008" i="1"/>
  <c r="U617" i="1"/>
  <c r="X1077" i="1"/>
  <c r="W309" i="1"/>
  <c r="V308" i="1"/>
  <c r="V187" i="1"/>
  <c r="V608" i="1"/>
  <c r="W608" i="1"/>
  <c r="V951" i="1"/>
  <c r="V698" i="1"/>
  <c r="W418" i="1"/>
  <c r="W152" i="1"/>
  <c r="X789" i="1"/>
  <c r="V796" i="1"/>
  <c r="W366" i="1"/>
  <c r="W112" i="1"/>
  <c r="X853" i="1"/>
  <c r="W89" i="1"/>
  <c r="X513" i="1"/>
  <c r="U645" i="1"/>
  <c r="W261" i="1"/>
  <c r="V664" i="1"/>
  <c r="V625" i="1"/>
  <c r="V932" i="1"/>
  <c r="V693" i="1"/>
  <c r="V1000" i="1"/>
  <c r="U552" i="1"/>
  <c r="W1198" i="1"/>
  <c r="X283" i="1"/>
  <c r="W1117" i="1"/>
  <c r="W693" i="1"/>
  <c r="W1114" i="1"/>
  <c r="U541" i="1"/>
  <c r="U160" i="1"/>
  <c r="U1176" i="1"/>
  <c r="U734" i="1"/>
  <c r="U947" i="1"/>
  <c r="U1231" i="1"/>
  <c r="U982" i="1"/>
  <c r="X490" i="1"/>
  <c r="U520" i="1"/>
  <c r="U718" i="1"/>
  <c r="W712" i="1"/>
  <c r="U889" i="1"/>
  <c r="U1138" i="1"/>
  <c r="W1064" i="1"/>
  <c r="V221" i="1"/>
  <c r="W376" i="1"/>
  <c r="W220" i="1"/>
  <c r="U422" i="1"/>
  <c r="V431" i="1"/>
  <c r="V699" i="1"/>
  <c r="U1094" i="1"/>
  <c r="U629" i="1"/>
  <c r="U186" i="1"/>
  <c r="U581" i="1"/>
  <c r="V361" i="1"/>
  <c r="V666" i="1"/>
  <c r="V1225" i="1"/>
  <c r="V716" i="1"/>
  <c r="V933" i="1"/>
  <c r="X1050" i="1"/>
  <c r="W90" i="1"/>
  <c r="X918" i="1"/>
  <c r="U277" i="1"/>
  <c r="V445" i="1"/>
  <c r="X664" i="1"/>
  <c r="U510" i="1"/>
  <c r="X482" i="1"/>
  <c r="W393" i="1"/>
  <c r="V996" i="1"/>
  <c r="U202" i="1"/>
  <c r="W365" i="1"/>
  <c r="W477" i="1"/>
  <c r="V843" i="1"/>
  <c r="X341" i="1"/>
  <c r="U809" i="1"/>
  <c r="W715" i="1"/>
  <c r="V793" i="1"/>
  <c r="U64" i="1"/>
  <c r="W853" i="1"/>
  <c r="U341" i="1"/>
  <c r="W554" i="1"/>
  <c r="U788" i="1"/>
  <c r="V727" i="1"/>
  <c r="W607" i="1"/>
  <c r="U438" i="1"/>
  <c r="W598" i="1"/>
  <c r="U921" i="1"/>
  <c r="U1103" i="1"/>
  <c r="W79" i="1"/>
  <c r="W162" i="1"/>
  <c r="V1062" i="1"/>
  <c r="X1232" i="1"/>
  <c r="X880" i="1"/>
  <c r="V1232" i="1"/>
  <c r="W192" i="1"/>
  <c r="U514" i="1"/>
  <c r="X1171" i="1"/>
  <c r="V415" i="1"/>
  <c r="W83" i="1"/>
  <c r="W199" i="1"/>
  <c r="U977" i="1"/>
  <c r="V947" i="1"/>
  <c r="W758" i="1"/>
  <c r="U1028" i="1"/>
  <c r="W568" i="1"/>
  <c r="W803" i="1"/>
  <c r="V750" i="1"/>
  <c r="V334" i="1"/>
  <c r="W270" i="1"/>
  <c r="V1146" i="1"/>
  <c r="X387" i="1"/>
  <c r="U1186" i="1"/>
  <c r="W415" i="1"/>
  <c r="U607" i="1"/>
  <c r="W234" i="1"/>
  <c r="X1132" i="1"/>
  <c r="W1189" i="1"/>
  <c r="W1062" i="1"/>
  <c r="U703" i="1"/>
  <c r="V646" i="1"/>
  <c r="X729" i="1"/>
  <c r="W468" i="1"/>
  <c r="U1039" i="1"/>
  <c r="X626" i="1"/>
  <c r="W713" i="1"/>
  <c r="V1170" i="1"/>
  <c r="W615" i="1"/>
  <c r="X999" i="1"/>
  <c r="U1106" i="1"/>
  <c r="W623" i="1"/>
  <c r="X996" i="1"/>
  <c r="U1000" i="1"/>
  <c r="V861" i="1"/>
  <c r="W985" i="1"/>
  <c r="U1069" i="1"/>
  <c r="U131" i="1"/>
  <c r="X796" i="1"/>
  <c r="W1133" i="1"/>
  <c r="W1138" i="1"/>
  <c r="W932" i="1"/>
  <c r="U885" i="1"/>
  <c r="V79" i="1"/>
  <c r="U1133" i="1"/>
  <c r="V365" i="1"/>
  <c r="X913" i="1"/>
  <c r="W556" i="1"/>
  <c r="U951" i="1"/>
  <c r="X530" i="1"/>
  <c r="U244" i="1"/>
  <c r="W1248" i="1"/>
  <c r="U1196" i="1"/>
  <c r="U1148" i="1"/>
  <c r="U1230" i="1"/>
  <c r="W802" i="1"/>
  <c r="X1201" i="1"/>
  <c r="W286" i="1"/>
  <c r="W341" i="1"/>
  <c r="W794" i="1"/>
  <c r="U543" i="1"/>
  <c r="X422" i="1"/>
  <c r="V1033" i="1"/>
  <c r="U530" i="1"/>
  <c r="V177" i="1"/>
  <c r="W1033" i="1"/>
  <c r="V206" i="1"/>
  <c r="V268" i="1"/>
  <c r="V542" i="1"/>
  <c r="U329" i="1"/>
  <c r="V112" i="1"/>
  <c r="V629" i="1"/>
  <c r="X689" i="1"/>
  <c r="W599" i="1"/>
  <c r="W1112" i="1"/>
  <c r="W929" i="1"/>
  <c r="X716" i="1"/>
  <c r="W1050" i="1"/>
  <c r="U395" i="1"/>
  <c r="V344" i="1"/>
  <c r="X1165" i="1"/>
  <c r="V513" i="1"/>
  <c r="V1034" i="1"/>
  <c r="V523" i="1"/>
  <c r="U134" i="1"/>
  <c r="V435" i="1"/>
  <c r="V992" i="1"/>
  <c r="U992" i="1"/>
  <c r="X929" i="1"/>
  <c r="V921" i="1"/>
  <c r="W774" i="1"/>
  <c r="V780" i="1"/>
  <c r="X699" i="1"/>
  <c r="W1230" i="1"/>
  <c r="X556" i="1"/>
  <c r="U1008" i="1"/>
  <c r="U110" i="1"/>
  <c r="X358" i="1"/>
  <c r="X1106" i="1"/>
  <c r="X932" i="1"/>
  <c r="W442" i="1"/>
  <c r="U946" i="1"/>
  <c r="V686" i="1"/>
  <c r="V668" i="1"/>
  <c r="W896" i="1"/>
  <c r="W626" i="1"/>
  <c r="W1039" i="1"/>
  <c r="V75" i="1"/>
  <c r="W841" i="1"/>
  <c r="V770" i="1"/>
  <c r="V1138" i="1"/>
  <c r="U243" i="1"/>
  <c r="V568" i="1"/>
  <c r="U99" i="1"/>
  <c r="U614" i="1"/>
  <c r="W300" i="1"/>
  <c r="W806" i="1"/>
  <c r="W424" i="1"/>
  <c r="X825" i="1"/>
  <c r="U490" i="1"/>
  <c r="V119" i="1"/>
  <c r="W203" i="1"/>
  <c r="W1243" i="1"/>
  <c r="V247" i="1"/>
  <c r="V191" i="1"/>
  <c r="W456" i="1"/>
  <c r="V1165" i="1"/>
  <c r="W888" i="1"/>
  <c r="V924" i="1"/>
  <c r="X365" i="1"/>
  <c r="W966" i="1"/>
  <c r="U795" i="1"/>
  <c r="W631" i="1"/>
  <c r="U336" i="1"/>
  <c r="W268" i="1"/>
  <c r="V747" i="1"/>
  <c r="X781" i="1"/>
  <c r="X1197" i="1"/>
  <c r="V623" i="1"/>
  <c r="X1039" i="1"/>
  <c r="W829" i="1"/>
  <c r="W723" i="1"/>
  <c r="V1167" i="1"/>
  <c r="V729" i="1"/>
  <c r="V617" i="1"/>
  <c r="U1050" i="1"/>
  <c r="X1046" i="1"/>
  <c r="X1194" i="1"/>
  <c r="U1017" i="1"/>
  <c r="U913" i="1"/>
  <c r="X885" i="1"/>
  <c r="X282" i="1"/>
  <c r="X930" i="1"/>
  <c r="V204" i="1"/>
  <c r="W1186" i="1"/>
  <c r="V234" i="1"/>
  <c r="W881" i="1"/>
  <c r="V703" i="1"/>
  <c r="U825" i="1"/>
  <c r="U75" i="1"/>
  <c r="W119" i="1"/>
  <c r="V1235" i="1"/>
  <c r="V94" i="1"/>
  <c r="X887" i="1"/>
  <c r="V819" i="1"/>
  <c r="U621" i="1"/>
  <c r="W1194" i="1"/>
  <c r="W1170" i="1"/>
  <c r="V815" i="1"/>
  <c r="X1148" i="1"/>
  <c r="X854" i="1"/>
  <c r="W513" i="1"/>
  <c r="U1112" i="1"/>
  <c r="W117" i="1"/>
  <c r="V337" i="1"/>
  <c r="W728" i="1"/>
  <c r="X703" i="1"/>
  <c r="X962" i="1"/>
  <c r="X617" i="1"/>
  <c r="W992" i="1"/>
  <c r="W863" i="1"/>
  <c r="V532" i="1"/>
  <c r="AE13" i="1" l="1"/>
  <c r="AE12" i="1"/>
  <c r="AA53" i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AA106" i="1" s="1"/>
  <c r="AA107" i="1" s="1"/>
  <c r="AA108" i="1" s="1"/>
  <c r="AA109" i="1" s="1"/>
  <c r="AA110" i="1" s="1"/>
  <c r="AA111" i="1" s="1"/>
  <c r="AA112" i="1" s="1"/>
  <c r="AA113" i="1" s="1"/>
  <c r="AA114" i="1" s="1"/>
  <c r="AA115" i="1" s="1"/>
  <c r="AA116" i="1" s="1"/>
  <c r="AA117" i="1" s="1"/>
  <c r="AA118" i="1" s="1"/>
  <c r="AA119" i="1" s="1"/>
  <c r="AA120" i="1" s="1"/>
  <c r="AA121" i="1" s="1"/>
  <c r="AA122" i="1" s="1"/>
  <c r="AA123" i="1" s="1"/>
  <c r="AA124" i="1" s="1"/>
  <c r="AA125" i="1" s="1"/>
  <c r="AA126" i="1" s="1"/>
  <c r="AA127" i="1" s="1"/>
  <c r="AA128" i="1" s="1"/>
  <c r="AA129" i="1" s="1"/>
  <c r="AA130" i="1" s="1"/>
  <c r="AA131" i="1" s="1"/>
  <c r="AA132" i="1" s="1"/>
  <c r="AA133" i="1" s="1"/>
  <c r="AA134" i="1" s="1"/>
  <c r="AA135" i="1" s="1"/>
  <c r="AA136" i="1" s="1"/>
  <c r="AA137" i="1" s="1"/>
  <c r="AA138" i="1" s="1"/>
  <c r="AA139" i="1" s="1"/>
  <c r="AA140" i="1" s="1"/>
  <c r="AA141" i="1" s="1"/>
  <c r="AA142" i="1" s="1"/>
  <c r="AA143" i="1" s="1"/>
  <c r="AA144" i="1" s="1"/>
  <c r="AA145" i="1" s="1"/>
  <c r="AA146" i="1" s="1"/>
  <c r="AA147" i="1" s="1"/>
  <c r="AA148" i="1" s="1"/>
  <c r="AA149" i="1" s="1"/>
  <c r="AA150" i="1" s="1"/>
  <c r="AA151" i="1" s="1"/>
  <c r="AA152" i="1" s="1"/>
  <c r="AA153" i="1" s="1"/>
  <c r="AA154" i="1" s="1"/>
  <c r="AA155" i="1" s="1"/>
  <c r="AA156" i="1" s="1"/>
  <c r="AA157" i="1" s="1"/>
  <c r="AA158" i="1" s="1"/>
  <c r="AA159" i="1" s="1"/>
  <c r="AA160" i="1" s="1"/>
  <c r="AA161" i="1" s="1"/>
  <c r="AA162" i="1" s="1"/>
  <c r="AA163" i="1" s="1"/>
  <c r="AA164" i="1" s="1"/>
  <c r="AA165" i="1" s="1"/>
  <c r="AA166" i="1" s="1"/>
  <c r="AA167" i="1" s="1"/>
  <c r="AA168" i="1" s="1"/>
  <c r="AA169" i="1" s="1"/>
  <c r="AA170" i="1" s="1"/>
  <c r="AA171" i="1" s="1"/>
  <c r="AA172" i="1" s="1"/>
  <c r="AA173" i="1" s="1"/>
  <c r="AA174" i="1" s="1"/>
  <c r="AA175" i="1" s="1"/>
  <c r="AA176" i="1" s="1"/>
  <c r="AA177" i="1" s="1"/>
  <c r="AA178" i="1" s="1"/>
  <c r="AA179" i="1" s="1"/>
  <c r="AA180" i="1" s="1"/>
  <c r="AA181" i="1" s="1"/>
  <c r="AA182" i="1" s="1"/>
  <c r="AA183" i="1" s="1"/>
  <c r="AA184" i="1" s="1"/>
  <c r="AA185" i="1" s="1"/>
  <c r="AA186" i="1" s="1"/>
  <c r="AA187" i="1" s="1"/>
  <c r="AA188" i="1" s="1"/>
  <c r="AA189" i="1" s="1"/>
  <c r="AA190" i="1" s="1"/>
  <c r="AA191" i="1" s="1"/>
  <c r="AA192" i="1" s="1"/>
  <c r="AA193" i="1" s="1"/>
  <c r="AA194" i="1" s="1"/>
  <c r="AA195" i="1" s="1"/>
  <c r="AA196" i="1" s="1"/>
  <c r="AA197" i="1" s="1"/>
  <c r="AA198" i="1" s="1"/>
  <c r="AA199" i="1" s="1"/>
  <c r="AA200" i="1" s="1"/>
  <c r="AA201" i="1" s="1"/>
  <c r="AA202" i="1" s="1"/>
  <c r="AA203" i="1" s="1"/>
  <c r="AA204" i="1" s="1"/>
  <c r="AA205" i="1" s="1"/>
  <c r="AA206" i="1" s="1"/>
  <c r="AA207" i="1" s="1"/>
  <c r="AA208" i="1" s="1"/>
  <c r="AA209" i="1" s="1"/>
  <c r="AA210" i="1" s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AA221" i="1" s="1"/>
  <c r="AA222" i="1" s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AA239" i="1" s="1"/>
  <c r="AA240" i="1" s="1"/>
  <c r="AA241" i="1" s="1"/>
  <c r="AA242" i="1" s="1"/>
  <c r="AA243" i="1" s="1"/>
  <c r="AA244" i="1" s="1"/>
  <c r="AA245" i="1" s="1"/>
  <c r="AA246" i="1" s="1"/>
  <c r="AA247" i="1" s="1"/>
  <c r="AA248" i="1" s="1"/>
  <c r="AA249" i="1" s="1"/>
  <c r="AA250" i="1" s="1"/>
  <c r="AA251" i="1" s="1"/>
  <c r="AA252" i="1" s="1"/>
  <c r="AA253" i="1" s="1"/>
  <c r="AA254" i="1" s="1"/>
  <c r="AA255" i="1" s="1"/>
  <c r="AA256" i="1" s="1"/>
  <c r="AA257" i="1" s="1"/>
  <c r="AA258" i="1" s="1"/>
  <c r="AA259" i="1" s="1"/>
  <c r="AA260" i="1" s="1"/>
  <c r="AA261" i="1" s="1"/>
  <c r="AA262" i="1" s="1"/>
  <c r="AA263" i="1" s="1"/>
  <c r="AA264" i="1" s="1"/>
  <c r="AA265" i="1" s="1"/>
  <c r="AA266" i="1" s="1"/>
  <c r="AA267" i="1" s="1"/>
  <c r="AA268" i="1" s="1"/>
  <c r="AA269" i="1" s="1"/>
  <c r="AA270" i="1" s="1"/>
  <c r="AA271" i="1" s="1"/>
  <c r="AA272" i="1" s="1"/>
  <c r="AA273" i="1" s="1"/>
  <c r="AA274" i="1" s="1"/>
  <c r="AA275" i="1" s="1"/>
  <c r="AA276" i="1" s="1"/>
  <c r="AA277" i="1" s="1"/>
  <c r="AA278" i="1" s="1"/>
  <c r="AA279" i="1" s="1"/>
  <c r="AA280" i="1" s="1"/>
  <c r="AA281" i="1" s="1"/>
  <c r="AA282" i="1" s="1"/>
  <c r="AA283" i="1" s="1"/>
  <c r="AA284" i="1" s="1"/>
  <c r="AA285" i="1" s="1"/>
  <c r="AA286" i="1" s="1"/>
  <c r="AA287" i="1" s="1"/>
  <c r="AA288" i="1" s="1"/>
  <c r="AA289" i="1" s="1"/>
  <c r="AA290" i="1" s="1"/>
  <c r="AA291" i="1" s="1"/>
  <c r="AA292" i="1" s="1"/>
  <c r="AA293" i="1" s="1"/>
  <c r="AA294" i="1" s="1"/>
  <c r="AA295" i="1" s="1"/>
  <c r="AA296" i="1" s="1"/>
  <c r="AA297" i="1" s="1"/>
  <c r="AA298" i="1" s="1"/>
  <c r="AA299" i="1" s="1"/>
  <c r="AA300" i="1" s="1"/>
  <c r="AA301" i="1" s="1"/>
  <c r="AA302" i="1" s="1"/>
  <c r="AA303" i="1" s="1"/>
  <c r="AA304" i="1" s="1"/>
  <c r="AA305" i="1" s="1"/>
  <c r="AA306" i="1" s="1"/>
  <c r="AA307" i="1" s="1"/>
  <c r="AA308" i="1" s="1"/>
  <c r="AA309" i="1" s="1"/>
  <c r="AA310" i="1" s="1"/>
  <c r="AA311" i="1" s="1"/>
  <c r="AA312" i="1" s="1"/>
  <c r="AA313" i="1" s="1"/>
  <c r="AA314" i="1" s="1"/>
  <c r="AA315" i="1" s="1"/>
  <c r="AA316" i="1" s="1"/>
  <c r="AA317" i="1" s="1"/>
  <c r="AA318" i="1" s="1"/>
  <c r="AA319" i="1" s="1"/>
  <c r="AA320" i="1" s="1"/>
  <c r="AA321" i="1" s="1"/>
  <c r="AA322" i="1" s="1"/>
  <c r="AA323" i="1" s="1"/>
  <c r="AA324" i="1" s="1"/>
  <c r="AA325" i="1" s="1"/>
  <c r="AA326" i="1" s="1"/>
  <c r="AA327" i="1" s="1"/>
  <c r="AA328" i="1" s="1"/>
  <c r="AA329" i="1" s="1"/>
  <c r="AA330" i="1" s="1"/>
  <c r="AA331" i="1" s="1"/>
  <c r="AA332" i="1" s="1"/>
  <c r="AA333" i="1" s="1"/>
  <c r="AA334" i="1" s="1"/>
  <c r="AA335" i="1" s="1"/>
  <c r="AA336" i="1" s="1"/>
  <c r="AA337" i="1" s="1"/>
  <c r="AA338" i="1" s="1"/>
  <c r="AA339" i="1" s="1"/>
  <c r="AA340" i="1" s="1"/>
  <c r="AA341" i="1" s="1"/>
  <c r="AA342" i="1" s="1"/>
  <c r="AA343" i="1" s="1"/>
  <c r="AA344" i="1" s="1"/>
  <c r="AA345" i="1" s="1"/>
  <c r="AA346" i="1" s="1"/>
  <c r="AA347" i="1" s="1"/>
  <c r="AA348" i="1" s="1"/>
  <c r="AA349" i="1" s="1"/>
  <c r="AA350" i="1" s="1"/>
  <c r="AA351" i="1" s="1"/>
  <c r="AA352" i="1" s="1"/>
  <c r="AA353" i="1" s="1"/>
  <c r="AA354" i="1" s="1"/>
  <c r="AA355" i="1" s="1"/>
  <c r="AA356" i="1" s="1"/>
  <c r="AA357" i="1" s="1"/>
  <c r="AA358" i="1" s="1"/>
  <c r="AA359" i="1" s="1"/>
  <c r="AA360" i="1" s="1"/>
  <c r="AA361" i="1" s="1"/>
  <c r="AA362" i="1" s="1"/>
  <c r="AA363" i="1" s="1"/>
  <c r="AA364" i="1" s="1"/>
  <c r="AA365" i="1" s="1"/>
  <c r="AA366" i="1" s="1"/>
  <c r="AA367" i="1" s="1"/>
  <c r="AA368" i="1" s="1"/>
  <c r="AA369" i="1" s="1"/>
  <c r="AA370" i="1" s="1"/>
  <c r="AA371" i="1" s="1"/>
  <c r="AA372" i="1" s="1"/>
  <c r="AA373" i="1" s="1"/>
  <c r="AA374" i="1" s="1"/>
  <c r="AA375" i="1" s="1"/>
  <c r="AA376" i="1" s="1"/>
  <c r="AA377" i="1" s="1"/>
  <c r="AA378" i="1" s="1"/>
  <c r="AA379" i="1" s="1"/>
  <c r="AA380" i="1" s="1"/>
  <c r="AA381" i="1" s="1"/>
  <c r="AA382" i="1" s="1"/>
  <c r="AA383" i="1" s="1"/>
  <c r="AA384" i="1" s="1"/>
  <c r="AA385" i="1" s="1"/>
  <c r="AA386" i="1" s="1"/>
  <c r="AA387" i="1" s="1"/>
  <c r="AA388" i="1" s="1"/>
  <c r="AA389" i="1" s="1"/>
  <c r="AA390" i="1" s="1"/>
  <c r="AA391" i="1" s="1"/>
  <c r="AA392" i="1" s="1"/>
  <c r="AA393" i="1" s="1"/>
  <c r="AA394" i="1" s="1"/>
  <c r="AA395" i="1" s="1"/>
  <c r="AA396" i="1" s="1"/>
  <c r="AA397" i="1" s="1"/>
  <c r="AA398" i="1" s="1"/>
  <c r="AA399" i="1" s="1"/>
  <c r="AA400" i="1" s="1"/>
  <c r="AA401" i="1" s="1"/>
  <c r="AA402" i="1" s="1"/>
  <c r="AA403" i="1" s="1"/>
  <c r="AA404" i="1" s="1"/>
  <c r="AA405" i="1" s="1"/>
  <c r="AA406" i="1" s="1"/>
  <c r="AA407" i="1" s="1"/>
  <c r="AA408" i="1" s="1"/>
  <c r="AA409" i="1" s="1"/>
  <c r="AA410" i="1" s="1"/>
  <c r="AA411" i="1" s="1"/>
  <c r="AA412" i="1" s="1"/>
  <c r="AA413" i="1" s="1"/>
  <c r="AA414" i="1" s="1"/>
  <c r="AA415" i="1" s="1"/>
  <c r="AA416" i="1" s="1"/>
  <c r="AA417" i="1" s="1"/>
  <c r="AA418" i="1" s="1"/>
  <c r="AA419" i="1" s="1"/>
  <c r="AA420" i="1" s="1"/>
  <c r="AA421" i="1" s="1"/>
  <c r="AA422" i="1" s="1"/>
  <c r="AA423" i="1" s="1"/>
  <c r="AA424" i="1" s="1"/>
  <c r="AA425" i="1" s="1"/>
  <c r="AA426" i="1" s="1"/>
  <c r="AA427" i="1" s="1"/>
  <c r="AA428" i="1" s="1"/>
  <c r="AA429" i="1" s="1"/>
  <c r="AA430" i="1" s="1"/>
  <c r="AA431" i="1" s="1"/>
  <c r="AA432" i="1" s="1"/>
  <c r="AA433" i="1" s="1"/>
  <c r="AA434" i="1" s="1"/>
  <c r="AA435" i="1" s="1"/>
  <c r="AA436" i="1" s="1"/>
  <c r="AA437" i="1" s="1"/>
  <c r="AA438" i="1" s="1"/>
  <c r="AA439" i="1" s="1"/>
  <c r="AA440" i="1" s="1"/>
  <c r="AA441" i="1" s="1"/>
  <c r="AA442" i="1" s="1"/>
  <c r="AA443" i="1" s="1"/>
  <c r="AA444" i="1" s="1"/>
  <c r="AA445" i="1" s="1"/>
  <c r="AA446" i="1" s="1"/>
  <c r="AA447" i="1" s="1"/>
  <c r="AA448" i="1" s="1"/>
  <c r="AA449" i="1" s="1"/>
  <c r="AA450" i="1" s="1"/>
  <c r="AA451" i="1" s="1"/>
  <c r="AA452" i="1" s="1"/>
  <c r="AA453" i="1" s="1"/>
  <c r="AA454" i="1" s="1"/>
  <c r="AA455" i="1" s="1"/>
  <c r="AA456" i="1" s="1"/>
  <c r="AA457" i="1" s="1"/>
  <c r="AA458" i="1" s="1"/>
  <c r="AA459" i="1" s="1"/>
  <c r="AA460" i="1" s="1"/>
  <c r="AA461" i="1" s="1"/>
  <c r="AA462" i="1" s="1"/>
  <c r="AA463" i="1" s="1"/>
  <c r="AA464" i="1" s="1"/>
  <c r="AA465" i="1" s="1"/>
  <c r="AA466" i="1" s="1"/>
  <c r="AA467" i="1" s="1"/>
  <c r="AA468" i="1" s="1"/>
  <c r="AA469" i="1" s="1"/>
  <c r="AA470" i="1" s="1"/>
  <c r="AA471" i="1" s="1"/>
  <c r="AA472" i="1" s="1"/>
  <c r="AA473" i="1" s="1"/>
  <c r="AA474" i="1" s="1"/>
  <c r="AA475" i="1" s="1"/>
  <c r="AA476" i="1" s="1"/>
  <c r="AA477" i="1" s="1"/>
  <c r="AA478" i="1" s="1"/>
  <c r="AA479" i="1" s="1"/>
  <c r="AA480" i="1" s="1"/>
  <c r="AA481" i="1" s="1"/>
  <c r="AA482" i="1" s="1"/>
  <c r="AA483" i="1" s="1"/>
  <c r="AA484" i="1" s="1"/>
  <c r="AA485" i="1" s="1"/>
  <c r="AA486" i="1" s="1"/>
  <c r="AA487" i="1" s="1"/>
  <c r="AA488" i="1" s="1"/>
  <c r="AA489" i="1" s="1"/>
  <c r="AA490" i="1" s="1"/>
  <c r="AA491" i="1" s="1"/>
  <c r="AA492" i="1" s="1"/>
  <c r="AA493" i="1" s="1"/>
  <c r="AA494" i="1" s="1"/>
  <c r="AA495" i="1" s="1"/>
  <c r="AA496" i="1" s="1"/>
  <c r="AA497" i="1" s="1"/>
  <c r="AA498" i="1" s="1"/>
  <c r="AA499" i="1" s="1"/>
  <c r="AA500" i="1" s="1"/>
  <c r="AA501" i="1" s="1"/>
  <c r="AA502" i="1" s="1"/>
  <c r="AA503" i="1" s="1"/>
  <c r="AA504" i="1" s="1"/>
  <c r="AA505" i="1" s="1"/>
  <c r="AA506" i="1" s="1"/>
  <c r="AA507" i="1" s="1"/>
  <c r="AA508" i="1" s="1"/>
  <c r="AA509" i="1" s="1"/>
  <c r="AA510" i="1" s="1"/>
  <c r="AA511" i="1" s="1"/>
  <c r="AA512" i="1" s="1"/>
  <c r="AA513" i="1" s="1"/>
  <c r="AA514" i="1" s="1"/>
  <c r="AA515" i="1" s="1"/>
  <c r="AA516" i="1" s="1"/>
  <c r="AA517" i="1" s="1"/>
  <c r="AA518" i="1" s="1"/>
  <c r="AA519" i="1" s="1"/>
  <c r="AA520" i="1" s="1"/>
  <c r="AA521" i="1" s="1"/>
  <c r="AA522" i="1" s="1"/>
  <c r="AA523" i="1" s="1"/>
  <c r="AA524" i="1" s="1"/>
  <c r="AA525" i="1" s="1"/>
  <c r="AA526" i="1" s="1"/>
  <c r="AA527" i="1" s="1"/>
  <c r="AA528" i="1" s="1"/>
  <c r="AA529" i="1" s="1"/>
  <c r="AA530" i="1" s="1"/>
  <c r="AA531" i="1" s="1"/>
  <c r="AA532" i="1" s="1"/>
  <c r="AA533" i="1" s="1"/>
  <c r="AA534" i="1" s="1"/>
  <c r="AA535" i="1" s="1"/>
  <c r="AA536" i="1" s="1"/>
  <c r="AA537" i="1" s="1"/>
  <c r="AA538" i="1" s="1"/>
  <c r="AA539" i="1" s="1"/>
  <c r="AA540" i="1" s="1"/>
  <c r="AA541" i="1" s="1"/>
  <c r="AA542" i="1" s="1"/>
  <c r="AA543" i="1" s="1"/>
  <c r="AA544" i="1" s="1"/>
  <c r="AA545" i="1" s="1"/>
  <c r="AA546" i="1" s="1"/>
  <c r="AA547" i="1" s="1"/>
  <c r="AA548" i="1" s="1"/>
  <c r="AA549" i="1" s="1"/>
  <c r="AA550" i="1" s="1"/>
  <c r="AA551" i="1" s="1"/>
  <c r="AA552" i="1" s="1"/>
  <c r="AA553" i="1" s="1"/>
  <c r="AA554" i="1" s="1"/>
  <c r="AA555" i="1" s="1"/>
  <c r="AA556" i="1" s="1"/>
  <c r="AA557" i="1" s="1"/>
  <c r="AA558" i="1" s="1"/>
  <c r="AA559" i="1" s="1"/>
  <c r="AA560" i="1" s="1"/>
  <c r="AA561" i="1" s="1"/>
  <c r="AA562" i="1" s="1"/>
  <c r="AA563" i="1" s="1"/>
  <c r="AA564" i="1" s="1"/>
  <c r="AA565" i="1" s="1"/>
  <c r="AA566" i="1" s="1"/>
  <c r="AA567" i="1" s="1"/>
  <c r="AA568" i="1" s="1"/>
  <c r="AA569" i="1" s="1"/>
  <c r="AA570" i="1" s="1"/>
  <c r="AA571" i="1" s="1"/>
  <c r="AA572" i="1" s="1"/>
  <c r="AA573" i="1" s="1"/>
  <c r="AA574" i="1" s="1"/>
  <c r="AA575" i="1" s="1"/>
  <c r="AA576" i="1" s="1"/>
  <c r="AA577" i="1" s="1"/>
  <c r="AA578" i="1" s="1"/>
  <c r="AA579" i="1" s="1"/>
  <c r="AA580" i="1" s="1"/>
  <c r="AA581" i="1" s="1"/>
  <c r="AA582" i="1" s="1"/>
  <c r="AA583" i="1" s="1"/>
  <c r="AA584" i="1" s="1"/>
  <c r="AA585" i="1" s="1"/>
  <c r="AA586" i="1" s="1"/>
  <c r="AA587" i="1" s="1"/>
  <c r="AA588" i="1" s="1"/>
  <c r="AA589" i="1" s="1"/>
  <c r="AA590" i="1" s="1"/>
  <c r="AA591" i="1" s="1"/>
  <c r="AA592" i="1" s="1"/>
  <c r="AA593" i="1" s="1"/>
  <c r="AA594" i="1" s="1"/>
  <c r="AA595" i="1" s="1"/>
  <c r="AA596" i="1" s="1"/>
  <c r="AA597" i="1" s="1"/>
  <c r="AA598" i="1" s="1"/>
  <c r="AA599" i="1" s="1"/>
  <c r="AA600" i="1" s="1"/>
  <c r="AA601" i="1" s="1"/>
  <c r="AA602" i="1" s="1"/>
  <c r="AA603" i="1" s="1"/>
  <c r="AA604" i="1" s="1"/>
  <c r="AA605" i="1" s="1"/>
  <c r="AA606" i="1" s="1"/>
  <c r="AA607" i="1" s="1"/>
  <c r="AA608" i="1" s="1"/>
  <c r="AA609" i="1" s="1"/>
  <c r="AA610" i="1" s="1"/>
  <c r="AA611" i="1" s="1"/>
  <c r="AA612" i="1" s="1"/>
  <c r="AA613" i="1" s="1"/>
  <c r="AA614" i="1" s="1"/>
  <c r="AA615" i="1" s="1"/>
  <c r="AA616" i="1" s="1"/>
  <c r="AA617" i="1" s="1"/>
  <c r="AA618" i="1" s="1"/>
  <c r="AA619" i="1" s="1"/>
  <c r="AA620" i="1" s="1"/>
  <c r="AA621" i="1" s="1"/>
  <c r="AA622" i="1" s="1"/>
  <c r="AA623" i="1" s="1"/>
  <c r="AA624" i="1" s="1"/>
  <c r="AA625" i="1" s="1"/>
  <c r="AA626" i="1" s="1"/>
  <c r="AA627" i="1" s="1"/>
  <c r="AA628" i="1" s="1"/>
  <c r="AA629" i="1" s="1"/>
  <c r="AA630" i="1" s="1"/>
  <c r="AA631" i="1" s="1"/>
  <c r="AA632" i="1" s="1"/>
  <c r="AA633" i="1" s="1"/>
  <c r="AA634" i="1" s="1"/>
  <c r="AA635" i="1" s="1"/>
  <c r="AA636" i="1" s="1"/>
  <c r="AA637" i="1" s="1"/>
  <c r="AA638" i="1" s="1"/>
  <c r="AA639" i="1" s="1"/>
  <c r="AA640" i="1" s="1"/>
  <c r="AA641" i="1" s="1"/>
  <c r="AA642" i="1" s="1"/>
  <c r="AA643" i="1" s="1"/>
  <c r="AA644" i="1" s="1"/>
  <c r="AA645" i="1" s="1"/>
  <c r="AA646" i="1" s="1"/>
  <c r="AA647" i="1" s="1"/>
  <c r="AA648" i="1" s="1"/>
  <c r="AA649" i="1" s="1"/>
  <c r="AA650" i="1" s="1"/>
  <c r="AA651" i="1" s="1"/>
  <c r="AA652" i="1" s="1"/>
  <c r="AA653" i="1" s="1"/>
  <c r="AA654" i="1" s="1"/>
  <c r="AA655" i="1" s="1"/>
  <c r="AA656" i="1" s="1"/>
  <c r="AA657" i="1" s="1"/>
  <c r="AA658" i="1" s="1"/>
  <c r="AA659" i="1" s="1"/>
  <c r="AA660" i="1" s="1"/>
  <c r="AA661" i="1" s="1"/>
  <c r="AA662" i="1" s="1"/>
  <c r="AA663" i="1" s="1"/>
  <c r="AA664" i="1" s="1"/>
  <c r="AA665" i="1" s="1"/>
  <c r="AA666" i="1" s="1"/>
  <c r="AA667" i="1" s="1"/>
  <c r="AA668" i="1" s="1"/>
  <c r="AA669" i="1" s="1"/>
  <c r="AA670" i="1" s="1"/>
  <c r="AA671" i="1" s="1"/>
  <c r="AA672" i="1" s="1"/>
  <c r="AA673" i="1" s="1"/>
  <c r="AA674" i="1" s="1"/>
  <c r="AA675" i="1" s="1"/>
  <c r="AA676" i="1" s="1"/>
  <c r="AA677" i="1" s="1"/>
  <c r="AA678" i="1" s="1"/>
  <c r="AA679" i="1" s="1"/>
  <c r="AA680" i="1" s="1"/>
  <c r="AA681" i="1" s="1"/>
  <c r="AA682" i="1" s="1"/>
  <c r="AA683" i="1" s="1"/>
  <c r="AA684" i="1" s="1"/>
  <c r="AA685" i="1" s="1"/>
  <c r="AA686" i="1" s="1"/>
  <c r="AA687" i="1" s="1"/>
  <c r="AA688" i="1" s="1"/>
  <c r="AA689" i="1" s="1"/>
  <c r="AA690" i="1" s="1"/>
  <c r="AA691" i="1" s="1"/>
  <c r="AA692" i="1" s="1"/>
  <c r="AA693" i="1" s="1"/>
  <c r="AA694" i="1" s="1"/>
  <c r="AA695" i="1" s="1"/>
  <c r="AA696" i="1" s="1"/>
  <c r="AA697" i="1" s="1"/>
  <c r="AA698" i="1" s="1"/>
  <c r="AA699" i="1" s="1"/>
  <c r="AA700" i="1" s="1"/>
  <c r="AA701" i="1" s="1"/>
  <c r="AA702" i="1" s="1"/>
  <c r="AA703" i="1" s="1"/>
  <c r="AA704" i="1" s="1"/>
  <c r="AA705" i="1" s="1"/>
  <c r="AA706" i="1" s="1"/>
  <c r="AA707" i="1" s="1"/>
  <c r="AA708" i="1" s="1"/>
  <c r="AA709" i="1" s="1"/>
  <c r="AA710" i="1" s="1"/>
  <c r="AA711" i="1" s="1"/>
  <c r="AA712" i="1" s="1"/>
  <c r="AA713" i="1" s="1"/>
  <c r="AA714" i="1" s="1"/>
  <c r="AA715" i="1" s="1"/>
  <c r="AA716" i="1" s="1"/>
  <c r="AA717" i="1" s="1"/>
  <c r="AA718" i="1" s="1"/>
  <c r="AA719" i="1" s="1"/>
  <c r="AA720" i="1" s="1"/>
  <c r="AA721" i="1" s="1"/>
  <c r="AA722" i="1" s="1"/>
  <c r="AA723" i="1" s="1"/>
  <c r="AA724" i="1" s="1"/>
  <c r="AA725" i="1" s="1"/>
  <c r="AA726" i="1" s="1"/>
  <c r="AA727" i="1" s="1"/>
  <c r="AA728" i="1" s="1"/>
  <c r="AA729" i="1" s="1"/>
  <c r="AA730" i="1" s="1"/>
  <c r="AA731" i="1" s="1"/>
  <c r="AA732" i="1" s="1"/>
  <c r="AA733" i="1" s="1"/>
  <c r="AA734" i="1" s="1"/>
  <c r="AA735" i="1" s="1"/>
  <c r="AA736" i="1" s="1"/>
  <c r="AA737" i="1" s="1"/>
  <c r="AA738" i="1" s="1"/>
  <c r="AA739" i="1" s="1"/>
  <c r="AA740" i="1" s="1"/>
  <c r="AA741" i="1" s="1"/>
  <c r="AA742" i="1" s="1"/>
  <c r="AA743" i="1" s="1"/>
  <c r="AA744" i="1" s="1"/>
  <c r="AA745" i="1" s="1"/>
  <c r="AA746" i="1" s="1"/>
  <c r="AA747" i="1" s="1"/>
  <c r="AA748" i="1" s="1"/>
  <c r="AA749" i="1" s="1"/>
  <c r="AA750" i="1" s="1"/>
  <c r="AA751" i="1" s="1"/>
  <c r="AA752" i="1" s="1"/>
  <c r="AA753" i="1" s="1"/>
  <c r="AA754" i="1" s="1"/>
  <c r="AA755" i="1" s="1"/>
  <c r="AA756" i="1" s="1"/>
  <c r="AA757" i="1" s="1"/>
  <c r="AA758" i="1" s="1"/>
  <c r="AA759" i="1" s="1"/>
  <c r="AA760" i="1" s="1"/>
  <c r="AA761" i="1" s="1"/>
  <c r="AA762" i="1" s="1"/>
  <c r="AA763" i="1" s="1"/>
  <c r="AA764" i="1" s="1"/>
  <c r="AA765" i="1" s="1"/>
  <c r="AA766" i="1" s="1"/>
  <c r="AA767" i="1" s="1"/>
  <c r="AA768" i="1" s="1"/>
  <c r="AA769" i="1" s="1"/>
  <c r="AA770" i="1" s="1"/>
  <c r="AA771" i="1" s="1"/>
  <c r="AA772" i="1" s="1"/>
  <c r="AA773" i="1" s="1"/>
  <c r="AA774" i="1" s="1"/>
  <c r="AA775" i="1" s="1"/>
  <c r="AA776" i="1" s="1"/>
  <c r="AA777" i="1" s="1"/>
  <c r="AA778" i="1" s="1"/>
  <c r="AA779" i="1" s="1"/>
  <c r="AA780" i="1" s="1"/>
  <c r="AA781" i="1" s="1"/>
  <c r="AA782" i="1" s="1"/>
  <c r="AA783" i="1" s="1"/>
  <c r="AA784" i="1" s="1"/>
  <c r="AA785" i="1" s="1"/>
  <c r="AA786" i="1" s="1"/>
  <c r="AA787" i="1" s="1"/>
  <c r="AA788" i="1" s="1"/>
  <c r="AA789" i="1" s="1"/>
  <c r="AA790" i="1" s="1"/>
  <c r="AA791" i="1" s="1"/>
  <c r="AA792" i="1" s="1"/>
  <c r="AA793" i="1" s="1"/>
  <c r="AA794" i="1" s="1"/>
  <c r="AA795" i="1" s="1"/>
  <c r="AA796" i="1" s="1"/>
  <c r="AA797" i="1" s="1"/>
  <c r="AA798" i="1" s="1"/>
  <c r="AA799" i="1" s="1"/>
  <c r="AA800" i="1" s="1"/>
  <c r="AA801" i="1" s="1"/>
  <c r="AA802" i="1" s="1"/>
  <c r="AA803" i="1" s="1"/>
  <c r="AA804" i="1" s="1"/>
  <c r="AA805" i="1" s="1"/>
  <c r="AA806" i="1" s="1"/>
  <c r="AA807" i="1" s="1"/>
  <c r="AA808" i="1" s="1"/>
  <c r="AA809" i="1" s="1"/>
  <c r="AA810" i="1" s="1"/>
  <c r="AA811" i="1" s="1"/>
  <c r="AA812" i="1" s="1"/>
  <c r="AA813" i="1" s="1"/>
  <c r="AA814" i="1" s="1"/>
  <c r="AA815" i="1" s="1"/>
  <c r="AA816" i="1" s="1"/>
  <c r="AA817" i="1" s="1"/>
  <c r="AA818" i="1" s="1"/>
  <c r="AA819" i="1" s="1"/>
  <c r="AA820" i="1" s="1"/>
  <c r="AA821" i="1" s="1"/>
  <c r="AA822" i="1" s="1"/>
  <c r="AA823" i="1" s="1"/>
  <c r="AA824" i="1" s="1"/>
  <c r="AA825" i="1" s="1"/>
  <c r="AA826" i="1" s="1"/>
  <c r="AA827" i="1" s="1"/>
  <c r="AA828" i="1" s="1"/>
  <c r="AA829" i="1" s="1"/>
  <c r="AA830" i="1" s="1"/>
  <c r="AA831" i="1" s="1"/>
  <c r="AA832" i="1" s="1"/>
  <c r="AA833" i="1" s="1"/>
  <c r="AA834" i="1" s="1"/>
  <c r="AA835" i="1" s="1"/>
  <c r="AA836" i="1" s="1"/>
  <c r="AA837" i="1" s="1"/>
  <c r="AA838" i="1" s="1"/>
  <c r="AA839" i="1" s="1"/>
  <c r="AA840" i="1" s="1"/>
  <c r="AA841" i="1" s="1"/>
  <c r="AA842" i="1" s="1"/>
  <c r="AA843" i="1" s="1"/>
  <c r="AA844" i="1" s="1"/>
  <c r="AA845" i="1" s="1"/>
  <c r="AA846" i="1" s="1"/>
  <c r="AA847" i="1" s="1"/>
  <c r="AA848" i="1" s="1"/>
  <c r="AA849" i="1" s="1"/>
  <c r="AA850" i="1" s="1"/>
  <c r="AA851" i="1" s="1"/>
  <c r="AA852" i="1" s="1"/>
  <c r="AA853" i="1" s="1"/>
  <c r="AA854" i="1" s="1"/>
  <c r="AA855" i="1" s="1"/>
  <c r="AA856" i="1" s="1"/>
  <c r="AA857" i="1" s="1"/>
  <c r="AA858" i="1" s="1"/>
  <c r="AA859" i="1" s="1"/>
  <c r="AA860" i="1" s="1"/>
  <c r="AA861" i="1" s="1"/>
  <c r="AA862" i="1" s="1"/>
  <c r="AA863" i="1" s="1"/>
  <c r="AA864" i="1" s="1"/>
  <c r="AA865" i="1" s="1"/>
  <c r="AA866" i="1" s="1"/>
  <c r="AA867" i="1" s="1"/>
  <c r="AA868" i="1" s="1"/>
  <c r="AA869" i="1" s="1"/>
  <c r="AA870" i="1" s="1"/>
  <c r="AA871" i="1" s="1"/>
  <c r="AA872" i="1" s="1"/>
  <c r="AA873" i="1" s="1"/>
  <c r="AA874" i="1" s="1"/>
  <c r="AA875" i="1" s="1"/>
  <c r="AA876" i="1" s="1"/>
  <c r="AA877" i="1" s="1"/>
  <c r="AA878" i="1" s="1"/>
  <c r="AA879" i="1" s="1"/>
  <c r="AA880" i="1" s="1"/>
  <c r="AA881" i="1" s="1"/>
  <c r="AA882" i="1" s="1"/>
  <c r="AA883" i="1" s="1"/>
  <c r="AA884" i="1" s="1"/>
  <c r="AA885" i="1" s="1"/>
  <c r="AA886" i="1" s="1"/>
  <c r="AA887" i="1" s="1"/>
  <c r="AA888" i="1" s="1"/>
  <c r="AA889" i="1" s="1"/>
  <c r="AA890" i="1" s="1"/>
  <c r="AA891" i="1" s="1"/>
  <c r="AA892" i="1" s="1"/>
  <c r="AA893" i="1" s="1"/>
  <c r="AA894" i="1" s="1"/>
  <c r="AA895" i="1" s="1"/>
  <c r="AA896" i="1" s="1"/>
  <c r="AA897" i="1" s="1"/>
  <c r="AA898" i="1" s="1"/>
  <c r="AA899" i="1" s="1"/>
  <c r="AA900" i="1" s="1"/>
  <c r="AA901" i="1" s="1"/>
  <c r="AA902" i="1" s="1"/>
  <c r="AA903" i="1" s="1"/>
  <c r="AA904" i="1" s="1"/>
  <c r="AA905" i="1" s="1"/>
  <c r="AA906" i="1" s="1"/>
  <c r="AA907" i="1" s="1"/>
  <c r="AA908" i="1" s="1"/>
  <c r="AA909" i="1" s="1"/>
  <c r="AA910" i="1" s="1"/>
  <c r="AA911" i="1" s="1"/>
  <c r="AA912" i="1" s="1"/>
  <c r="AA913" i="1" s="1"/>
  <c r="AA914" i="1" s="1"/>
  <c r="AA915" i="1" s="1"/>
  <c r="AA916" i="1" s="1"/>
  <c r="AA917" i="1" s="1"/>
  <c r="AA918" i="1" s="1"/>
  <c r="AA919" i="1" s="1"/>
  <c r="AA920" i="1" s="1"/>
  <c r="AA921" i="1" s="1"/>
  <c r="AA922" i="1" s="1"/>
  <c r="AA923" i="1" s="1"/>
  <c r="AA924" i="1" s="1"/>
  <c r="AA925" i="1" s="1"/>
  <c r="AA926" i="1" s="1"/>
  <c r="AA927" i="1" s="1"/>
  <c r="AA928" i="1" s="1"/>
  <c r="AA929" i="1" s="1"/>
  <c r="AA930" i="1" s="1"/>
  <c r="AA931" i="1" s="1"/>
  <c r="AA932" i="1" s="1"/>
  <c r="AA933" i="1" s="1"/>
  <c r="AA934" i="1" s="1"/>
  <c r="AA935" i="1" s="1"/>
  <c r="AA936" i="1" s="1"/>
  <c r="AA937" i="1" s="1"/>
  <c r="AA938" i="1" s="1"/>
  <c r="AA939" i="1" s="1"/>
  <c r="AA940" i="1" s="1"/>
  <c r="AA941" i="1" s="1"/>
  <c r="AA942" i="1" s="1"/>
  <c r="AA943" i="1" s="1"/>
  <c r="AA944" i="1" s="1"/>
  <c r="AA945" i="1" s="1"/>
  <c r="AA946" i="1" s="1"/>
  <c r="AA947" i="1" s="1"/>
  <c r="AA948" i="1" s="1"/>
  <c r="AA949" i="1" s="1"/>
  <c r="AA950" i="1" s="1"/>
  <c r="AA951" i="1" s="1"/>
  <c r="AA952" i="1" s="1"/>
  <c r="AA953" i="1" s="1"/>
  <c r="AA954" i="1" s="1"/>
  <c r="AA955" i="1" s="1"/>
  <c r="AA956" i="1" s="1"/>
  <c r="AA957" i="1" s="1"/>
  <c r="AA958" i="1" s="1"/>
  <c r="AA959" i="1" s="1"/>
  <c r="AA960" i="1" s="1"/>
  <c r="AA961" i="1" s="1"/>
  <c r="AA962" i="1" s="1"/>
  <c r="AA963" i="1" s="1"/>
  <c r="AA964" i="1" s="1"/>
  <c r="AA965" i="1" s="1"/>
  <c r="AA966" i="1" s="1"/>
  <c r="AA967" i="1" s="1"/>
  <c r="AA968" i="1" s="1"/>
  <c r="AA969" i="1" s="1"/>
  <c r="AA970" i="1" s="1"/>
  <c r="AA971" i="1" s="1"/>
  <c r="AA972" i="1" s="1"/>
  <c r="AA973" i="1" s="1"/>
  <c r="AA974" i="1" s="1"/>
  <c r="AA975" i="1" s="1"/>
  <c r="AA976" i="1" s="1"/>
  <c r="AA977" i="1" s="1"/>
  <c r="AA978" i="1" s="1"/>
  <c r="AA979" i="1" s="1"/>
  <c r="AA980" i="1" s="1"/>
  <c r="AA981" i="1" s="1"/>
  <c r="AA982" i="1" s="1"/>
  <c r="AA983" i="1" s="1"/>
  <c r="AA984" i="1" s="1"/>
  <c r="AA985" i="1" s="1"/>
  <c r="AA986" i="1" s="1"/>
  <c r="AA987" i="1" s="1"/>
  <c r="AA988" i="1" s="1"/>
  <c r="AA989" i="1" s="1"/>
  <c r="AA990" i="1" s="1"/>
  <c r="AA991" i="1" s="1"/>
  <c r="AA992" i="1" s="1"/>
  <c r="AA993" i="1" s="1"/>
  <c r="AA994" i="1" s="1"/>
  <c r="AA995" i="1" s="1"/>
  <c r="AA996" i="1" s="1"/>
  <c r="AA997" i="1" s="1"/>
  <c r="AA998" i="1" s="1"/>
  <c r="AA999" i="1" s="1"/>
  <c r="AA1000" i="1" s="1"/>
  <c r="AA1001" i="1" s="1"/>
  <c r="AA1002" i="1" s="1"/>
  <c r="AA1003" i="1" s="1"/>
  <c r="AA1004" i="1" s="1"/>
  <c r="AA1005" i="1" s="1"/>
  <c r="AA1006" i="1" s="1"/>
  <c r="AA1007" i="1" s="1"/>
  <c r="AA1008" i="1" s="1"/>
  <c r="AA1009" i="1" s="1"/>
  <c r="AA1010" i="1" s="1"/>
  <c r="AA1011" i="1" s="1"/>
  <c r="AA1012" i="1" s="1"/>
  <c r="AA1013" i="1" s="1"/>
  <c r="AA1014" i="1" s="1"/>
  <c r="AA1015" i="1" s="1"/>
  <c r="AA1016" i="1" s="1"/>
  <c r="AA1017" i="1" s="1"/>
  <c r="AA1018" i="1" s="1"/>
  <c r="AA1019" i="1" s="1"/>
  <c r="AA1020" i="1" s="1"/>
  <c r="AA1021" i="1" s="1"/>
  <c r="AA1022" i="1" s="1"/>
  <c r="AA1023" i="1" s="1"/>
  <c r="AA1024" i="1" s="1"/>
  <c r="AA1025" i="1" s="1"/>
  <c r="AA1026" i="1" s="1"/>
  <c r="AA1027" i="1" s="1"/>
  <c r="AA1028" i="1" s="1"/>
  <c r="AA1029" i="1" s="1"/>
  <c r="AA1030" i="1" s="1"/>
  <c r="AA1031" i="1" s="1"/>
  <c r="AA1032" i="1" s="1"/>
  <c r="AA1033" i="1" s="1"/>
  <c r="AA1034" i="1" s="1"/>
  <c r="AA1035" i="1" s="1"/>
  <c r="AA1036" i="1" s="1"/>
  <c r="AA1037" i="1" s="1"/>
  <c r="AA1038" i="1" s="1"/>
  <c r="AA1039" i="1" s="1"/>
  <c r="AA1040" i="1" s="1"/>
  <c r="AA1041" i="1" s="1"/>
  <c r="AA1042" i="1" s="1"/>
  <c r="AA1043" i="1" s="1"/>
  <c r="AA1044" i="1" s="1"/>
  <c r="AA1045" i="1" s="1"/>
  <c r="AA1046" i="1" s="1"/>
  <c r="AA1047" i="1" s="1"/>
  <c r="AA1048" i="1" s="1"/>
  <c r="AA1049" i="1" s="1"/>
  <c r="AA1050" i="1" s="1"/>
  <c r="AA1051" i="1" s="1"/>
  <c r="AA1052" i="1" s="1"/>
  <c r="AA1053" i="1" s="1"/>
  <c r="AA1054" i="1" s="1"/>
  <c r="AA1055" i="1" s="1"/>
  <c r="AA1056" i="1" s="1"/>
  <c r="AA1057" i="1" s="1"/>
  <c r="AA1058" i="1" s="1"/>
  <c r="AA1059" i="1" s="1"/>
  <c r="AA1060" i="1" s="1"/>
  <c r="AA1061" i="1" s="1"/>
  <c r="AA1062" i="1" s="1"/>
  <c r="AA1063" i="1" s="1"/>
  <c r="AA1064" i="1" s="1"/>
  <c r="AA1065" i="1" s="1"/>
  <c r="AA1066" i="1" s="1"/>
  <c r="AA1067" i="1" s="1"/>
  <c r="AA1068" i="1" s="1"/>
  <c r="AA1069" i="1" s="1"/>
  <c r="AA1070" i="1" s="1"/>
  <c r="AA1071" i="1" s="1"/>
  <c r="AA1072" i="1" s="1"/>
  <c r="AA1073" i="1" s="1"/>
  <c r="AA1074" i="1" s="1"/>
  <c r="AA1075" i="1" s="1"/>
  <c r="AA1076" i="1" s="1"/>
  <c r="AA1077" i="1" s="1"/>
  <c r="AA1078" i="1" s="1"/>
  <c r="AA1079" i="1" s="1"/>
  <c r="AA1080" i="1" s="1"/>
  <c r="AA1081" i="1" s="1"/>
  <c r="AA1082" i="1" s="1"/>
  <c r="AA1083" i="1" s="1"/>
  <c r="AA1084" i="1" s="1"/>
  <c r="AA1085" i="1" s="1"/>
  <c r="AA1086" i="1" s="1"/>
  <c r="AA1087" i="1" s="1"/>
  <c r="AA1088" i="1" s="1"/>
  <c r="AA1089" i="1" s="1"/>
  <c r="AA1090" i="1" s="1"/>
  <c r="AA1091" i="1" s="1"/>
  <c r="AA1092" i="1" s="1"/>
  <c r="AA1093" i="1" s="1"/>
  <c r="AA1094" i="1" s="1"/>
  <c r="AA1095" i="1" s="1"/>
  <c r="AA1096" i="1" s="1"/>
  <c r="AA1097" i="1" s="1"/>
  <c r="AA1098" i="1" s="1"/>
  <c r="AA1099" i="1" s="1"/>
  <c r="AA1100" i="1" s="1"/>
  <c r="AA1101" i="1" s="1"/>
  <c r="AA1102" i="1" s="1"/>
  <c r="AA1103" i="1" s="1"/>
  <c r="AA1104" i="1" s="1"/>
  <c r="AA1105" i="1" s="1"/>
  <c r="AA1106" i="1" s="1"/>
  <c r="AA1107" i="1" s="1"/>
  <c r="AA1108" i="1" s="1"/>
  <c r="AA1109" i="1" s="1"/>
  <c r="AA1110" i="1" s="1"/>
  <c r="AA1111" i="1" s="1"/>
  <c r="AA1112" i="1" s="1"/>
  <c r="AA1113" i="1" s="1"/>
  <c r="AA1114" i="1" s="1"/>
  <c r="AA1115" i="1" s="1"/>
  <c r="AA1116" i="1" s="1"/>
  <c r="AA1117" i="1" s="1"/>
  <c r="AA1118" i="1" s="1"/>
  <c r="AA1119" i="1" s="1"/>
  <c r="AA1120" i="1" s="1"/>
  <c r="AA1121" i="1" s="1"/>
  <c r="AA1122" i="1" s="1"/>
  <c r="AA1123" i="1" s="1"/>
  <c r="AA1124" i="1" s="1"/>
  <c r="AA1125" i="1" s="1"/>
  <c r="AA1126" i="1" s="1"/>
  <c r="AA1127" i="1" s="1"/>
  <c r="AA1128" i="1" s="1"/>
  <c r="AA1129" i="1" s="1"/>
  <c r="AA1130" i="1" s="1"/>
  <c r="AA1131" i="1" s="1"/>
  <c r="AA1132" i="1" s="1"/>
  <c r="AA1133" i="1" s="1"/>
  <c r="AA1134" i="1" s="1"/>
  <c r="AA1135" i="1" s="1"/>
  <c r="AA1136" i="1" s="1"/>
  <c r="AA1137" i="1" s="1"/>
  <c r="AA1138" i="1" s="1"/>
  <c r="AA1139" i="1" s="1"/>
  <c r="AA1140" i="1" s="1"/>
  <c r="AA1141" i="1" s="1"/>
  <c r="AA1142" i="1" s="1"/>
  <c r="AA1143" i="1" s="1"/>
  <c r="AA1144" i="1" s="1"/>
  <c r="AA1145" i="1" s="1"/>
  <c r="AA1146" i="1" s="1"/>
  <c r="AA1147" i="1" s="1"/>
  <c r="AA1148" i="1" s="1"/>
  <c r="AA1149" i="1" s="1"/>
  <c r="AA1150" i="1" s="1"/>
  <c r="AA1151" i="1" s="1"/>
  <c r="AA1152" i="1" s="1"/>
  <c r="AA1153" i="1" s="1"/>
  <c r="AA1154" i="1" s="1"/>
  <c r="AA1155" i="1" s="1"/>
  <c r="AA1156" i="1" s="1"/>
  <c r="AA1157" i="1" s="1"/>
  <c r="AA1158" i="1" s="1"/>
  <c r="AA1159" i="1" s="1"/>
  <c r="AA1160" i="1" s="1"/>
  <c r="AA1161" i="1" s="1"/>
  <c r="AA1162" i="1" s="1"/>
  <c r="AA1163" i="1" s="1"/>
  <c r="AA1164" i="1" s="1"/>
  <c r="AA1165" i="1" s="1"/>
  <c r="AA1166" i="1" s="1"/>
  <c r="AA1167" i="1" s="1"/>
  <c r="AA1168" i="1" s="1"/>
  <c r="AA1169" i="1" s="1"/>
  <c r="AA1170" i="1" s="1"/>
  <c r="AA1171" i="1" s="1"/>
  <c r="AA1172" i="1" s="1"/>
  <c r="AA1173" i="1" s="1"/>
  <c r="AA1174" i="1" s="1"/>
  <c r="AA1175" i="1" s="1"/>
  <c r="AA1176" i="1" s="1"/>
  <c r="AA1177" i="1" s="1"/>
  <c r="AA1178" i="1" s="1"/>
  <c r="AA1179" i="1" s="1"/>
  <c r="AA1180" i="1" s="1"/>
  <c r="AA1181" i="1" s="1"/>
  <c r="AA1182" i="1" s="1"/>
  <c r="AA1183" i="1" s="1"/>
  <c r="AA1184" i="1" s="1"/>
  <c r="AA1185" i="1" s="1"/>
  <c r="AA1186" i="1" s="1"/>
  <c r="AA1187" i="1" s="1"/>
  <c r="AA1188" i="1" s="1"/>
  <c r="AA1189" i="1" s="1"/>
  <c r="AA1190" i="1" s="1"/>
  <c r="AA1191" i="1" s="1"/>
  <c r="AA1192" i="1" s="1"/>
  <c r="AA1193" i="1" s="1"/>
  <c r="AA1194" i="1" s="1"/>
  <c r="AA1195" i="1" s="1"/>
  <c r="AA1196" i="1" s="1"/>
  <c r="AA1197" i="1" s="1"/>
  <c r="AA1198" i="1" s="1"/>
  <c r="AA1199" i="1" s="1"/>
  <c r="AA1200" i="1" s="1"/>
  <c r="AA1201" i="1" s="1"/>
  <c r="AA1202" i="1" s="1"/>
  <c r="AA1203" i="1" s="1"/>
  <c r="AA1204" i="1" s="1"/>
  <c r="AA1205" i="1" s="1"/>
  <c r="AA1206" i="1" s="1"/>
  <c r="AA1207" i="1" s="1"/>
  <c r="AA1208" i="1" s="1"/>
  <c r="AA1209" i="1" s="1"/>
  <c r="AA1210" i="1" s="1"/>
  <c r="AA1211" i="1" s="1"/>
  <c r="AA1212" i="1" s="1"/>
  <c r="AA1213" i="1" s="1"/>
  <c r="AA1214" i="1" s="1"/>
  <c r="AA1215" i="1" s="1"/>
  <c r="AA1216" i="1" s="1"/>
  <c r="AA1217" i="1" s="1"/>
  <c r="AA1218" i="1" s="1"/>
  <c r="AA1219" i="1" s="1"/>
  <c r="AA1220" i="1" s="1"/>
  <c r="AA1221" i="1" s="1"/>
  <c r="AA1222" i="1" s="1"/>
  <c r="AA1223" i="1" s="1"/>
  <c r="AA1224" i="1" s="1"/>
  <c r="AA1225" i="1" s="1"/>
  <c r="AA1226" i="1" s="1"/>
  <c r="AA1227" i="1" s="1"/>
  <c r="AA1228" i="1" s="1"/>
  <c r="AA1229" i="1" s="1"/>
  <c r="AA1230" i="1" s="1"/>
  <c r="AA1231" i="1" s="1"/>
  <c r="AA1232" i="1" s="1"/>
  <c r="AA1233" i="1" s="1"/>
  <c r="AA1234" i="1" s="1"/>
  <c r="AA1235" i="1" s="1"/>
  <c r="AA1236" i="1" s="1"/>
  <c r="AA1237" i="1" s="1"/>
  <c r="AA1238" i="1" s="1"/>
  <c r="AA1239" i="1" s="1"/>
  <c r="AA1240" i="1" s="1"/>
  <c r="AA1241" i="1" s="1"/>
  <c r="AA1242" i="1" s="1"/>
  <c r="AA1243" i="1" s="1"/>
  <c r="AA1244" i="1" s="1"/>
  <c r="AA1245" i="1" s="1"/>
  <c r="AA1246" i="1" s="1"/>
  <c r="AA1247" i="1" s="1"/>
  <c r="AA1248" i="1" s="1"/>
  <c r="AA1249" i="1" s="1"/>
  <c r="AA1250" i="1" s="1"/>
  <c r="AA1251" i="1" s="1"/>
  <c r="AA1252" i="1" s="1"/>
  <c r="AA1253" i="1" s="1"/>
  <c r="AA1254" i="1" s="1"/>
  <c r="AA1255" i="1" s="1"/>
  <c r="AA1256" i="1" s="1"/>
  <c r="AA1257" i="1" s="1"/>
  <c r="AB205" i="1"/>
  <c r="AB206" i="1" s="1"/>
  <c r="Z23" i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49" i="1" s="1"/>
  <c r="Z250" i="1" s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5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Z337" i="1" s="1"/>
  <c r="Z338" i="1" s="1"/>
  <c r="Z339" i="1" s="1"/>
  <c r="Z340" i="1" s="1"/>
  <c r="Z341" i="1" s="1"/>
  <c r="Z342" i="1" s="1"/>
  <c r="Z343" i="1" s="1"/>
  <c r="Z344" i="1" s="1"/>
  <c r="Z345" i="1" s="1"/>
  <c r="Z346" i="1" s="1"/>
  <c r="Z347" i="1" s="1"/>
  <c r="Z348" i="1" s="1"/>
  <c r="Z349" i="1" s="1"/>
  <c r="Z350" i="1" s="1"/>
  <c r="Z351" i="1" s="1"/>
  <c r="Z352" i="1" s="1"/>
  <c r="Z353" i="1" s="1"/>
  <c r="Z354" i="1" s="1"/>
  <c r="Z355" i="1" s="1"/>
  <c r="Z356" i="1" s="1"/>
  <c r="Z357" i="1" s="1"/>
  <c r="Z358" i="1" s="1"/>
  <c r="Z359" i="1" s="1"/>
  <c r="Z360" i="1" s="1"/>
  <c r="Z361" i="1" s="1"/>
  <c r="Z362" i="1" s="1"/>
  <c r="Z363" i="1" s="1"/>
  <c r="Z364" i="1" s="1"/>
  <c r="Z365" i="1" s="1"/>
  <c r="Z366" i="1" s="1"/>
  <c r="Z367" i="1" s="1"/>
  <c r="Z368" i="1" s="1"/>
  <c r="Z369" i="1" s="1"/>
  <c r="Z370" i="1" s="1"/>
  <c r="Z371" i="1" s="1"/>
  <c r="Z372" i="1" s="1"/>
  <c r="Z373" i="1" s="1"/>
  <c r="Z374" i="1" s="1"/>
  <c r="Z375" i="1" s="1"/>
  <c r="Z376" i="1" s="1"/>
  <c r="Z377" i="1" s="1"/>
  <c r="Z378" i="1" s="1"/>
  <c r="Z379" i="1" s="1"/>
  <c r="Z380" i="1" s="1"/>
  <c r="Z381" i="1" s="1"/>
  <c r="Z382" i="1" s="1"/>
  <c r="Z383" i="1" s="1"/>
  <c r="Z384" i="1" s="1"/>
  <c r="Z385" i="1" s="1"/>
  <c r="Z386" i="1" s="1"/>
  <c r="Z387" i="1" s="1"/>
  <c r="Z388" i="1" s="1"/>
  <c r="Z389" i="1" s="1"/>
  <c r="Z390" i="1" s="1"/>
  <c r="Z391" i="1" s="1"/>
  <c r="Z392" i="1" s="1"/>
  <c r="Z393" i="1" s="1"/>
  <c r="Z394" i="1" s="1"/>
  <c r="Z395" i="1" s="1"/>
  <c r="Z396" i="1" s="1"/>
  <c r="Z397" i="1" s="1"/>
  <c r="Z398" i="1" s="1"/>
  <c r="Z399" i="1" s="1"/>
  <c r="Z400" i="1" s="1"/>
  <c r="Z401" i="1" s="1"/>
  <c r="Z402" i="1" s="1"/>
  <c r="Z403" i="1" s="1"/>
  <c r="Z404" i="1" s="1"/>
  <c r="Z405" i="1" s="1"/>
  <c r="Z406" i="1" s="1"/>
  <c r="Z407" i="1" s="1"/>
  <c r="Z408" i="1" s="1"/>
  <c r="Z409" i="1" s="1"/>
  <c r="Z410" i="1" s="1"/>
  <c r="Z411" i="1" s="1"/>
  <c r="Z412" i="1" s="1"/>
  <c r="Z413" i="1" s="1"/>
  <c r="Z414" i="1" s="1"/>
  <c r="Z415" i="1" s="1"/>
  <c r="Z416" i="1" s="1"/>
  <c r="Z417" i="1" s="1"/>
  <c r="Z418" i="1" s="1"/>
  <c r="Z419" i="1" s="1"/>
  <c r="Z420" i="1" s="1"/>
  <c r="Z421" i="1" s="1"/>
  <c r="Z422" i="1" s="1"/>
  <c r="Z423" i="1" s="1"/>
  <c r="Z424" i="1" s="1"/>
  <c r="Z425" i="1" s="1"/>
  <c r="Z426" i="1" s="1"/>
  <c r="Z427" i="1" s="1"/>
  <c r="Z428" i="1" s="1"/>
  <c r="Z429" i="1" s="1"/>
  <c r="Z430" i="1" s="1"/>
  <c r="Z431" i="1" s="1"/>
  <c r="Z432" i="1" s="1"/>
  <c r="Z433" i="1" s="1"/>
  <c r="Z434" i="1" s="1"/>
  <c r="Z435" i="1" s="1"/>
  <c r="Z436" i="1" s="1"/>
  <c r="Z437" i="1" s="1"/>
  <c r="Z438" i="1" s="1"/>
  <c r="Z439" i="1" s="1"/>
  <c r="Z440" i="1" s="1"/>
  <c r="Z441" i="1" s="1"/>
  <c r="Z442" i="1" s="1"/>
  <c r="Z443" i="1" s="1"/>
  <c r="Z444" i="1" s="1"/>
  <c r="Z445" i="1" s="1"/>
  <c r="Z446" i="1" s="1"/>
  <c r="Z447" i="1" s="1"/>
  <c r="Z448" i="1" s="1"/>
  <c r="Z449" i="1" s="1"/>
  <c r="Z450" i="1" s="1"/>
  <c r="Z451" i="1" s="1"/>
  <c r="Z452" i="1" s="1"/>
  <c r="Z453" i="1" s="1"/>
  <c r="Z454" i="1" s="1"/>
  <c r="Z455" i="1" s="1"/>
  <c r="Z456" i="1" s="1"/>
  <c r="Z457" i="1" s="1"/>
  <c r="Z458" i="1" s="1"/>
  <c r="Z459" i="1" s="1"/>
  <c r="Z460" i="1" s="1"/>
  <c r="Z461" i="1" s="1"/>
  <c r="Z462" i="1" s="1"/>
  <c r="Z463" i="1" s="1"/>
  <c r="Z464" i="1" s="1"/>
  <c r="Z465" i="1" s="1"/>
  <c r="Z466" i="1" s="1"/>
  <c r="Z467" i="1" s="1"/>
  <c r="Z468" i="1" s="1"/>
  <c r="Z469" i="1" s="1"/>
  <c r="Z470" i="1" s="1"/>
  <c r="Z471" i="1" s="1"/>
  <c r="Z472" i="1" s="1"/>
  <c r="Z473" i="1" s="1"/>
  <c r="Z474" i="1" s="1"/>
  <c r="Z475" i="1" s="1"/>
  <c r="Z476" i="1" s="1"/>
  <c r="Z477" i="1" s="1"/>
  <c r="Z478" i="1" s="1"/>
  <c r="Z479" i="1" s="1"/>
  <c r="Z480" i="1" s="1"/>
  <c r="Z481" i="1" s="1"/>
  <c r="Z482" i="1" s="1"/>
  <c r="Z483" i="1" s="1"/>
  <c r="Z484" i="1" s="1"/>
  <c r="Z485" i="1" s="1"/>
  <c r="Z486" i="1" s="1"/>
  <c r="Z487" i="1" s="1"/>
  <c r="Z488" i="1" s="1"/>
  <c r="Z489" i="1" s="1"/>
  <c r="Z490" i="1" s="1"/>
  <c r="Z491" i="1" s="1"/>
  <c r="Z492" i="1" s="1"/>
  <c r="Z493" i="1" s="1"/>
  <c r="Z494" i="1" s="1"/>
  <c r="Z495" i="1" s="1"/>
  <c r="Z496" i="1" s="1"/>
  <c r="Z497" i="1" s="1"/>
  <c r="Z498" i="1" s="1"/>
  <c r="Z499" i="1" s="1"/>
  <c r="Z500" i="1" s="1"/>
  <c r="Z501" i="1" s="1"/>
  <c r="Z502" i="1" s="1"/>
  <c r="Z503" i="1" s="1"/>
  <c r="Z504" i="1" s="1"/>
  <c r="Z505" i="1" s="1"/>
  <c r="Z506" i="1" s="1"/>
  <c r="Z507" i="1" s="1"/>
  <c r="Z508" i="1" s="1"/>
  <c r="Z509" i="1" s="1"/>
  <c r="Z510" i="1" s="1"/>
  <c r="Z511" i="1" s="1"/>
  <c r="Z512" i="1" s="1"/>
  <c r="Z513" i="1" s="1"/>
  <c r="Z514" i="1" s="1"/>
  <c r="Z515" i="1" s="1"/>
  <c r="Z516" i="1" s="1"/>
  <c r="Z517" i="1" s="1"/>
  <c r="Z518" i="1" s="1"/>
  <c r="Z519" i="1" s="1"/>
  <c r="Z520" i="1" s="1"/>
  <c r="Z521" i="1" s="1"/>
  <c r="Z522" i="1" s="1"/>
  <c r="Z523" i="1" s="1"/>
  <c r="Z524" i="1" s="1"/>
  <c r="Z525" i="1" s="1"/>
  <c r="Z526" i="1" s="1"/>
  <c r="Z527" i="1" s="1"/>
  <c r="Z528" i="1" s="1"/>
  <c r="Z529" i="1" s="1"/>
  <c r="Z530" i="1" s="1"/>
  <c r="Z531" i="1" s="1"/>
  <c r="Z532" i="1" s="1"/>
  <c r="Z533" i="1" s="1"/>
  <c r="Z534" i="1" s="1"/>
  <c r="Z535" i="1" s="1"/>
  <c r="Z536" i="1" s="1"/>
  <c r="Z537" i="1" s="1"/>
  <c r="Z538" i="1" s="1"/>
  <c r="Z539" i="1" s="1"/>
  <c r="Z540" i="1" s="1"/>
  <c r="Z541" i="1" s="1"/>
  <c r="Z542" i="1" s="1"/>
  <c r="Z543" i="1" s="1"/>
  <c r="Z544" i="1" s="1"/>
  <c r="Z545" i="1" s="1"/>
  <c r="Z546" i="1" s="1"/>
  <c r="Z547" i="1" s="1"/>
  <c r="Z548" i="1" s="1"/>
  <c r="Z549" i="1" s="1"/>
  <c r="Z550" i="1" s="1"/>
  <c r="Z551" i="1" s="1"/>
  <c r="Z552" i="1" s="1"/>
  <c r="Z553" i="1" s="1"/>
  <c r="Z554" i="1" s="1"/>
  <c r="Z555" i="1" s="1"/>
  <c r="Z556" i="1" s="1"/>
  <c r="Z557" i="1" s="1"/>
  <c r="Z558" i="1" s="1"/>
  <c r="Z559" i="1" s="1"/>
  <c r="Z560" i="1" s="1"/>
  <c r="Z561" i="1" s="1"/>
  <c r="Z562" i="1" s="1"/>
  <c r="Z563" i="1" s="1"/>
  <c r="Z564" i="1" s="1"/>
  <c r="Z565" i="1" s="1"/>
  <c r="Z566" i="1" s="1"/>
  <c r="Z567" i="1" s="1"/>
  <c r="Z568" i="1" s="1"/>
  <c r="Z569" i="1" s="1"/>
  <c r="Z570" i="1" s="1"/>
  <c r="Z571" i="1" s="1"/>
  <c r="Z572" i="1" s="1"/>
  <c r="Z573" i="1" s="1"/>
  <c r="Z574" i="1" s="1"/>
  <c r="Z575" i="1" s="1"/>
  <c r="Z576" i="1" s="1"/>
  <c r="Z577" i="1" s="1"/>
  <c r="Z578" i="1" s="1"/>
  <c r="Z579" i="1" s="1"/>
  <c r="Z580" i="1" s="1"/>
  <c r="Z581" i="1" s="1"/>
  <c r="Z582" i="1" s="1"/>
  <c r="Z583" i="1" s="1"/>
  <c r="Z584" i="1" s="1"/>
  <c r="Z585" i="1" s="1"/>
  <c r="Z586" i="1" s="1"/>
  <c r="Z587" i="1" s="1"/>
  <c r="Z588" i="1" s="1"/>
  <c r="Z589" i="1" s="1"/>
  <c r="Z590" i="1" s="1"/>
  <c r="Z591" i="1" s="1"/>
  <c r="Z592" i="1" s="1"/>
  <c r="Z593" i="1" s="1"/>
  <c r="Z594" i="1" s="1"/>
  <c r="Z595" i="1" s="1"/>
  <c r="Z596" i="1" s="1"/>
  <c r="Z597" i="1" s="1"/>
  <c r="Z598" i="1" s="1"/>
  <c r="Z599" i="1" s="1"/>
  <c r="Z600" i="1" s="1"/>
  <c r="Z601" i="1" s="1"/>
  <c r="Z602" i="1" s="1"/>
  <c r="Z603" i="1" s="1"/>
  <c r="Z604" i="1" s="1"/>
  <c r="Z605" i="1" s="1"/>
  <c r="Z606" i="1" s="1"/>
  <c r="Z607" i="1" s="1"/>
  <c r="Z608" i="1" s="1"/>
  <c r="Z609" i="1" s="1"/>
  <c r="Z610" i="1" s="1"/>
  <c r="Z611" i="1" s="1"/>
  <c r="Z612" i="1" s="1"/>
  <c r="Z613" i="1" s="1"/>
  <c r="Z614" i="1" s="1"/>
  <c r="Z615" i="1" s="1"/>
  <c r="Z616" i="1" s="1"/>
  <c r="Z617" i="1" s="1"/>
  <c r="Z618" i="1" s="1"/>
  <c r="Z619" i="1" s="1"/>
  <c r="Z620" i="1" s="1"/>
  <c r="Z621" i="1" s="1"/>
  <c r="Z622" i="1" s="1"/>
  <c r="Z623" i="1" s="1"/>
  <c r="Z624" i="1" s="1"/>
  <c r="Z625" i="1" s="1"/>
  <c r="Z626" i="1" s="1"/>
  <c r="Z627" i="1" s="1"/>
  <c r="Z628" i="1" s="1"/>
  <c r="Z629" i="1" s="1"/>
  <c r="Z630" i="1" s="1"/>
  <c r="Z631" i="1" s="1"/>
  <c r="Z632" i="1" s="1"/>
  <c r="Z633" i="1" s="1"/>
  <c r="Z634" i="1" s="1"/>
  <c r="Z635" i="1" s="1"/>
  <c r="Z636" i="1" s="1"/>
  <c r="Z637" i="1" s="1"/>
  <c r="Z638" i="1" s="1"/>
  <c r="Z639" i="1" s="1"/>
  <c r="Z640" i="1" s="1"/>
  <c r="Z641" i="1" s="1"/>
  <c r="Z642" i="1" s="1"/>
  <c r="Z643" i="1" s="1"/>
  <c r="Z644" i="1" s="1"/>
  <c r="Z645" i="1" s="1"/>
  <c r="Z646" i="1" s="1"/>
  <c r="Z647" i="1" s="1"/>
  <c r="Z648" i="1" s="1"/>
  <c r="Z649" i="1" s="1"/>
  <c r="Z650" i="1" s="1"/>
  <c r="Z651" i="1" s="1"/>
  <c r="Z652" i="1" s="1"/>
  <c r="Z653" i="1" s="1"/>
  <c r="Z654" i="1" s="1"/>
  <c r="Z655" i="1" s="1"/>
  <c r="Z656" i="1" s="1"/>
  <c r="Z657" i="1" s="1"/>
  <c r="Z658" i="1" s="1"/>
  <c r="Z659" i="1" s="1"/>
  <c r="Z660" i="1" s="1"/>
  <c r="Z661" i="1" s="1"/>
  <c r="Z662" i="1" s="1"/>
  <c r="Z663" i="1" s="1"/>
  <c r="Z664" i="1" s="1"/>
  <c r="Z665" i="1" s="1"/>
  <c r="Z666" i="1" s="1"/>
  <c r="Z667" i="1" s="1"/>
  <c r="Z668" i="1" s="1"/>
  <c r="Z669" i="1" s="1"/>
  <c r="Z670" i="1" s="1"/>
  <c r="Z671" i="1" s="1"/>
  <c r="Z672" i="1" s="1"/>
  <c r="Z673" i="1" s="1"/>
  <c r="Z674" i="1" s="1"/>
  <c r="Z675" i="1" s="1"/>
  <c r="Z676" i="1" s="1"/>
  <c r="Z677" i="1" s="1"/>
  <c r="Z678" i="1" s="1"/>
  <c r="Z679" i="1" s="1"/>
  <c r="Z680" i="1" s="1"/>
  <c r="Z681" i="1" s="1"/>
  <c r="Z682" i="1" s="1"/>
  <c r="Z683" i="1" s="1"/>
  <c r="Z684" i="1" s="1"/>
  <c r="Z685" i="1" s="1"/>
  <c r="Z686" i="1" s="1"/>
  <c r="Z687" i="1" s="1"/>
  <c r="Z688" i="1" s="1"/>
  <c r="Z689" i="1" s="1"/>
  <c r="Z690" i="1" s="1"/>
  <c r="Z691" i="1" s="1"/>
  <c r="Z692" i="1" s="1"/>
  <c r="Z693" i="1" s="1"/>
  <c r="Z694" i="1" s="1"/>
  <c r="Z695" i="1" s="1"/>
  <c r="Z696" i="1" s="1"/>
  <c r="Z697" i="1" s="1"/>
  <c r="Z698" i="1" s="1"/>
  <c r="Z699" i="1" s="1"/>
  <c r="Z700" i="1" s="1"/>
  <c r="Z701" i="1" s="1"/>
  <c r="Z702" i="1" s="1"/>
  <c r="Z703" i="1" s="1"/>
  <c r="Z704" i="1" s="1"/>
  <c r="Z705" i="1" s="1"/>
  <c r="Z706" i="1" s="1"/>
  <c r="Z707" i="1" s="1"/>
  <c r="Z708" i="1" s="1"/>
  <c r="Z709" i="1" s="1"/>
  <c r="Z710" i="1" s="1"/>
  <c r="Z711" i="1" s="1"/>
  <c r="Z712" i="1" s="1"/>
  <c r="Z713" i="1" s="1"/>
  <c r="Z714" i="1" s="1"/>
  <c r="Z715" i="1" s="1"/>
  <c r="Z716" i="1" s="1"/>
  <c r="Z717" i="1" s="1"/>
  <c r="Z718" i="1" s="1"/>
  <c r="Z719" i="1" s="1"/>
  <c r="Z720" i="1" s="1"/>
  <c r="Z721" i="1" s="1"/>
  <c r="Z722" i="1" s="1"/>
  <c r="Z723" i="1" s="1"/>
  <c r="Z724" i="1" s="1"/>
  <c r="Z725" i="1" s="1"/>
  <c r="Z726" i="1" s="1"/>
  <c r="Z727" i="1" s="1"/>
  <c r="Z728" i="1" s="1"/>
  <c r="Z729" i="1" s="1"/>
  <c r="Z730" i="1" s="1"/>
  <c r="Z731" i="1" s="1"/>
  <c r="Z732" i="1" s="1"/>
  <c r="Z733" i="1" s="1"/>
  <c r="Z734" i="1" s="1"/>
  <c r="Z735" i="1" s="1"/>
  <c r="Z736" i="1" s="1"/>
  <c r="Z737" i="1" s="1"/>
  <c r="Z738" i="1" s="1"/>
  <c r="Z739" i="1" s="1"/>
  <c r="Z740" i="1" s="1"/>
  <c r="Z741" i="1" s="1"/>
  <c r="Z742" i="1" s="1"/>
  <c r="Z743" i="1" s="1"/>
  <c r="Z744" i="1" s="1"/>
  <c r="Z745" i="1" s="1"/>
  <c r="Z746" i="1" s="1"/>
  <c r="Z747" i="1" s="1"/>
  <c r="Z748" i="1" s="1"/>
  <c r="Z749" i="1" s="1"/>
  <c r="Z750" i="1" s="1"/>
  <c r="Z751" i="1" s="1"/>
  <c r="Z752" i="1" s="1"/>
  <c r="Z753" i="1" s="1"/>
  <c r="Z754" i="1" s="1"/>
  <c r="Z755" i="1" s="1"/>
  <c r="Z756" i="1" s="1"/>
  <c r="Z757" i="1" s="1"/>
  <c r="Z758" i="1" s="1"/>
  <c r="Z759" i="1" s="1"/>
  <c r="Z760" i="1" s="1"/>
  <c r="Z761" i="1" s="1"/>
  <c r="Z762" i="1" s="1"/>
  <c r="Z763" i="1" s="1"/>
  <c r="Z764" i="1" s="1"/>
  <c r="Z765" i="1" s="1"/>
  <c r="Z766" i="1" s="1"/>
  <c r="Z767" i="1" s="1"/>
  <c r="Z768" i="1" s="1"/>
  <c r="Z769" i="1" s="1"/>
  <c r="Z770" i="1" s="1"/>
  <c r="Z771" i="1" s="1"/>
  <c r="Z772" i="1" s="1"/>
  <c r="Z773" i="1" s="1"/>
  <c r="Z774" i="1" s="1"/>
  <c r="Z775" i="1" s="1"/>
  <c r="Z776" i="1" s="1"/>
  <c r="Z777" i="1" s="1"/>
  <c r="Z778" i="1" s="1"/>
  <c r="Z779" i="1" s="1"/>
  <c r="Z780" i="1" s="1"/>
  <c r="Z781" i="1" s="1"/>
  <c r="Z782" i="1" s="1"/>
  <c r="Z783" i="1" s="1"/>
  <c r="Z784" i="1" s="1"/>
  <c r="Z785" i="1" s="1"/>
  <c r="Z786" i="1" s="1"/>
  <c r="Z787" i="1" s="1"/>
  <c r="Z788" i="1" s="1"/>
  <c r="Z789" i="1" s="1"/>
  <c r="Z790" i="1" s="1"/>
  <c r="Z791" i="1" s="1"/>
  <c r="Z792" i="1" s="1"/>
  <c r="Z793" i="1" s="1"/>
  <c r="Z794" i="1" s="1"/>
  <c r="Z795" i="1" s="1"/>
  <c r="Z796" i="1" s="1"/>
  <c r="Z797" i="1" s="1"/>
  <c r="Z798" i="1" s="1"/>
  <c r="Z799" i="1" s="1"/>
  <c r="Z800" i="1" s="1"/>
  <c r="Z801" i="1" s="1"/>
  <c r="Z802" i="1" s="1"/>
  <c r="Z803" i="1" s="1"/>
  <c r="Z804" i="1" s="1"/>
  <c r="Z805" i="1" s="1"/>
  <c r="Z806" i="1" s="1"/>
  <c r="Z807" i="1" s="1"/>
  <c r="Z808" i="1" s="1"/>
  <c r="Z809" i="1" s="1"/>
  <c r="Z810" i="1" s="1"/>
  <c r="Z811" i="1" s="1"/>
  <c r="Z812" i="1" s="1"/>
  <c r="Z813" i="1" s="1"/>
  <c r="Z814" i="1" s="1"/>
  <c r="Z815" i="1" s="1"/>
  <c r="Z816" i="1" s="1"/>
  <c r="Z817" i="1" s="1"/>
  <c r="Z818" i="1" s="1"/>
  <c r="Z819" i="1" s="1"/>
  <c r="Z820" i="1" s="1"/>
  <c r="Z821" i="1" s="1"/>
  <c r="Z822" i="1" s="1"/>
  <c r="Z823" i="1" s="1"/>
  <c r="Z824" i="1" s="1"/>
  <c r="Z825" i="1" s="1"/>
  <c r="Z826" i="1" s="1"/>
  <c r="Z827" i="1" s="1"/>
  <c r="Z828" i="1" s="1"/>
  <c r="Z829" i="1" s="1"/>
  <c r="Z830" i="1" s="1"/>
  <c r="Z831" i="1" s="1"/>
  <c r="Z832" i="1" s="1"/>
  <c r="Z833" i="1" s="1"/>
  <c r="Z834" i="1" s="1"/>
  <c r="Z835" i="1" s="1"/>
  <c r="Z836" i="1" s="1"/>
  <c r="Z837" i="1" s="1"/>
  <c r="Z838" i="1" s="1"/>
  <c r="Z839" i="1" s="1"/>
  <c r="Z840" i="1" s="1"/>
  <c r="Z841" i="1" s="1"/>
  <c r="Z842" i="1" s="1"/>
  <c r="Z843" i="1" s="1"/>
  <c r="Z844" i="1" s="1"/>
  <c r="Z845" i="1" s="1"/>
  <c r="Z846" i="1" s="1"/>
  <c r="Z847" i="1" s="1"/>
  <c r="Z848" i="1" s="1"/>
  <c r="Z849" i="1" s="1"/>
  <c r="Z850" i="1" s="1"/>
  <c r="Z851" i="1" s="1"/>
  <c r="Z852" i="1" s="1"/>
  <c r="Z853" i="1" s="1"/>
  <c r="Z854" i="1" s="1"/>
  <c r="Z855" i="1" s="1"/>
  <c r="Z856" i="1" s="1"/>
  <c r="Z857" i="1" s="1"/>
  <c r="Z858" i="1" s="1"/>
  <c r="Z859" i="1" s="1"/>
  <c r="Z860" i="1" s="1"/>
  <c r="Z861" i="1" s="1"/>
  <c r="Z862" i="1" s="1"/>
  <c r="Z863" i="1" s="1"/>
  <c r="Z864" i="1" s="1"/>
  <c r="Z865" i="1" s="1"/>
  <c r="Z866" i="1" s="1"/>
  <c r="Z867" i="1" s="1"/>
  <c r="Z868" i="1" s="1"/>
  <c r="Z869" i="1" s="1"/>
  <c r="Z870" i="1" s="1"/>
  <c r="Z871" i="1" s="1"/>
  <c r="Z872" i="1" s="1"/>
  <c r="Z873" i="1" s="1"/>
  <c r="Z874" i="1" s="1"/>
  <c r="Z875" i="1" s="1"/>
  <c r="Z876" i="1" s="1"/>
  <c r="Z877" i="1" s="1"/>
  <c r="Z878" i="1" s="1"/>
  <c r="Z879" i="1" s="1"/>
  <c r="Z880" i="1" s="1"/>
  <c r="Z881" i="1" s="1"/>
  <c r="Z882" i="1" s="1"/>
  <c r="Z883" i="1" s="1"/>
  <c r="Z884" i="1" s="1"/>
  <c r="Z885" i="1" s="1"/>
  <c r="Z886" i="1" s="1"/>
  <c r="Z887" i="1" s="1"/>
  <c r="Z888" i="1" s="1"/>
  <c r="Z889" i="1" s="1"/>
  <c r="Z890" i="1" s="1"/>
  <c r="Z891" i="1" s="1"/>
  <c r="Z892" i="1" s="1"/>
  <c r="Z893" i="1" s="1"/>
  <c r="Z894" i="1" s="1"/>
  <c r="Z895" i="1" s="1"/>
  <c r="Z896" i="1" s="1"/>
  <c r="Z897" i="1" s="1"/>
  <c r="Z898" i="1" s="1"/>
  <c r="Z899" i="1" s="1"/>
  <c r="Z900" i="1" s="1"/>
  <c r="Z901" i="1" s="1"/>
  <c r="Z902" i="1" s="1"/>
  <c r="Z903" i="1" s="1"/>
  <c r="Z904" i="1" s="1"/>
  <c r="Z905" i="1" s="1"/>
  <c r="Z906" i="1" s="1"/>
  <c r="Z907" i="1" s="1"/>
  <c r="Z908" i="1" s="1"/>
  <c r="Z909" i="1" s="1"/>
  <c r="Z910" i="1" s="1"/>
  <c r="Z911" i="1" s="1"/>
  <c r="Z912" i="1" s="1"/>
  <c r="Z913" i="1" s="1"/>
  <c r="Z914" i="1" s="1"/>
  <c r="Z915" i="1" s="1"/>
  <c r="Z916" i="1" s="1"/>
  <c r="Z917" i="1" s="1"/>
  <c r="Z918" i="1" s="1"/>
  <c r="Z919" i="1" s="1"/>
  <c r="Z920" i="1" s="1"/>
  <c r="Z921" i="1" s="1"/>
  <c r="Z922" i="1" s="1"/>
  <c r="Z923" i="1" s="1"/>
  <c r="Z924" i="1" s="1"/>
  <c r="Z925" i="1" s="1"/>
  <c r="Z926" i="1" s="1"/>
  <c r="Z927" i="1" s="1"/>
  <c r="Z928" i="1" s="1"/>
  <c r="Z929" i="1" s="1"/>
  <c r="Z930" i="1" s="1"/>
  <c r="Z931" i="1" s="1"/>
  <c r="Z932" i="1" s="1"/>
  <c r="Z933" i="1" s="1"/>
  <c r="Z934" i="1" s="1"/>
  <c r="Z935" i="1" s="1"/>
  <c r="Z936" i="1" s="1"/>
  <c r="Z937" i="1" s="1"/>
  <c r="Z938" i="1" s="1"/>
  <c r="Z939" i="1" s="1"/>
  <c r="Z940" i="1" s="1"/>
  <c r="Z941" i="1" s="1"/>
  <c r="Z942" i="1" s="1"/>
  <c r="Z943" i="1" s="1"/>
  <c r="Z944" i="1" s="1"/>
  <c r="Z945" i="1" s="1"/>
  <c r="Z946" i="1" s="1"/>
  <c r="Z947" i="1" s="1"/>
  <c r="Z948" i="1" s="1"/>
  <c r="Z949" i="1" s="1"/>
  <c r="Z950" i="1" s="1"/>
  <c r="Z951" i="1" s="1"/>
  <c r="Z952" i="1" s="1"/>
  <c r="Z953" i="1" s="1"/>
  <c r="Z954" i="1" s="1"/>
  <c r="Z955" i="1" s="1"/>
  <c r="Z956" i="1" s="1"/>
  <c r="Z957" i="1" s="1"/>
  <c r="Z958" i="1" s="1"/>
  <c r="Z959" i="1" s="1"/>
  <c r="Z960" i="1" s="1"/>
  <c r="Z961" i="1" s="1"/>
  <c r="Z962" i="1" s="1"/>
  <c r="Z963" i="1" s="1"/>
  <c r="Z964" i="1" s="1"/>
  <c r="Z965" i="1" s="1"/>
  <c r="Z966" i="1" s="1"/>
  <c r="Z967" i="1" s="1"/>
  <c r="Z968" i="1" s="1"/>
  <c r="Z969" i="1" s="1"/>
  <c r="Z970" i="1" s="1"/>
  <c r="Z971" i="1" s="1"/>
  <c r="Z972" i="1" s="1"/>
  <c r="Z973" i="1" s="1"/>
  <c r="Z974" i="1" s="1"/>
  <c r="Z975" i="1" s="1"/>
  <c r="Z976" i="1" s="1"/>
  <c r="Z977" i="1" s="1"/>
  <c r="Z978" i="1" s="1"/>
  <c r="Z979" i="1" s="1"/>
  <c r="Z980" i="1" s="1"/>
  <c r="Z981" i="1" s="1"/>
  <c r="Z982" i="1" s="1"/>
  <c r="Z983" i="1" s="1"/>
  <c r="Z984" i="1" s="1"/>
  <c r="Z985" i="1" s="1"/>
  <c r="Z986" i="1" s="1"/>
  <c r="Z987" i="1" s="1"/>
  <c r="Z988" i="1" s="1"/>
  <c r="Z989" i="1" s="1"/>
  <c r="Z990" i="1" s="1"/>
  <c r="Z991" i="1" s="1"/>
  <c r="Z992" i="1" s="1"/>
  <c r="Z993" i="1" s="1"/>
  <c r="Z994" i="1" s="1"/>
  <c r="Z995" i="1" s="1"/>
  <c r="Z996" i="1" s="1"/>
  <c r="Z997" i="1" s="1"/>
  <c r="Z998" i="1" s="1"/>
  <c r="Z999" i="1" s="1"/>
  <c r="Z1000" i="1" s="1"/>
  <c r="Z1001" i="1" s="1"/>
  <c r="Z1002" i="1" s="1"/>
  <c r="Z1003" i="1" s="1"/>
  <c r="Z1004" i="1" s="1"/>
  <c r="Z1005" i="1" s="1"/>
  <c r="Z1006" i="1" s="1"/>
  <c r="Z1007" i="1" s="1"/>
  <c r="Z1008" i="1" s="1"/>
  <c r="Z1009" i="1" s="1"/>
  <c r="Z1010" i="1" s="1"/>
  <c r="Z1011" i="1" s="1"/>
  <c r="Z1012" i="1" s="1"/>
  <c r="Z1013" i="1" s="1"/>
  <c r="Z1014" i="1" s="1"/>
  <c r="Z1015" i="1" s="1"/>
  <c r="Z1016" i="1" s="1"/>
  <c r="Z1017" i="1" s="1"/>
  <c r="Z1018" i="1" s="1"/>
  <c r="Z1019" i="1" s="1"/>
  <c r="Z1020" i="1" s="1"/>
  <c r="Z1021" i="1" s="1"/>
  <c r="Z1022" i="1" s="1"/>
  <c r="Z1023" i="1" s="1"/>
  <c r="Z1024" i="1" s="1"/>
  <c r="Z1025" i="1" s="1"/>
  <c r="Z1026" i="1" s="1"/>
  <c r="Z1027" i="1" s="1"/>
  <c r="Z1028" i="1" s="1"/>
  <c r="Z1029" i="1" s="1"/>
  <c r="Z1030" i="1" s="1"/>
  <c r="Z1031" i="1" s="1"/>
  <c r="Z1032" i="1" s="1"/>
  <c r="Z1033" i="1" s="1"/>
  <c r="Z1034" i="1" s="1"/>
  <c r="Z1035" i="1" s="1"/>
  <c r="Z1036" i="1" s="1"/>
  <c r="Z1037" i="1" s="1"/>
  <c r="Z1038" i="1" s="1"/>
  <c r="Z1039" i="1" s="1"/>
  <c r="Z1040" i="1" s="1"/>
  <c r="Z1041" i="1" s="1"/>
  <c r="Z1042" i="1" s="1"/>
  <c r="Z1043" i="1" s="1"/>
  <c r="Z1044" i="1" s="1"/>
  <c r="Z1045" i="1" s="1"/>
  <c r="Z1046" i="1" s="1"/>
  <c r="Z1047" i="1" s="1"/>
  <c r="Z1048" i="1" s="1"/>
  <c r="Z1049" i="1" s="1"/>
  <c r="Z1050" i="1" s="1"/>
  <c r="Z1051" i="1" s="1"/>
  <c r="Z1052" i="1" s="1"/>
  <c r="Z1053" i="1" s="1"/>
  <c r="Z1054" i="1" s="1"/>
  <c r="Z1055" i="1" s="1"/>
  <c r="Z1056" i="1" s="1"/>
  <c r="Z1057" i="1" s="1"/>
  <c r="Z1058" i="1" s="1"/>
  <c r="Z1059" i="1" s="1"/>
  <c r="Z1060" i="1" s="1"/>
  <c r="Z1061" i="1" s="1"/>
  <c r="Z1062" i="1" s="1"/>
  <c r="Z1063" i="1" s="1"/>
  <c r="Z1064" i="1" s="1"/>
  <c r="Z1065" i="1" s="1"/>
  <c r="Z1066" i="1" s="1"/>
  <c r="Z1067" i="1" s="1"/>
  <c r="Z1068" i="1" s="1"/>
  <c r="Z1069" i="1" s="1"/>
  <c r="Z1070" i="1" s="1"/>
  <c r="Z1071" i="1" s="1"/>
  <c r="Z1072" i="1" s="1"/>
  <c r="Z1073" i="1" s="1"/>
  <c r="Z1074" i="1" s="1"/>
  <c r="Z1075" i="1" s="1"/>
  <c r="Z1076" i="1" s="1"/>
  <c r="Z1077" i="1" s="1"/>
  <c r="Z1078" i="1" s="1"/>
  <c r="Z1079" i="1" s="1"/>
  <c r="Z1080" i="1" s="1"/>
  <c r="Z1081" i="1" s="1"/>
  <c r="Z1082" i="1" s="1"/>
  <c r="Z1083" i="1" s="1"/>
  <c r="Z1084" i="1" s="1"/>
  <c r="Z1085" i="1" s="1"/>
  <c r="Z1086" i="1" s="1"/>
  <c r="Z1087" i="1" s="1"/>
  <c r="Z1088" i="1" s="1"/>
  <c r="Z1089" i="1" s="1"/>
  <c r="Z1090" i="1" s="1"/>
  <c r="Z1091" i="1" s="1"/>
  <c r="Z1092" i="1" s="1"/>
  <c r="Z1093" i="1" s="1"/>
  <c r="Z1094" i="1" s="1"/>
  <c r="Z1095" i="1" s="1"/>
  <c r="Z1096" i="1" s="1"/>
  <c r="Z1097" i="1" s="1"/>
  <c r="Z1098" i="1" s="1"/>
  <c r="Z1099" i="1" s="1"/>
  <c r="Z1100" i="1" s="1"/>
  <c r="Z1101" i="1" s="1"/>
  <c r="Z1102" i="1" s="1"/>
  <c r="Z1103" i="1" s="1"/>
  <c r="Z1104" i="1" s="1"/>
  <c r="Z1105" i="1" s="1"/>
  <c r="Z1106" i="1" s="1"/>
  <c r="Z1107" i="1" s="1"/>
  <c r="Z1108" i="1" s="1"/>
  <c r="Z1109" i="1" s="1"/>
  <c r="Z1110" i="1" s="1"/>
  <c r="Z1111" i="1" s="1"/>
  <c r="Z1112" i="1" s="1"/>
  <c r="Z1113" i="1" s="1"/>
  <c r="Z1114" i="1" s="1"/>
  <c r="Z1115" i="1" s="1"/>
  <c r="Z1116" i="1" s="1"/>
  <c r="Z1117" i="1" s="1"/>
  <c r="Z1118" i="1" s="1"/>
  <c r="Z1119" i="1" s="1"/>
  <c r="Z1120" i="1" s="1"/>
  <c r="Z1121" i="1" s="1"/>
  <c r="Z1122" i="1" s="1"/>
  <c r="Z1123" i="1" s="1"/>
  <c r="Z1124" i="1" s="1"/>
  <c r="Z1125" i="1" s="1"/>
  <c r="Z1126" i="1" s="1"/>
  <c r="Z1127" i="1" s="1"/>
  <c r="Z1128" i="1" s="1"/>
  <c r="Z1129" i="1" s="1"/>
  <c r="Z1130" i="1" s="1"/>
  <c r="Z1131" i="1" s="1"/>
  <c r="Z1132" i="1" s="1"/>
  <c r="Z1133" i="1" s="1"/>
  <c r="Z1134" i="1" s="1"/>
  <c r="Z1135" i="1" s="1"/>
  <c r="Z1136" i="1" s="1"/>
  <c r="Z1137" i="1" s="1"/>
  <c r="Z1138" i="1" s="1"/>
  <c r="Z1139" i="1" s="1"/>
  <c r="Z1140" i="1" s="1"/>
  <c r="Z1141" i="1" s="1"/>
  <c r="Z1142" i="1" s="1"/>
  <c r="Z1143" i="1" s="1"/>
  <c r="Z1144" i="1" s="1"/>
  <c r="Z1145" i="1" s="1"/>
  <c r="Z1146" i="1" s="1"/>
  <c r="Z1147" i="1" s="1"/>
  <c r="Z1148" i="1" s="1"/>
  <c r="Z1149" i="1" s="1"/>
  <c r="Z1150" i="1" s="1"/>
  <c r="Z1151" i="1" s="1"/>
  <c r="Z1152" i="1" s="1"/>
  <c r="Z1153" i="1" s="1"/>
  <c r="Z1154" i="1" s="1"/>
  <c r="Z1155" i="1" s="1"/>
  <c r="Z1156" i="1" s="1"/>
  <c r="Z1157" i="1" s="1"/>
  <c r="Z1158" i="1" s="1"/>
  <c r="Z1159" i="1" s="1"/>
  <c r="Z1160" i="1" s="1"/>
  <c r="Z1161" i="1" s="1"/>
  <c r="Z1162" i="1" s="1"/>
  <c r="Z1163" i="1" s="1"/>
  <c r="Z1164" i="1" s="1"/>
  <c r="Z1165" i="1" s="1"/>
  <c r="Z1166" i="1" s="1"/>
  <c r="Z1167" i="1" s="1"/>
  <c r="Z1168" i="1" s="1"/>
  <c r="Z1169" i="1" s="1"/>
  <c r="Z1170" i="1" s="1"/>
  <c r="Z1171" i="1" s="1"/>
  <c r="Z1172" i="1" s="1"/>
  <c r="Z1173" i="1" s="1"/>
  <c r="Z1174" i="1" s="1"/>
  <c r="Z1175" i="1" s="1"/>
  <c r="Z1176" i="1" s="1"/>
  <c r="Z1177" i="1" s="1"/>
  <c r="Z1178" i="1" s="1"/>
  <c r="Z1179" i="1" s="1"/>
  <c r="Z1180" i="1" s="1"/>
  <c r="Z1181" i="1" s="1"/>
  <c r="Z1182" i="1" s="1"/>
  <c r="Z1183" i="1" s="1"/>
  <c r="Z1184" i="1" s="1"/>
  <c r="Z1185" i="1" s="1"/>
  <c r="Z1186" i="1" s="1"/>
  <c r="Z1187" i="1" s="1"/>
  <c r="Z1188" i="1" s="1"/>
  <c r="Z1189" i="1" s="1"/>
  <c r="Z1190" i="1" s="1"/>
  <c r="Z1191" i="1" s="1"/>
  <c r="Z1192" i="1" s="1"/>
  <c r="Z1193" i="1" s="1"/>
  <c r="Z1194" i="1" s="1"/>
  <c r="Z1195" i="1" s="1"/>
  <c r="Z1196" i="1" s="1"/>
  <c r="Z1197" i="1" s="1"/>
  <c r="Z1198" i="1" s="1"/>
  <c r="Z1199" i="1" s="1"/>
  <c r="Z1200" i="1" s="1"/>
  <c r="Z1201" i="1" s="1"/>
  <c r="Z1202" i="1" s="1"/>
  <c r="Z1203" i="1" s="1"/>
  <c r="Z1204" i="1" s="1"/>
  <c r="Z1205" i="1" s="1"/>
  <c r="Z1206" i="1" s="1"/>
  <c r="Z1207" i="1" s="1"/>
  <c r="Z1208" i="1" s="1"/>
  <c r="Z1209" i="1" s="1"/>
  <c r="Z1210" i="1" s="1"/>
  <c r="Z1211" i="1" s="1"/>
  <c r="Z1212" i="1" s="1"/>
  <c r="Z1213" i="1" s="1"/>
  <c r="Z1214" i="1" s="1"/>
  <c r="Z1215" i="1" s="1"/>
  <c r="Z1216" i="1" s="1"/>
  <c r="Z1217" i="1" s="1"/>
  <c r="Z1218" i="1" s="1"/>
  <c r="Z1219" i="1" s="1"/>
  <c r="Z1220" i="1" s="1"/>
  <c r="Z1221" i="1" s="1"/>
  <c r="Z1222" i="1" s="1"/>
  <c r="Z1223" i="1" s="1"/>
  <c r="Z1224" i="1" s="1"/>
  <c r="Z1225" i="1" s="1"/>
  <c r="Z1226" i="1" s="1"/>
  <c r="Z1227" i="1" s="1"/>
  <c r="Z1228" i="1" s="1"/>
  <c r="Z1229" i="1" s="1"/>
  <c r="Z1230" i="1" s="1"/>
  <c r="Z1231" i="1" s="1"/>
  <c r="Z1232" i="1" s="1"/>
  <c r="Z1233" i="1" s="1"/>
  <c r="Z1234" i="1" s="1"/>
  <c r="Z1235" i="1" s="1"/>
  <c r="Z1236" i="1" s="1"/>
  <c r="Z1237" i="1" s="1"/>
  <c r="Z1238" i="1" s="1"/>
  <c r="Z1239" i="1" s="1"/>
  <c r="Z1240" i="1" s="1"/>
  <c r="Z1241" i="1" s="1"/>
  <c r="Z1242" i="1" s="1"/>
  <c r="Z1243" i="1" s="1"/>
  <c r="Z1244" i="1" s="1"/>
  <c r="Z1245" i="1" s="1"/>
  <c r="Z1246" i="1" s="1"/>
  <c r="Z1247" i="1" s="1"/>
  <c r="Z1248" i="1" s="1"/>
  <c r="Z1249" i="1" s="1"/>
  <c r="Z1250" i="1" s="1"/>
  <c r="Z1251" i="1" s="1"/>
  <c r="Z1252" i="1" s="1"/>
  <c r="Z1253" i="1" s="1"/>
  <c r="Z1254" i="1" s="1"/>
  <c r="Z1255" i="1" s="1"/>
  <c r="Z1256" i="1" s="1"/>
  <c r="Z1257" i="1" s="1"/>
  <c r="U1" i="1"/>
  <c r="X1" i="1"/>
  <c r="V1" i="1"/>
  <c r="W1" i="1"/>
  <c r="Y24" i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Y337" i="1" s="1"/>
  <c r="Y338" i="1" s="1"/>
  <c r="Y339" i="1" s="1"/>
  <c r="Y340" i="1" s="1"/>
  <c r="Y341" i="1" s="1"/>
  <c r="Y342" i="1" s="1"/>
  <c r="Y343" i="1" s="1"/>
  <c r="Y344" i="1" s="1"/>
  <c r="Y345" i="1" s="1"/>
  <c r="Y346" i="1" s="1"/>
  <c r="Y347" i="1" s="1"/>
  <c r="Y348" i="1" s="1"/>
  <c r="Y349" i="1" s="1"/>
  <c r="Y350" i="1" s="1"/>
  <c r="Y351" i="1" s="1"/>
  <c r="Y352" i="1" s="1"/>
  <c r="Y353" i="1" s="1"/>
  <c r="Y354" i="1" s="1"/>
  <c r="Y355" i="1" s="1"/>
  <c r="Y356" i="1" s="1"/>
  <c r="Y357" i="1" s="1"/>
  <c r="Y358" i="1" s="1"/>
  <c r="Y359" i="1" s="1"/>
  <c r="Y360" i="1" s="1"/>
  <c r="Y361" i="1" s="1"/>
  <c r="Y362" i="1" s="1"/>
  <c r="Y363" i="1" s="1"/>
  <c r="Y364" i="1" s="1"/>
  <c r="Y365" i="1" s="1"/>
  <c r="Y366" i="1" s="1"/>
  <c r="Y367" i="1" s="1"/>
  <c r="Y368" i="1" s="1"/>
  <c r="Y369" i="1" s="1"/>
  <c r="Y370" i="1" s="1"/>
  <c r="Y371" i="1" s="1"/>
  <c r="Y372" i="1" s="1"/>
  <c r="Y373" i="1" s="1"/>
  <c r="Y374" i="1" s="1"/>
  <c r="Y375" i="1" s="1"/>
  <c r="Y376" i="1" s="1"/>
  <c r="Y377" i="1" s="1"/>
  <c r="Y378" i="1" s="1"/>
  <c r="Y379" i="1" s="1"/>
  <c r="Y380" i="1" s="1"/>
  <c r="Y381" i="1" s="1"/>
  <c r="Y382" i="1" s="1"/>
  <c r="Y383" i="1" s="1"/>
  <c r="Y384" i="1" s="1"/>
  <c r="Y385" i="1" s="1"/>
  <c r="Y386" i="1" s="1"/>
  <c r="Y387" i="1" s="1"/>
  <c r="Y388" i="1" s="1"/>
  <c r="Y389" i="1" s="1"/>
  <c r="Y390" i="1" s="1"/>
  <c r="Y391" i="1" s="1"/>
  <c r="Y392" i="1" s="1"/>
  <c r="Y393" i="1" s="1"/>
  <c r="Y394" i="1" s="1"/>
  <c r="Y395" i="1" s="1"/>
  <c r="Y396" i="1" s="1"/>
  <c r="Y397" i="1" s="1"/>
  <c r="Y398" i="1" s="1"/>
  <c r="Y399" i="1" s="1"/>
  <c r="Y400" i="1" s="1"/>
  <c r="Y401" i="1" s="1"/>
  <c r="Y402" i="1" s="1"/>
  <c r="Y403" i="1" s="1"/>
  <c r="Y404" i="1" s="1"/>
  <c r="Y405" i="1" s="1"/>
  <c r="Y406" i="1" s="1"/>
  <c r="Y407" i="1" s="1"/>
  <c r="Y408" i="1" s="1"/>
  <c r="Y409" i="1" s="1"/>
  <c r="Y410" i="1" s="1"/>
  <c r="Y411" i="1" s="1"/>
  <c r="Y412" i="1" s="1"/>
  <c r="Y413" i="1" s="1"/>
  <c r="Y414" i="1" s="1"/>
  <c r="Y415" i="1" s="1"/>
  <c r="Y416" i="1" s="1"/>
  <c r="Y417" i="1" s="1"/>
  <c r="Y418" i="1" s="1"/>
  <c r="Y419" i="1" s="1"/>
  <c r="Y420" i="1" s="1"/>
  <c r="Y421" i="1" s="1"/>
  <c r="Y422" i="1" s="1"/>
  <c r="Y423" i="1" s="1"/>
  <c r="Y424" i="1" s="1"/>
  <c r="Y425" i="1" s="1"/>
  <c r="Y426" i="1" s="1"/>
  <c r="Y427" i="1" s="1"/>
  <c r="Y428" i="1" s="1"/>
  <c r="Y429" i="1" s="1"/>
  <c r="Y430" i="1" s="1"/>
  <c r="Y431" i="1" s="1"/>
  <c r="Y432" i="1" s="1"/>
  <c r="Y433" i="1" s="1"/>
  <c r="Y434" i="1" s="1"/>
  <c r="Y435" i="1" s="1"/>
  <c r="Y436" i="1" s="1"/>
  <c r="Y437" i="1" s="1"/>
  <c r="Y438" i="1" s="1"/>
  <c r="Y439" i="1" s="1"/>
  <c r="Y440" i="1" s="1"/>
  <c r="Y441" i="1" s="1"/>
  <c r="Y442" i="1" s="1"/>
  <c r="Y443" i="1" s="1"/>
  <c r="Y444" i="1" s="1"/>
  <c r="Y445" i="1" s="1"/>
  <c r="Y446" i="1" s="1"/>
  <c r="Y447" i="1" s="1"/>
  <c r="Y448" i="1" s="1"/>
  <c r="Y449" i="1" s="1"/>
  <c r="Y450" i="1" s="1"/>
  <c r="Y451" i="1" s="1"/>
  <c r="Y452" i="1" s="1"/>
  <c r="Y453" i="1" s="1"/>
  <c r="Y454" i="1" s="1"/>
  <c r="Y455" i="1" s="1"/>
  <c r="Y456" i="1" s="1"/>
  <c r="Y457" i="1" s="1"/>
  <c r="Y458" i="1" s="1"/>
  <c r="Y459" i="1" s="1"/>
  <c r="Y460" i="1" s="1"/>
  <c r="Y461" i="1" s="1"/>
  <c r="Y462" i="1" s="1"/>
  <c r="Y463" i="1" s="1"/>
  <c r="Y464" i="1" s="1"/>
  <c r="Y465" i="1" s="1"/>
  <c r="Y466" i="1" s="1"/>
  <c r="Y467" i="1" s="1"/>
  <c r="Y468" i="1" s="1"/>
  <c r="Y469" i="1" s="1"/>
  <c r="Y470" i="1" s="1"/>
  <c r="Y471" i="1" s="1"/>
  <c r="Y472" i="1" s="1"/>
  <c r="Y473" i="1" s="1"/>
  <c r="Y474" i="1" s="1"/>
  <c r="Y475" i="1" s="1"/>
  <c r="Y476" i="1" s="1"/>
  <c r="Y477" i="1" s="1"/>
  <c r="Y478" i="1" s="1"/>
  <c r="Y479" i="1" s="1"/>
  <c r="Y480" i="1" s="1"/>
  <c r="Y481" i="1" s="1"/>
  <c r="Y482" i="1" s="1"/>
  <c r="Y483" i="1" s="1"/>
  <c r="Y484" i="1" s="1"/>
  <c r="Y485" i="1" s="1"/>
  <c r="Y486" i="1" s="1"/>
  <c r="Y487" i="1" s="1"/>
  <c r="Y488" i="1" s="1"/>
  <c r="Y489" i="1" s="1"/>
  <c r="Y490" i="1" s="1"/>
  <c r="Y491" i="1" s="1"/>
  <c r="Y492" i="1" s="1"/>
  <c r="Y493" i="1" s="1"/>
  <c r="Y494" i="1" s="1"/>
  <c r="Y495" i="1" s="1"/>
  <c r="Y496" i="1" s="1"/>
  <c r="Y497" i="1" s="1"/>
  <c r="Y498" i="1" s="1"/>
  <c r="Y499" i="1" s="1"/>
  <c r="Y500" i="1" s="1"/>
  <c r="Y501" i="1" s="1"/>
  <c r="Y502" i="1" s="1"/>
  <c r="Y503" i="1" s="1"/>
  <c r="Y504" i="1" s="1"/>
  <c r="Y505" i="1" s="1"/>
  <c r="Y506" i="1" s="1"/>
  <c r="Y507" i="1" s="1"/>
  <c r="Y508" i="1" s="1"/>
  <c r="Y509" i="1" s="1"/>
  <c r="Y510" i="1" s="1"/>
  <c r="Y511" i="1" s="1"/>
  <c r="Y512" i="1" s="1"/>
  <c r="Y513" i="1" s="1"/>
  <c r="Y514" i="1" s="1"/>
  <c r="Y515" i="1" s="1"/>
  <c r="Y516" i="1" s="1"/>
  <c r="Y517" i="1" s="1"/>
  <c r="Y518" i="1" s="1"/>
  <c r="Y519" i="1" s="1"/>
  <c r="Y520" i="1" s="1"/>
  <c r="Y521" i="1" s="1"/>
  <c r="Y522" i="1" s="1"/>
  <c r="Y523" i="1" s="1"/>
  <c r="Y524" i="1" s="1"/>
  <c r="Y525" i="1" s="1"/>
  <c r="Y526" i="1" s="1"/>
  <c r="Y527" i="1" s="1"/>
  <c r="Y528" i="1" s="1"/>
  <c r="Y529" i="1" s="1"/>
  <c r="Y530" i="1" s="1"/>
  <c r="Y531" i="1" s="1"/>
  <c r="Y532" i="1" s="1"/>
  <c r="Y533" i="1" s="1"/>
  <c r="Y534" i="1" s="1"/>
  <c r="Y535" i="1" s="1"/>
  <c r="Y536" i="1" s="1"/>
  <c r="Y537" i="1" s="1"/>
  <c r="Y538" i="1" s="1"/>
  <c r="Y539" i="1" s="1"/>
  <c r="Y540" i="1" s="1"/>
  <c r="Y541" i="1" s="1"/>
  <c r="Y542" i="1" s="1"/>
  <c r="Y543" i="1" s="1"/>
  <c r="Y544" i="1" s="1"/>
  <c r="Y545" i="1" s="1"/>
  <c r="Y546" i="1" s="1"/>
  <c r="Y547" i="1" s="1"/>
  <c r="Y548" i="1" s="1"/>
  <c r="Y549" i="1" s="1"/>
  <c r="Y550" i="1" s="1"/>
  <c r="Y551" i="1" s="1"/>
  <c r="Y552" i="1" s="1"/>
  <c r="Y553" i="1" s="1"/>
  <c r="Y554" i="1" s="1"/>
  <c r="Y555" i="1" s="1"/>
  <c r="Y556" i="1" s="1"/>
  <c r="Y557" i="1" s="1"/>
  <c r="Y558" i="1" s="1"/>
  <c r="Y559" i="1" s="1"/>
  <c r="Y560" i="1" s="1"/>
  <c r="Y561" i="1" s="1"/>
  <c r="Y562" i="1" s="1"/>
  <c r="Y563" i="1" s="1"/>
  <c r="Y564" i="1" s="1"/>
  <c r="Y565" i="1" s="1"/>
  <c r="Y566" i="1" s="1"/>
  <c r="Y567" i="1" s="1"/>
  <c r="Y568" i="1" s="1"/>
  <c r="Y569" i="1" s="1"/>
  <c r="Y570" i="1" s="1"/>
  <c r="Y571" i="1" s="1"/>
  <c r="Y572" i="1" s="1"/>
  <c r="Y573" i="1" s="1"/>
  <c r="Y574" i="1" s="1"/>
  <c r="Y575" i="1" s="1"/>
  <c r="Y576" i="1" s="1"/>
  <c r="Y577" i="1" s="1"/>
  <c r="Y578" i="1" s="1"/>
  <c r="Y579" i="1" s="1"/>
  <c r="Y580" i="1" s="1"/>
  <c r="Y581" i="1" s="1"/>
  <c r="Y582" i="1" s="1"/>
  <c r="Y583" i="1" s="1"/>
  <c r="Y584" i="1" s="1"/>
  <c r="Y585" i="1" s="1"/>
  <c r="Y586" i="1" s="1"/>
  <c r="Y587" i="1" s="1"/>
  <c r="Y588" i="1" s="1"/>
  <c r="Y589" i="1" s="1"/>
  <c r="Y590" i="1" s="1"/>
  <c r="Y591" i="1" s="1"/>
  <c r="Y592" i="1" s="1"/>
  <c r="Y593" i="1" s="1"/>
  <c r="Y594" i="1" s="1"/>
  <c r="Y595" i="1" s="1"/>
  <c r="Y596" i="1" s="1"/>
  <c r="Y597" i="1" s="1"/>
  <c r="Y598" i="1" s="1"/>
  <c r="Y599" i="1" s="1"/>
  <c r="Y600" i="1" s="1"/>
  <c r="Y601" i="1" s="1"/>
  <c r="Y602" i="1" s="1"/>
  <c r="Y603" i="1" s="1"/>
  <c r="Y604" i="1" s="1"/>
  <c r="Y605" i="1" s="1"/>
  <c r="Y606" i="1" s="1"/>
  <c r="Y607" i="1" s="1"/>
  <c r="Y608" i="1" s="1"/>
  <c r="Y609" i="1" s="1"/>
  <c r="Y610" i="1" s="1"/>
  <c r="Y611" i="1" s="1"/>
  <c r="Y612" i="1" s="1"/>
  <c r="Y613" i="1" s="1"/>
  <c r="Y614" i="1" s="1"/>
  <c r="Y615" i="1" s="1"/>
  <c r="Y616" i="1" s="1"/>
  <c r="Y617" i="1" s="1"/>
  <c r="Y618" i="1" s="1"/>
  <c r="Y619" i="1" s="1"/>
  <c r="Y620" i="1" s="1"/>
  <c r="Y621" i="1" s="1"/>
  <c r="Y622" i="1" s="1"/>
  <c r="Y623" i="1" s="1"/>
  <c r="Y624" i="1" s="1"/>
  <c r="Y625" i="1" s="1"/>
  <c r="Y626" i="1" s="1"/>
  <c r="Y627" i="1" s="1"/>
  <c r="Y628" i="1" s="1"/>
  <c r="Y629" i="1" s="1"/>
  <c r="Y630" i="1" s="1"/>
  <c r="Y631" i="1" s="1"/>
  <c r="Y632" i="1" s="1"/>
  <c r="Y633" i="1" s="1"/>
  <c r="Y634" i="1" s="1"/>
  <c r="Y635" i="1" s="1"/>
  <c r="Y636" i="1" s="1"/>
  <c r="Y637" i="1" s="1"/>
  <c r="Y638" i="1" s="1"/>
  <c r="Y639" i="1" s="1"/>
  <c r="Y640" i="1" s="1"/>
  <c r="Y641" i="1" s="1"/>
  <c r="Y642" i="1" s="1"/>
  <c r="Y643" i="1" s="1"/>
  <c r="Y644" i="1" s="1"/>
  <c r="Y645" i="1" s="1"/>
  <c r="Y646" i="1" s="1"/>
  <c r="Y647" i="1" s="1"/>
  <c r="Y648" i="1" s="1"/>
  <c r="Y649" i="1" s="1"/>
  <c r="Y650" i="1" s="1"/>
  <c r="Y651" i="1" s="1"/>
  <c r="Y652" i="1" s="1"/>
  <c r="Y653" i="1" s="1"/>
  <c r="Y654" i="1" s="1"/>
  <c r="Y655" i="1" s="1"/>
  <c r="Y656" i="1" s="1"/>
  <c r="Y657" i="1" s="1"/>
  <c r="Y658" i="1" s="1"/>
  <c r="Y659" i="1" s="1"/>
  <c r="Y660" i="1" s="1"/>
  <c r="Y661" i="1" s="1"/>
  <c r="Y662" i="1" s="1"/>
  <c r="Y663" i="1" s="1"/>
  <c r="Y664" i="1" s="1"/>
  <c r="Y665" i="1" s="1"/>
  <c r="Y666" i="1" s="1"/>
  <c r="Y667" i="1" s="1"/>
  <c r="Y668" i="1" s="1"/>
  <c r="Y669" i="1" s="1"/>
  <c r="Y670" i="1" s="1"/>
  <c r="Y671" i="1" s="1"/>
  <c r="Y672" i="1" s="1"/>
  <c r="Y673" i="1" s="1"/>
  <c r="Y674" i="1" s="1"/>
  <c r="Y675" i="1" s="1"/>
  <c r="Y676" i="1" s="1"/>
  <c r="Y677" i="1" s="1"/>
  <c r="Y678" i="1" s="1"/>
  <c r="Y679" i="1" s="1"/>
  <c r="Y680" i="1" s="1"/>
  <c r="Y681" i="1" s="1"/>
  <c r="Y682" i="1" s="1"/>
  <c r="Y683" i="1" s="1"/>
  <c r="Y684" i="1" s="1"/>
  <c r="Y685" i="1" s="1"/>
  <c r="Y686" i="1" s="1"/>
  <c r="Y687" i="1" s="1"/>
  <c r="Y688" i="1" s="1"/>
  <c r="Y689" i="1" s="1"/>
  <c r="Y690" i="1" s="1"/>
  <c r="Y691" i="1" s="1"/>
  <c r="Y692" i="1" s="1"/>
  <c r="Y693" i="1" s="1"/>
  <c r="Y694" i="1" s="1"/>
  <c r="Y695" i="1" s="1"/>
  <c r="Y696" i="1" s="1"/>
  <c r="Y697" i="1" s="1"/>
  <c r="Y698" i="1" s="1"/>
  <c r="Y699" i="1" s="1"/>
  <c r="Y700" i="1" s="1"/>
  <c r="Y701" i="1" s="1"/>
  <c r="Y702" i="1" s="1"/>
  <c r="Y703" i="1" s="1"/>
  <c r="Y704" i="1" s="1"/>
  <c r="Y705" i="1" s="1"/>
  <c r="Y706" i="1" s="1"/>
  <c r="Y707" i="1" s="1"/>
  <c r="Y708" i="1" s="1"/>
  <c r="Y709" i="1" s="1"/>
  <c r="Y710" i="1" s="1"/>
  <c r="Y711" i="1" s="1"/>
  <c r="Y712" i="1" s="1"/>
  <c r="Y713" i="1" s="1"/>
  <c r="Y714" i="1" s="1"/>
  <c r="Y715" i="1" s="1"/>
  <c r="Y716" i="1" s="1"/>
  <c r="Y717" i="1" s="1"/>
  <c r="Y718" i="1" s="1"/>
  <c r="Y719" i="1" s="1"/>
  <c r="Y720" i="1" s="1"/>
  <c r="Y721" i="1" s="1"/>
  <c r="Y722" i="1" s="1"/>
  <c r="Y723" i="1" s="1"/>
  <c r="Y724" i="1" s="1"/>
  <c r="Y725" i="1" s="1"/>
  <c r="Y726" i="1" s="1"/>
  <c r="Y727" i="1" s="1"/>
  <c r="Y728" i="1" s="1"/>
  <c r="Y729" i="1" s="1"/>
  <c r="Y730" i="1" s="1"/>
  <c r="Y731" i="1" s="1"/>
  <c r="Y732" i="1" s="1"/>
  <c r="Y733" i="1" s="1"/>
  <c r="Y734" i="1" s="1"/>
  <c r="Y735" i="1" s="1"/>
  <c r="Y736" i="1" s="1"/>
  <c r="Y737" i="1" s="1"/>
  <c r="Y738" i="1" s="1"/>
  <c r="Y739" i="1" s="1"/>
  <c r="Y740" i="1" s="1"/>
  <c r="Y741" i="1" s="1"/>
  <c r="Y742" i="1" s="1"/>
  <c r="Y743" i="1" s="1"/>
  <c r="Y744" i="1" s="1"/>
  <c r="Y745" i="1" s="1"/>
  <c r="Y746" i="1" s="1"/>
  <c r="Y747" i="1" s="1"/>
  <c r="Y748" i="1" s="1"/>
  <c r="Y749" i="1" s="1"/>
  <c r="Y750" i="1" s="1"/>
  <c r="Y751" i="1" s="1"/>
  <c r="Y752" i="1" s="1"/>
  <c r="Y753" i="1" s="1"/>
  <c r="Y754" i="1" s="1"/>
  <c r="Y755" i="1" s="1"/>
  <c r="Y756" i="1" s="1"/>
  <c r="Y757" i="1" s="1"/>
  <c r="Y758" i="1" s="1"/>
  <c r="Y759" i="1" s="1"/>
  <c r="Y760" i="1" s="1"/>
  <c r="Y761" i="1" s="1"/>
  <c r="Y762" i="1" s="1"/>
  <c r="Y763" i="1" s="1"/>
  <c r="Y764" i="1" s="1"/>
  <c r="Y765" i="1" s="1"/>
  <c r="Y766" i="1" s="1"/>
  <c r="Y767" i="1" s="1"/>
  <c r="Y768" i="1" s="1"/>
  <c r="Y769" i="1" s="1"/>
  <c r="Y770" i="1" s="1"/>
  <c r="Y771" i="1" s="1"/>
  <c r="Y772" i="1" s="1"/>
  <c r="Y773" i="1" s="1"/>
  <c r="Y774" i="1" s="1"/>
  <c r="Y775" i="1" s="1"/>
  <c r="Y776" i="1" s="1"/>
  <c r="Y777" i="1" s="1"/>
  <c r="Y778" i="1" s="1"/>
  <c r="Y779" i="1" s="1"/>
  <c r="Y780" i="1" s="1"/>
  <c r="Y781" i="1" s="1"/>
  <c r="Y782" i="1" s="1"/>
  <c r="Y783" i="1" s="1"/>
  <c r="Y784" i="1" s="1"/>
  <c r="Y785" i="1" s="1"/>
  <c r="Y786" i="1" s="1"/>
  <c r="Y787" i="1" s="1"/>
  <c r="Y788" i="1" s="1"/>
  <c r="Y789" i="1" s="1"/>
  <c r="Y790" i="1" s="1"/>
  <c r="Y791" i="1" s="1"/>
  <c r="Y792" i="1" s="1"/>
  <c r="Y793" i="1" s="1"/>
  <c r="Y794" i="1" s="1"/>
  <c r="Y795" i="1" s="1"/>
  <c r="Y796" i="1" s="1"/>
  <c r="Y797" i="1" s="1"/>
  <c r="Y798" i="1" s="1"/>
  <c r="Y799" i="1" s="1"/>
  <c r="Y800" i="1" s="1"/>
  <c r="Y801" i="1" s="1"/>
  <c r="Y802" i="1" s="1"/>
  <c r="Y803" i="1" s="1"/>
  <c r="Y804" i="1" s="1"/>
  <c r="Y805" i="1" s="1"/>
  <c r="Y806" i="1" s="1"/>
  <c r="Y807" i="1" s="1"/>
  <c r="Y808" i="1" s="1"/>
  <c r="Y809" i="1" s="1"/>
  <c r="Y810" i="1" s="1"/>
  <c r="Y811" i="1" s="1"/>
  <c r="Y812" i="1" s="1"/>
  <c r="Y813" i="1" s="1"/>
  <c r="Y814" i="1" s="1"/>
  <c r="Y815" i="1" s="1"/>
  <c r="Y816" i="1" s="1"/>
  <c r="Y817" i="1" s="1"/>
  <c r="Y818" i="1" s="1"/>
  <c r="Y819" i="1" s="1"/>
  <c r="Y820" i="1" s="1"/>
  <c r="Y821" i="1" s="1"/>
  <c r="Y822" i="1" s="1"/>
  <c r="Y823" i="1" s="1"/>
  <c r="Y824" i="1" s="1"/>
  <c r="Y825" i="1" s="1"/>
  <c r="Y826" i="1" s="1"/>
  <c r="Y827" i="1" s="1"/>
  <c r="Y828" i="1" s="1"/>
  <c r="Y829" i="1" s="1"/>
  <c r="Y830" i="1" s="1"/>
  <c r="Y831" i="1" s="1"/>
  <c r="Y832" i="1" s="1"/>
  <c r="Y833" i="1" s="1"/>
  <c r="Y834" i="1" s="1"/>
  <c r="Y835" i="1" s="1"/>
  <c r="Y836" i="1" s="1"/>
  <c r="Y837" i="1" s="1"/>
  <c r="Y838" i="1" s="1"/>
  <c r="Y839" i="1" s="1"/>
  <c r="Y840" i="1" s="1"/>
  <c r="Y841" i="1" s="1"/>
  <c r="Y842" i="1" s="1"/>
  <c r="Y843" i="1" s="1"/>
  <c r="Y844" i="1" s="1"/>
  <c r="Y845" i="1" s="1"/>
  <c r="Y846" i="1" s="1"/>
  <c r="Y847" i="1" s="1"/>
  <c r="Y848" i="1" s="1"/>
  <c r="Y849" i="1" s="1"/>
  <c r="Y850" i="1" s="1"/>
  <c r="Y851" i="1" s="1"/>
  <c r="Y852" i="1" s="1"/>
  <c r="Y853" i="1" s="1"/>
  <c r="Y854" i="1" s="1"/>
  <c r="Y855" i="1" s="1"/>
  <c r="Y856" i="1" s="1"/>
  <c r="Y857" i="1" s="1"/>
  <c r="Y858" i="1" s="1"/>
  <c r="Y859" i="1" s="1"/>
  <c r="Y860" i="1" s="1"/>
  <c r="Y861" i="1" s="1"/>
  <c r="Y862" i="1" s="1"/>
  <c r="Y863" i="1" s="1"/>
  <c r="Y864" i="1" s="1"/>
  <c r="Y865" i="1" s="1"/>
  <c r="Y866" i="1" s="1"/>
  <c r="Y867" i="1" s="1"/>
  <c r="Y868" i="1" s="1"/>
  <c r="Y869" i="1" s="1"/>
  <c r="Y870" i="1" s="1"/>
  <c r="Y871" i="1" s="1"/>
  <c r="Y872" i="1" s="1"/>
  <c r="Y873" i="1" s="1"/>
  <c r="Y874" i="1" s="1"/>
  <c r="Y875" i="1" s="1"/>
  <c r="Y876" i="1" s="1"/>
  <c r="Y877" i="1" s="1"/>
  <c r="Y878" i="1" s="1"/>
  <c r="Y879" i="1" s="1"/>
  <c r="Y880" i="1" s="1"/>
  <c r="Y881" i="1" s="1"/>
  <c r="Y882" i="1" s="1"/>
  <c r="Y883" i="1" s="1"/>
  <c r="Y884" i="1" s="1"/>
  <c r="Y885" i="1" s="1"/>
  <c r="Y886" i="1" s="1"/>
  <c r="Y887" i="1" s="1"/>
  <c r="Y888" i="1" s="1"/>
  <c r="Y889" i="1" s="1"/>
  <c r="Y890" i="1" s="1"/>
  <c r="Y891" i="1" s="1"/>
  <c r="Y892" i="1" s="1"/>
  <c r="Y893" i="1" s="1"/>
  <c r="Y894" i="1" s="1"/>
  <c r="Y895" i="1" s="1"/>
  <c r="Y896" i="1" s="1"/>
  <c r="Y897" i="1" s="1"/>
  <c r="Y898" i="1" s="1"/>
  <c r="Y899" i="1" s="1"/>
  <c r="Y900" i="1" s="1"/>
  <c r="Y901" i="1" s="1"/>
  <c r="Y902" i="1" s="1"/>
  <c r="Y903" i="1" s="1"/>
  <c r="Y904" i="1" s="1"/>
  <c r="Y905" i="1" s="1"/>
  <c r="Y906" i="1" s="1"/>
  <c r="Y907" i="1" s="1"/>
  <c r="Y908" i="1" s="1"/>
  <c r="Y909" i="1" s="1"/>
  <c r="Y910" i="1" s="1"/>
  <c r="Y911" i="1" s="1"/>
  <c r="Y912" i="1" s="1"/>
  <c r="Y913" i="1" s="1"/>
  <c r="Y914" i="1" s="1"/>
  <c r="Y915" i="1" s="1"/>
  <c r="Y916" i="1" s="1"/>
  <c r="Y917" i="1" s="1"/>
  <c r="Y918" i="1" s="1"/>
  <c r="Y919" i="1" s="1"/>
  <c r="Y920" i="1" s="1"/>
  <c r="Y921" i="1" s="1"/>
  <c r="Y922" i="1" s="1"/>
  <c r="Y923" i="1" s="1"/>
  <c r="Y924" i="1" s="1"/>
  <c r="Y925" i="1" s="1"/>
  <c r="Y926" i="1" s="1"/>
  <c r="Y927" i="1" s="1"/>
  <c r="Y928" i="1" s="1"/>
  <c r="Y929" i="1" s="1"/>
  <c r="Y930" i="1" s="1"/>
  <c r="Y931" i="1" s="1"/>
  <c r="Y932" i="1" s="1"/>
  <c r="Y933" i="1" s="1"/>
  <c r="Y934" i="1" s="1"/>
  <c r="Y935" i="1" s="1"/>
  <c r="Y936" i="1" s="1"/>
  <c r="Y937" i="1" s="1"/>
  <c r="Y938" i="1" s="1"/>
  <c r="Y939" i="1" s="1"/>
  <c r="Y940" i="1" s="1"/>
  <c r="Y941" i="1" s="1"/>
  <c r="Y942" i="1" s="1"/>
  <c r="Y943" i="1" s="1"/>
  <c r="Y944" i="1" s="1"/>
  <c r="Y945" i="1" s="1"/>
  <c r="Y946" i="1" s="1"/>
  <c r="Y947" i="1" s="1"/>
  <c r="Y948" i="1" s="1"/>
  <c r="Y949" i="1" s="1"/>
  <c r="Y950" i="1" s="1"/>
  <c r="Y951" i="1" s="1"/>
  <c r="Y952" i="1" s="1"/>
  <c r="Y953" i="1" s="1"/>
  <c r="Y954" i="1" s="1"/>
  <c r="Y955" i="1" s="1"/>
  <c r="Y956" i="1" s="1"/>
  <c r="Y957" i="1" s="1"/>
  <c r="Y958" i="1" s="1"/>
  <c r="Y959" i="1" s="1"/>
  <c r="Y960" i="1" s="1"/>
  <c r="Y961" i="1" s="1"/>
  <c r="Y962" i="1" s="1"/>
  <c r="Y963" i="1" s="1"/>
  <c r="Y964" i="1" s="1"/>
  <c r="Y965" i="1" s="1"/>
  <c r="Y966" i="1" s="1"/>
  <c r="Y967" i="1" s="1"/>
  <c r="Y968" i="1" s="1"/>
  <c r="Y969" i="1" s="1"/>
  <c r="Y970" i="1" s="1"/>
  <c r="Y971" i="1" s="1"/>
  <c r="Y972" i="1" s="1"/>
  <c r="Y973" i="1" s="1"/>
  <c r="Y974" i="1" s="1"/>
  <c r="Y975" i="1" s="1"/>
  <c r="Y976" i="1" s="1"/>
  <c r="Y977" i="1" s="1"/>
  <c r="Y978" i="1" s="1"/>
  <c r="Y979" i="1" s="1"/>
  <c r="Y980" i="1" s="1"/>
  <c r="Y981" i="1" s="1"/>
  <c r="Y982" i="1" s="1"/>
  <c r="Y983" i="1" s="1"/>
  <c r="Y984" i="1" s="1"/>
  <c r="Y985" i="1" s="1"/>
  <c r="Y986" i="1" s="1"/>
  <c r="Y987" i="1" s="1"/>
  <c r="Y988" i="1" s="1"/>
  <c r="Y989" i="1" s="1"/>
  <c r="Y990" i="1" s="1"/>
  <c r="Y991" i="1" s="1"/>
  <c r="Y992" i="1" s="1"/>
  <c r="Y993" i="1" s="1"/>
  <c r="Y994" i="1" s="1"/>
  <c r="Y995" i="1" s="1"/>
  <c r="Y996" i="1" s="1"/>
  <c r="Y997" i="1" s="1"/>
  <c r="Y998" i="1" s="1"/>
  <c r="Y999" i="1" s="1"/>
  <c r="Y1000" i="1" s="1"/>
  <c r="Y1001" i="1" s="1"/>
  <c r="Y1002" i="1" s="1"/>
  <c r="Y1003" i="1" s="1"/>
  <c r="Y1004" i="1" s="1"/>
  <c r="Y1005" i="1" s="1"/>
  <c r="Y1006" i="1" s="1"/>
  <c r="Y1007" i="1" s="1"/>
  <c r="Y1008" i="1" s="1"/>
  <c r="Y1009" i="1" s="1"/>
  <c r="Y1010" i="1" s="1"/>
  <c r="Y1011" i="1" s="1"/>
  <c r="Y1012" i="1" s="1"/>
  <c r="Y1013" i="1" s="1"/>
  <c r="Y1014" i="1" s="1"/>
  <c r="Y1015" i="1" s="1"/>
  <c r="Y1016" i="1" s="1"/>
  <c r="Y1017" i="1" s="1"/>
  <c r="Y1018" i="1" s="1"/>
  <c r="Y1019" i="1" s="1"/>
  <c r="Y1020" i="1" s="1"/>
  <c r="Y1021" i="1" s="1"/>
  <c r="Y1022" i="1" s="1"/>
  <c r="Y1023" i="1" s="1"/>
  <c r="Y1024" i="1" s="1"/>
  <c r="Y1025" i="1" s="1"/>
  <c r="Y1026" i="1" s="1"/>
  <c r="Y1027" i="1" s="1"/>
  <c r="Y1028" i="1" s="1"/>
  <c r="Y1029" i="1" s="1"/>
  <c r="Y1030" i="1" s="1"/>
  <c r="Y1031" i="1" s="1"/>
  <c r="Y1032" i="1" s="1"/>
  <c r="Y1033" i="1" s="1"/>
  <c r="Y1034" i="1" s="1"/>
  <c r="Y1035" i="1" s="1"/>
  <c r="Y1036" i="1" s="1"/>
  <c r="Y1037" i="1" s="1"/>
  <c r="Y1038" i="1" s="1"/>
  <c r="Y1039" i="1" s="1"/>
  <c r="Y1040" i="1" s="1"/>
  <c r="Y1041" i="1" s="1"/>
  <c r="Y1042" i="1" s="1"/>
  <c r="Y1043" i="1" s="1"/>
  <c r="Y1044" i="1" s="1"/>
  <c r="Y1045" i="1" s="1"/>
  <c r="Y1046" i="1" s="1"/>
  <c r="Y1047" i="1" s="1"/>
  <c r="Y1048" i="1" s="1"/>
  <c r="Y1049" i="1" s="1"/>
  <c r="Y1050" i="1" s="1"/>
  <c r="Y1051" i="1" s="1"/>
  <c r="Y1052" i="1" s="1"/>
  <c r="Y1053" i="1" s="1"/>
  <c r="Y1054" i="1" s="1"/>
  <c r="Y1055" i="1" s="1"/>
  <c r="Y1056" i="1" s="1"/>
  <c r="Y1057" i="1" s="1"/>
  <c r="Y1058" i="1" s="1"/>
  <c r="Y1059" i="1" s="1"/>
  <c r="Y1060" i="1" s="1"/>
  <c r="Y1061" i="1" s="1"/>
  <c r="Y1062" i="1" s="1"/>
  <c r="Y1063" i="1" s="1"/>
  <c r="Y1064" i="1" s="1"/>
  <c r="Y1065" i="1" s="1"/>
  <c r="Y1066" i="1" s="1"/>
  <c r="Y1067" i="1" s="1"/>
  <c r="Y1068" i="1" s="1"/>
  <c r="Y1069" i="1" s="1"/>
  <c r="Y1070" i="1" s="1"/>
  <c r="Y1071" i="1" s="1"/>
  <c r="Y1072" i="1" s="1"/>
  <c r="Y1073" i="1" s="1"/>
  <c r="Y1074" i="1" s="1"/>
  <c r="Y1075" i="1" s="1"/>
  <c r="Y1076" i="1" s="1"/>
  <c r="Y1077" i="1" s="1"/>
  <c r="Y1078" i="1" s="1"/>
  <c r="Y1079" i="1" s="1"/>
  <c r="Y1080" i="1" s="1"/>
  <c r="Y1081" i="1" s="1"/>
  <c r="Y1082" i="1" s="1"/>
  <c r="Y1083" i="1" s="1"/>
  <c r="Y1084" i="1" s="1"/>
  <c r="Y1085" i="1" s="1"/>
  <c r="Y1086" i="1" s="1"/>
  <c r="Y1087" i="1" s="1"/>
  <c r="Y1088" i="1" s="1"/>
  <c r="Y1089" i="1" s="1"/>
  <c r="Y1090" i="1" s="1"/>
  <c r="Y1091" i="1" s="1"/>
  <c r="Y1092" i="1" s="1"/>
  <c r="Y1093" i="1" s="1"/>
  <c r="Y1094" i="1" s="1"/>
  <c r="Y1095" i="1" s="1"/>
  <c r="Y1096" i="1" s="1"/>
  <c r="Y1097" i="1" s="1"/>
  <c r="Y1098" i="1" s="1"/>
  <c r="Y1099" i="1" s="1"/>
  <c r="Y1100" i="1" s="1"/>
  <c r="Y1101" i="1" s="1"/>
  <c r="Y1102" i="1" s="1"/>
  <c r="Y1103" i="1" s="1"/>
  <c r="Y1104" i="1" s="1"/>
  <c r="Y1105" i="1" s="1"/>
  <c r="Y1106" i="1" s="1"/>
  <c r="Y1107" i="1" s="1"/>
  <c r="Y1108" i="1" s="1"/>
  <c r="Y1109" i="1" s="1"/>
  <c r="Y1110" i="1" s="1"/>
  <c r="Y1111" i="1" s="1"/>
  <c r="Y1112" i="1" s="1"/>
  <c r="Y1113" i="1" s="1"/>
  <c r="Y1114" i="1" s="1"/>
  <c r="Y1115" i="1" s="1"/>
  <c r="Y1116" i="1" s="1"/>
  <c r="Y1117" i="1" s="1"/>
  <c r="Y1118" i="1" s="1"/>
  <c r="Y1119" i="1" s="1"/>
  <c r="Y1120" i="1" s="1"/>
  <c r="Y1121" i="1" s="1"/>
  <c r="Y1122" i="1" s="1"/>
  <c r="Y1123" i="1" s="1"/>
  <c r="Y1124" i="1" s="1"/>
  <c r="Y1125" i="1" s="1"/>
  <c r="Y1126" i="1" s="1"/>
  <c r="Y1127" i="1" s="1"/>
  <c r="Y1128" i="1" s="1"/>
  <c r="Y1129" i="1" s="1"/>
  <c r="Y1130" i="1" s="1"/>
  <c r="Y1131" i="1" s="1"/>
  <c r="Y1132" i="1" s="1"/>
  <c r="Y1133" i="1" s="1"/>
  <c r="Y1134" i="1" s="1"/>
  <c r="Y1135" i="1" s="1"/>
  <c r="Y1136" i="1" s="1"/>
  <c r="Y1137" i="1" s="1"/>
  <c r="Y1138" i="1" s="1"/>
  <c r="Y1139" i="1" s="1"/>
  <c r="Y1140" i="1" s="1"/>
  <c r="Y1141" i="1" s="1"/>
  <c r="Y1142" i="1" s="1"/>
  <c r="Y1143" i="1" s="1"/>
  <c r="Y1144" i="1" s="1"/>
  <c r="Y1145" i="1" s="1"/>
  <c r="Y1146" i="1" s="1"/>
  <c r="Y1147" i="1" s="1"/>
  <c r="Y1148" i="1" s="1"/>
  <c r="Y1149" i="1" s="1"/>
  <c r="Y1150" i="1" s="1"/>
  <c r="Y1151" i="1" s="1"/>
  <c r="Y1152" i="1" s="1"/>
  <c r="Y1153" i="1" s="1"/>
  <c r="Y1154" i="1" s="1"/>
  <c r="Y1155" i="1" s="1"/>
  <c r="Y1156" i="1" s="1"/>
  <c r="Y1157" i="1" s="1"/>
  <c r="Y1158" i="1" s="1"/>
  <c r="Y1159" i="1" s="1"/>
  <c r="Y1160" i="1" s="1"/>
  <c r="Y1161" i="1" s="1"/>
  <c r="Y1162" i="1" s="1"/>
  <c r="Y1163" i="1" s="1"/>
  <c r="Y1164" i="1" s="1"/>
  <c r="Y1165" i="1" s="1"/>
  <c r="Y1166" i="1" s="1"/>
  <c r="Y1167" i="1" s="1"/>
  <c r="Y1168" i="1" s="1"/>
  <c r="Y1169" i="1" s="1"/>
  <c r="Y1170" i="1" s="1"/>
  <c r="Y1171" i="1" s="1"/>
  <c r="Y1172" i="1" s="1"/>
  <c r="Y1173" i="1" s="1"/>
  <c r="Y1174" i="1" s="1"/>
  <c r="Y1175" i="1" s="1"/>
  <c r="Y1176" i="1" s="1"/>
  <c r="Y1177" i="1" s="1"/>
  <c r="Y1178" i="1" s="1"/>
  <c r="Y1179" i="1" s="1"/>
  <c r="Y1180" i="1" s="1"/>
  <c r="Y1181" i="1" s="1"/>
  <c r="Y1182" i="1" s="1"/>
  <c r="Y1183" i="1" s="1"/>
  <c r="Y1184" i="1" s="1"/>
  <c r="Y1185" i="1" s="1"/>
  <c r="Y1186" i="1" s="1"/>
  <c r="Y1187" i="1" s="1"/>
  <c r="Y1188" i="1" s="1"/>
  <c r="Y1189" i="1" s="1"/>
  <c r="Y1190" i="1" s="1"/>
  <c r="Y1191" i="1" s="1"/>
  <c r="Y1192" i="1" s="1"/>
  <c r="Y1193" i="1" s="1"/>
  <c r="Y1194" i="1" s="1"/>
  <c r="Y1195" i="1" s="1"/>
  <c r="Y1196" i="1" s="1"/>
  <c r="Y1197" i="1" s="1"/>
  <c r="Y1198" i="1" s="1"/>
  <c r="Y1199" i="1" s="1"/>
  <c r="Y1200" i="1" s="1"/>
  <c r="Y1201" i="1" s="1"/>
  <c r="Y1202" i="1" s="1"/>
  <c r="Y1203" i="1" s="1"/>
  <c r="Y1204" i="1" s="1"/>
  <c r="Y1205" i="1" s="1"/>
  <c r="Y1206" i="1" s="1"/>
  <c r="Y1207" i="1" s="1"/>
  <c r="Y1208" i="1" s="1"/>
  <c r="Y1209" i="1" s="1"/>
  <c r="Y1210" i="1" s="1"/>
  <c r="Y1211" i="1" s="1"/>
  <c r="Y1212" i="1" s="1"/>
  <c r="Y1213" i="1" s="1"/>
  <c r="Y1214" i="1" s="1"/>
  <c r="Y1215" i="1" s="1"/>
  <c r="Y1216" i="1" s="1"/>
  <c r="Y1217" i="1" s="1"/>
  <c r="Y1218" i="1" s="1"/>
  <c r="Y1219" i="1" s="1"/>
  <c r="Y1220" i="1" s="1"/>
  <c r="Y1221" i="1" s="1"/>
  <c r="Y1222" i="1" s="1"/>
  <c r="Y1223" i="1" s="1"/>
  <c r="Y1224" i="1" s="1"/>
  <c r="Y1225" i="1" s="1"/>
  <c r="Y1226" i="1" s="1"/>
  <c r="Y1227" i="1" s="1"/>
  <c r="Y1228" i="1" s="1"/>
  <c r="Y1229" i="1" s="1"/>
  <c r="Y1230" i="1" s="1"/>
  <c r="Y1231" i="1" s="1"/>
  <c r="Y1232" i="1" s="1"/>
  <c r="Y1233" i="1" s="1"/>
  <c r="Y1234" i="1" s="1"/>
  <c r="Y1235" i="1" s="1"/>
  <c r="Y1236" i="1" s="1"/>
  <c r="Y1237" i="1" s="1"/>
  <c r="Y1238" i="1" s="1"/>
  <c r="Y1239" i="1" s="1"/>
  <c r="Y1240" i="1" s="1"/>
  <c r="Y1241" i="1" s="1"/>
  <c r="Y1242" i="1" s="1"/>
  <c r="Y1243" i="1" s="1"/>
  <c r="Y1244" i="1" s="1"/>
  <c r="Y1245" i="1" s="1"/>
  <c r="Y1246" i="1" s="1"/>
  <c r="Y1247" i="1" s="1"/>
  <c r="Y1248" i="1" s="1"/>
  <c r="Y1249" i="1" s="1"/>
  <c r="Y1250" i="1" s="1"/>
  <c r="Y1251" i="1" s="1"/>
  <c r="Y1252" i="1" s="1"/>
  <c r="Y1253" i="1" s="1"/>
  <c r="Y1254" i="1" s="1"/>
  <c r="Y1255" i="1" s="1"/>
  <c r="Y1256" i="1" s="1"/>
  <c r="Y1257" i="1" s="1"/>
  <c r="AB207" i="1"/>
  <c r="AB208" i="1" s="1"/>
  <c r="AB209" i="1" s="1"/>
  <c r="AB210" i="1" s="1"/>
  <c r="AB211" i="1" s="1"/>
  <c r="AB212" i="1" s="1"/>
  <c r="AB213" i="1" s="1"/>
  <c r="AB214" i="1" s="1"/>
  <c r="AB215" i="1" s="1"/>
  <c r="AB216" i="1" s="1"/>
  <c r="AB217" i="1" s="1"/>
  <c r="AB218" i="1" s="1"/>
  <c r="AB219" i="1" s="1"/>
  <c r="AB220" i="1" s="1"/>
  <c r="AB221" i="1" s="1"/>
  <c r="AB222" i="1" s="1"/>
  <c r="AB223" i="1" s="1"/>
  <c r="AB224" i="1" s="1"/>
  <c r="AB225" i="1" s="1"/>
  <c r="AB226" i="1" s="1"/>
  <c r="AB227" i="1" s="1"/>
  <c r="AB228" i="1" s="1"/>
  <c r="AB229" i="1" s="1"/>
  <c r="AB230" i="1" s="1"/>
  <c r="AB231" i="1" s="1"/>
  <c r="AB232" i="1" s="1"/>
  <c r="AB233" i="1" s="1"/>
  <c r="AB234" i="1" s="1"/>
  <c r="AB235" i="1" s="1"/>
  <c r="AB236" i="1" s="1"/>
  <c r="AB237" i="1" s="1"/>
  <c r="AB238" i="1" s="1"/>
  <c r="AB239" i="1" s="1"/>
  <c r="AB240" i="1" s="1"/>
  <c r="AB241" i="1" s="1"/>
  <c r="AB242" i="1" s="1"/>
  <c r="AB243" i="1" s="1"/>
  <c r="AB244" i="1" s="1"/>
  <c r="AB245" i="1" s="1"/>
  <c r="AB246" i="1" s="1"/>
  <c r="AB247" i="1" s="1"/>
  <c r="AB248" i="1" s="1"/>
  <c r="AB249" i="1" s="1"/>
  <c r="AB250" i="1" s="1"/>
  <c r="AB251" i="1" s="1"/>
  <c r="AB252" i="1" s="1"/>
  <c r="AB253" i="1" s="1"/>
  <c r="AB254" i="1" s="1"/>
  <c r="AB255" i="1" s="1"/>
  <c r="AB256" i="1" s="1"/>
  <c r="AB257" i="1" s="1"/>
  <c r="AB258" i="1" s="1"/>
  <c r="AB259" i="1" s="1"/>
  <c r="AB260" i="1" s="1"/>
  <c r="AB261" i="1" s="1"/>
  <c r="AB262" i="1" s="1"/>
  <c r="AB263" i="1" s="1"/>
  <c r="AB264" i="1" s="1"/>
  <c r="AB265" i="1" s="1"/>
  <c r="AB266" i="1" s="1"/>
  <c r="AB267" i="1" s="1"/>
  <c r="AB268" i="1" s="1"/>
  <c r="AB269" i="1" s="1"/>
  <c r="AB270" i="1" s="1"/>
  <c r="AB271" i="1" s="1"/>
  <c r="AB272" i="1" s="1"/>
  <c r="AB273" i="1" s="1"/>
  <c r="AB274" i="1" s="1"/>
  <c r="AB275" i="1" s="1"/>
  <c r="AB276" i="1" s="1"/>
  <c r="AB277" i="1" s="1"/>
  <c r="AB278" i="1" s="1"/>
  <c r="AB279" i="1" s="1"/>
  <c r="AB280" i="1" s="1"/>
  <c r="AB281" i="1" s="1"/>
  <c r="AB282" i="1" s="1"/>
  <c r="AB283" i="1" s="1"/>
  <c r="AB284" i="1" s="1"/>
  <c r="AB285" i="1" s="1"/>
  <c r="AB286" i="1" s="1"/>
  <c r="AB287" i="1" s="1"/>
  <c r="AB288" i="1" s="1"/>
  <c r="AB289" i="1" s="1"/>
  <c r="AB290" i="1" s="1"/>
  <c r="AB291" i="1" s="1"/>
  <c r="AB292" i="1" s="1"/>
  <c r="AB293" i="1" s="1"/>
  <c r="AB294" i="1" s="1"/>
  <c r="AB295" i="1" s="1"/>
  <c r="AB296" i="1" s="1"/>
  <c r="AB297" i="1" s="1"/>
  <c r="AB298" i="1" s="1"/>
  <c r="AB299" i="1" s="1"/>
  <c r="AB300" i="1" s="1"/>
  <c r="AB301" i="1" s="1"/>
  <c r="AB302" i="1" s="1"/>
  <c r="AB303" i="1" s="1"/>
  <c r="AB304" i="1" s="1"/>
  <c r="AB305" i="1" s="1"/>
  <c r="AB306" i="1" s="1"/>
  <c r="AB307" i="1" s="1"/>
  <c r="AB308" i="1" s="1"/>
  <c r="AB309" i="1" s="1"/>
  <c r="AB310" i="1" s="1"/>
  <c r="AB311" i="1" s="1"/>
  <c r="AB312" i="1" s="1"/>
  <c r="AB313" i="1" s="1"/>
  <c r="AB314" i="1" s="1"/>
  <c r="AB315" i="1" s="1"/>
  <c r="AB316" i="1" s="1"/>
  <c r="AB317" i="1" s="1"/>
  <c r="AB318" i="1" s="1"/>
  <c r="AB319" i="1" s="1"/>
  <c r="AB320" i="1" s="1"/>
  <c r="AB321" i="1" s="1"/>
  <c r="AB322" i="1" s="1"/>
  <c r="AB323" i="1" s="1"/>
  <c r="AB324" i="1" s="1"/>
  <c r="AB325" i="1" s="1"/>
  <c r="AB326" i="1" s="1"/>
  <c r="AB327" i="1" s="1"/>
  <c r="AB328" i="1" s="1"/>
  <c r="AB329" i="1" s="1"/>
  <c r="AB330" i="1" s="1"/>
  <c r="AB331" i="1" s="1"/>
  <c r="AB332" i="1" s="1"/>
  <c r="AB333" i="1" s="1"/>
  <c r="AB334" i="1" s="1"/>
  <c r="AB335" i="1" s="1"/>
  <c r="AB336" i="1" s="1"/>
  <c r="AB337" i="1" s="1"/>
  <c r="AB338" i="1" s="1"/>
  <c r="AB339" i="1" s="1"/>
  <c r="AB340" i="1" s="1"/>
  <c r="AB341" i="1" s="1"/>
  <c r="AB342" i="1" s="1"/>
  <c r="AB343" i="1" s="1"/>
  <c r="AB344" i="1" s="1"/>
  <c r="AB345" i="1" s="1"/>
  <c r="AB346" i="1" s="1"/>
  <c r="AB347" i="1" s="1"/>
  <c r="AB348" i="1" s="1"/>
  <c r="AB349" i="1" s="1"/>
  <c r="AB350" i="1" s="1"/>
  <c r="AB351" i="1" s="1"/>
  <c r="AB352" i="1" s="1"/>
  <c r="AB353" i="1" s="1"/>
  <c r="AB354" i="1" s="1"/>
  <c r="AB355" i="1" s="1"/>
  <c r="AB356" i="1" s="1"/>
  <c r="AB357" i="1" s="1"/>
  <c r="AB358" i="1" s="1"/>
  <c r="AB359" i="1" s="1"/>
  <c r="AB360" i="1" s="1"/>
  <c r="AB361" i="1" s="1"/>
  <c r="AB362" i="1" s="1"/>
  <c r="AB363" i="1" s="1"/>
  <c r="AB364" i="1" s="1"/>
  <c r="AB365" i="1" s="1"/>
  <c r="AB366" i="1" s="1"/>
  <c r="AB367" i="1" s="1"/>
  <c r="AB368" i="1" s="1"/>
  <c r="AB369" i="1" s="1"/>
  <c r="AB370" i="1" s="1"/>
  <c r="AB371" i="1" s="1"/>
  <c r="AB372" i="1" s="1"/>
  <c r="AB373" i="1" s="1"/>
  <c r="AB374" i="1" s="1"/>
  <c r="AB375" i="1" s="1"/>
  <c r="AB376" i="1" s="1"/>
  <c r="AB377" i="1" s="1"/>
  <c r="AB378" i="1" s="1"/>
  <c r="AB379" i="1" s="1"/>
  <c r="AB380" i="1" s="1"/>
  <c r="AB381" i="1" s="1"/>
  <c r="AB382" i="1" s="1"/>
  <c r="AB383" i="1" s="1"/>
  <c r="AB384" i="1" s="1"/>
  <c r="AB385" i="1" s="1"/>
  <c r="AB386" i="1" s="1"/>
  <c r="AB387" i="1" s="1"/>
  <c r="AB388" i="1" s="1"/>
  <c r="AB389" i="1" s="1"/>
  <c r="AB390" i="1" s="1"/>
  <c r="AB391" i="1" s="1"/>
  <c r="AB392" i="1" s="1"/>
  <c r="AB393" i="1" s="1"/>
  <c r="AB394" i="1" s="1"/>
  <c r="AB395" i="1" s="1"/>
  <c r="AB396" i="1" s="1"/>
  <c r="AB397" i="1" s="1"/>
  <c r="AB398" i="1" s="1"/>
  <c r="AB399" i="1" s="1"/>
  <c r="AB400" i="1" s="1"/>
  <c r="AB401" i="1" s="1"/>
  <c r="AB402" i="1" s="1"/>
  <c r="AB403" i="1" s="1"/>
  <c r="AB404" i="1" s="1"/>
  <c r="AB405" i="1" s="1"/>
  <c r="AB406" i="1" s="1"/>
  <c r="AB407" i="1" s="1"/>
  <c r="AB408" i="1" s="1"/>
  <c r="AB409" i="1" s="1"/>
  <c r="AB410" i="1" s="1"/>
  <c r="AB411" i="1" s="1"/>
  <c r="AB412" i="1" s="1"/>
  <c r="AB413" i="1" s="1"/>
  <c r="AB414" i="1" s="1"/>
  <c r="AB415" i="1" s="1"/>
  <c r="AB416" i="1" s="1"/>
  <c r="AB417" i="1" s="1"/>
  <c r="AB418" i="1" s="1"/>
  <c r="AB419" i="1" s="1"/>
  <c r="AB420" i="1" s="1"/>
  <c r="AB421" i="1" s="1"/>
  <c r="AB422" i="1" s="1"/>
  <c r="AB423" i="1" s="1"/>
  <c r="AB424" i="1" s="1"/>
  <c r="AB425" i="1" s="1"/>
  <c r="AB426" i="1" s="1"/>
  <c r="AB427" i="1" s="1"/>
  <c r="AB428" i="1" s="1"/>
  <c r="AB429" i="1" s="1"/>
  <c r="AB430" i="1" s="1"/>
  <c r="AB431" i="1" s="1"/>
  <c r="AB432" i="1" s="1"/>
  <c r="AB433" i="1" s="1"/>
  <c r="AB434" i="1" s="1"/>
  <c r="AB435" i="1" s="1"/>
  <c r="AB436" i="1" s="1"/>
  <c r="AB437" i="1" s="1"/>
  <c r="AB438" i="1" s="1"/>
  <c r="AB439" i="1" s="1"/>
  <c r="AB440" i="1" s="1"/>
  <c r="AB441" i="1" s="1"/>
  <c r="AB442" i="1" s="1"/>
  <c r="AB443" i="1" s="1"/>
  <c r="AB444" i="1" s="1"/>
  <c r="AB445" i="1" s="1"/>
  <c r="AB446" i="1" s="1"/>
  <c r="AB447" i="1" s="1"/>
  <c r="AB448" i="1" s="1"/>
  <c r="AB449" i="1" s="1"/>
  <c r="AB450" i="1" s="1"/>
  <c r="AB451" i="1" s="1"/>
  <c r="AB452" i="1" s="1"/>
  <c r="AB453" i="1" s="1"/>
  <c r="AB454" i="1" s="1"/>
  <c r="AB455" i="1" s="1"/>
  <c r="AB456" i="1" s="1"/>
  <c r="AB457" i="1" s="1"/>
  <c r="AB458" i="1" s="1"/>
  <c r="AB459" i="1" s="1"/>
  <c r="AB460" i="1" s="1"/>
  <c r="AB461" i="1" s="1"/>
  <c r="AB462" i="1" s="1"/>
  <c r="AB463" i="1" s="1"/>
  <c r="AB464" i="1" s="1"/>
  <c r="AB465" i="1" s="1"/>
  <c r="AB466" i="1" s="1"/>
  <c r="AB467" i="1" s="1"/>
  <c r="AB468" i="1" s="1"/>
  <c r="AB469" i="1" s="1"/>
  <c r="AB470" i="1" s="1"/>
  <c r="AB471" i="1" s="1"/>
  <c r="AB472" i="1" s="1"/>
  <c r="AB473" i="1" s="1"/>
  <c r="AB474" i="1" s="1"/>
  <c r="AB475" i="1" s="1"/>
  <c r="AB476" i="1" s="1"/>
  <c r="AB477" i="1" s="1"/>
  <c r="AB478" i="1" s="1"/>
  <c r="AB479" i="1" s="1"/>
  <c r="AB480" i="1" s="1"/>
  <c r="AB481" i="1" s="1"/>
  <c r="AB482" i="1" s="1"/>
  <c r="AB483" i="1" s="1"/>
  <c r="AB484" i="1" s="1"/>
  <c r="AB485" i="1" s="1"/>
  <c r="AB486" i="1" s="1"/>
  <c r="AB487" i="1" s="1"/>
  <c r="AB488" i="1" s="1"/>
  <c r="AB489" i="1" s="1"/>
  <c r="AB490" i="1" s="1"/>
  <c r="AB491" i="1" s="1"/>
  <c r="AB492" i="1" s="1"/>
  <c r="AB493" i="1" s="1"/>
  <c r="AB494" i="1" s="1"/>
  <c r="AB495" i="1" s="1"/>
  <c r="AB496" i="1" s="1"/>
  <c r="AB497" i="1" s="1"/>
  <c r="AB498" i="1" s="1"/>
  <c r="AB499" i="1" s="1"/>
  <c r="AB500" i="1" s="1"/>
  <c r="AB501" i="1" s="1"/>
  <c r="AB502" i="1" s="1"/>
  <c r="AB503" i="1" s="1"/>
  <c r="AB504" i="1" s="1"/>
  <c r="AB505" i="1" s="1"/>
  <c r="AB506" i="1" s="1"/>
  <c r="AB507" i="1" s="1"/>
  <c r="AB508" i="1" s="1"/>
  <c r="AB509" i="1" s="1"/>
  <c r="AB510" i="1" s="1"/>
  <c r="AB511" i="1" s="1"/>
  <c r="AB512" i="1" s="1"/>
  <c r="AB513" i="1" s="1"/>
  <c r="AB514" i="1" s="1"/>
  <c r="AB515" i="1" s="1"/>
  <c r="AB516" i="1" s="1"/>
  <c r="AB517" i="1" s="1"/>
  <c r="AB518" i="1" s="1"/>
  <c r="AB519" i="1" s="1"/>
  <c r="AB520" i="1" s="1"/>
  <c r="AB521" i="1" s="1"/>
  <c r="AB522" i="1" s="1"/>
  <c r="AB523" i="1" s="1"/>
  <c r="AB524" i="1" s="1"/>
  <c r="AB525" i="1" s="1"/>
  <c r="AB526" i="1" s="1"/>
  <c r="AB527" i="1" s="1"/>
  <c r="AB528" i="1" s="1"/>
  <c r="AB529" i="1" s="1"/>
  <c r="AB530" i="1" s="1"/>
  <c r="AB531" i="1" s="1"/>
  <c r="AB532" i="1" s="1"/>
  <c r="AB533" i="1" s="1"/>
  <c r="AB534" i="1" s="1"/>
  <c r="AB535" i="1" s="1"/>
  <c r="AB536" i="1" s="1"/>
  <c r="AB537" i="1" s="1"/>
  <c r="AB538" i="1" s="1"/>
  <c r="AB539" i="1" s="1"/>
  <c r="AB540" i="1" s="1"/>
  <c r="AB541" i="1" s="1"/>
  <c r="AB542" i="1" s="1"/>
  <c r="AB543" i="1" s="1"/>
  <c r="AB544" i="1" s="1"/>
  <c r="AB545" i="1" s="1"/>
  <c r="AB546" i="1" s="1"/>
  <c r="AB547" i="1" s="1"/>
  <c r="AB548" i="1" s="1"/>
  <c r="AB549" i="1" s="1"/>
  <c r="AB550" i="1" s="1"/>
  <c r="AB551" i="1" s="1"/>
  <c r="AB552" i="1" s="1"/>
  <c r="AB553" i="1" s="1"/>
  <c r="AB554" i="1" s="1"/>
  <c r="AB555" i="1" s="1"/>
  <c r="AB556" i="1" s="1"/>
  <c r="AB557" i="1" s="1"/>
  <c r="AB558" i="1" s="1"/>
  <c r="AB559" i="1" s="1"/>
  <c r="AB560" i="1" s="1"/>
  <c r="AB561" i="1" s="1"/>
  <c r="AB562" i="1" s="1"/>
  <c r="AB563" i="1" s="1"/>
  <c r="AB564" i="1" s="1"/>
  <c r="AB565" i="1" s="1"/>
  <c r="AB566" i="1" s="1"/>
  <c r="AB567" i="1" s="1"/>
  <c r="AB568" i="1" s="1"/>
  <c r="AB569" i="1" s="1"/>
  <c r="AB570" i="1" s="1"/>
  <c r="AB571" i="1" s="1"/>
  <c r="AB572" i="1" s="1"/>
  <c r="AB573" i="1" s="1"/>
  <c r="AB574" i="1" s="1"/>
  <c r="AB575" i="1" s="1"/>
  <c r="AB576" i="1" s="1"/>
  <c r="AB577" i="1" s="1"/>
  <c r="AB578" i="1" s="1"/>
  <c r="AB579" i="1" s="1"/>
  <c r="AB580" i="1" s="1"/>
  <c r="AB581" i="1" s="1"/>
  <c r="AB582" i="1" s="1"/>
  <c r="AB583" i="1" s="1"/>
  <c r="AB584" i="1" s="1"/>
  <c r="AB585" i="1" s="1"/>
  <c r="AB586" i="1" s="1"/>
  <c r="AB587" i="1" s="1"/>
  <c r="AB588" i="1" s="1"/>
  <c r="AB589" i="1" s="1"/>
  <c r="AB590" i="1" s="1"/>
  <c r="AB591" i="1" s="1"/>
  <c r="AB592" i="1" s="1"/>
  <c r="AB593" i="1" s="1"/>
  <c r="AB594" i="1" s="1"/>
  <c r="AB595" i="1" s="1"/>
  <c r="AB596" i="1" s="1"/>
  <c r="AB597" i="1" s="1"/>
  <c r="AB598" i="1" s="1"/>
  <c r="AB599" i="1" s="1"/>
  <c r="AB600" i="1" s="1"/>
  <c r="AB601" i="1" s="1"/>
  <c r="AB602" i="1" s="1"/>
  <c r="AB603" i="1" s="1"/>
  <c r="AB604" i="1" s="1"/>
  <c r="AB605" i="1" s="1"/>
  <c r="AB606" i="1" s="1"/>
  <c r="AB607" i="1" s="1"/>
  <c r="AB608" i="1" s="1"/>
  <c r="AB609" i="1" s="1"/>
  <c r="AB610" i="1" s="1"/>
  <c r="AB611" i="1" s="1"/>
  <c r="AB612" i="1" s="1"/>
  <c r="AB613" i="1" s="1"/>
  <c r="AB614" i="1" s="1"/>
  <c r="AB615" i="1" s="1"/>
  <c r="AB616" i="1" s="1"/>
  <c r="AB617" i="1" s="1"/>
  <c r="AB618" i="1" s="1"/>
  <c r="AB619" i="1" s="1"/>
  <c r="AB620" i="1" s="1"/>
  <c r="AB621" i="1" s="1"/>
  <c r="AB622" i="1" s="1"/>
  <c r="AB623" i="1" s="1"/>
  <c r="AB624" i="1" s="1"/>
  <c r="AB625" i="1" s="1"/>
  <c r="AB626" i="1" s="1"/>
  <c r="AB627" i="1" s="1"/>
  <c r="AB628" i="1" s="1"/>
  <c r="AB629" i="1" s="1"/>
  <c r="AB630" i="1" s="1"/>
  <c r="AB631" i="1" s="1"/>
  <c r="AB632" i="1" s="1"/>
  <c r="AB633" i="1" s="1"/>
  <c r="AB634" i="1" s="1"/>
  <c r="AB635" i="1" s="1"/>
  <c r="AB636" i="1" s="1"/>
  <c r="AB637" i="1" s="1"/>
  <c r="AB638" i="1" s="1"/>
  <c r="AB639" i="1" s="1"/>
  <c r="AB640" i="1" s="1"/>
  <c r="AB641" i="1" s="1"/>
  <c r="AB642" i="1" s="1"/>
  <c r="AB643" i="1" s="1"/>
  <c r="AB644" i="1" s="1"/>
  <c r="AB645" i="1" s="1"/>
  <c r="AB646" i="1" s="1"/>
  <c r="AB647" i="1" s="1"/>
  <c r="AB648" i="1" s="1"/>
  <c r="AB649" i="1" s="1"/>
  <c r="AB650" i="1" s="1"/>
  <c r="AB651" i="1" s="1"/>
  <c r="AB652" i="1" s="1"/>
  <c r="AB653" i="1" s="1"/>
  <c r="AB654" i="1" s="1"/>
  <c r="AB655" i="1" s="1"/>
  <c r="AB656" i="1" s="1"/>
  <c r="AB657" i="1" s="1"/>
  <c r="AB658" i="1" s="1"/>
  <c r="AB659" i="1" s="1"/>
  <c r="AB660" i="1" s="1"/>
  <c r="AB661" i="1" s="1"/>
  <c r="AB662" i="1" s="1"/>
  <c r="AB663" i="1" s="1"/>
  <c r="AB664" i="1" s="1"/>
  <c r="AB665" i="1" s="1"/>
  <c r="AB666" i="1" s="1"/>
  <c r="AB667" i="1" s="1"/>
  <c r="AB668" i="1" s="1"/>
  <c r="AB669" i="1" s="1"/>
  <c r="AB670" i="1" s="1"/>
  <c r="AB671" i="1" s="1"/>
  <c r="AB672" i="1" s="1"/>
  <c r="AB673" i="1" s="1"/>
  <c r="AB674" i="1" s="1"/>
  <c r="AB675" i="1" s="1"/>
  <c r="AB676" i="1" s="1"/>
  <c r="AB677" i="1" s="1"/>
  <c r="AB678" i="1" s="1"/>
  <c r="AB679" i="1" s="1"/>
  <c r="AB680" i="1" s="1"/>
  <c r="AB681" i="1" s="1"/>
  <c r="AB682" i="1" s="1"/>
  <c r="AB683" i="1" s="1"/>
  <c r="AB684" i="1" s="1"/>
  <c r="AB685" i="1" s="1"/>
  <c r="AB686" i="1" s="1"/>
  <c r="AB687" i="1" s="1"/>
  <c r="AB688" i="1" s="1"/>
  <c r="AB689" i="1" s="1"/>
  <c r="AB690" i="1" s="1"/>
  <c r="AB691" i="1" s="1"/>
  <c r="AB692" i="1" s="1"/>
  <c r="AB693" i="1" s="1"/>
  <c r="AB694" i="1" s="1"/>
  <c r="AB695" i="1" s="1"/>
  <c r="AB696" i="1" s="1"/>
  <c r="AB697" i="1" s="1"/>
  <c r="AB698" i="1" s="1"/>
  <c r="AB699" i="1" s="1"/>
  <c r="AB700" i="1" s="1"/>
  <c r="AB701" i="1" s="1"/>
  <c r="AB702" i="1" s="1"/>
  <c r="AB703" i="1" s="1"/>
  <c r="AB704" i="1" s="1"/>
  <c r="AB705" i="1" s="1"/>
  <c r="AB706" i="1" s="1"/>
  <c r="AB707" i="1" s="1"/>
  <c r="AB708" i="1" s="1"/>
  <c r="AB709" i="1" s="1"/>
  <c r="AB710" i="1" s="1"/>
  <c r="AB711" i="1" s="1"/>
  <c r="AB712" i="1" s="1"/>
  <c r="AB713" i="1" s="1"/>
  <c r="AB714" i="1" s="1"/>
  <c r="AB715" i="1" s="1"/>
  <c r="AB716" i="1" s="1"/>
  <c r="AB717" i="1" s="1"/>
  <c r="AB718" i="1" s="1"/>
  <c r="AB719" i="1" s="1"/>
  <c r="AB720" i="1" s="1"/>
  <c r="AB721" i="1" s="1"/>
  <c r="AB722" i="1" s="1"/>
  <c r="AB723" i="1" s="1"/>
  <c r="AB724" i="1" s="1"/>
  <c r="AB725" i="1" s="1"/>
  <c r="AB726" i="1" s="1"/>
  <c r="AB727" i="1" s="1"/>
  <c r="AB728" i="1" s="1"/>
  <c r="AB729" i="1" s="1"/>
  <c r="AB730" i="1" s="1"/>
  <c r="AB731" i="1" s="1"/>
  <c r="AB732" i="1" s="1"/>
  <c r="AB733" i="1" s="1"/>
  <c r="AB734" i="1" s="1"/>
  <c r="AB735" i="1" s="1"/>
  <c r="AB736" i="1" s="1"/>
  <c r="AB737" i="1" s="1"/>
  <c r="AB738" i="1" s="1"/>
  <c r="AB739" i="1" s="1"/>
  <c r="AB740" i="1" s="1"/>
  <c r="AB741" i="1" s="1"/>
  <c r="AB742" i="1" s="1"/>
  <c r="AB743" i="1" s="1"/>
  <c r="AB744" i="1" s="1"/>
  <c r="AB745" i="1" s="1"/>
  <c r="AB746" i="1" s="1"/>
  <c r="AB747" i="1" s="1"/>
  <c r="AB748" i="1" s="1"/>
  <c r="AB749" i="1" s="1"/>
  <c r="AB750" i="1" s="1"/>
  <c r="AB751" i="1" s="1"/>
  <c r="AB752" i="1" s="1"/>
  <c r="AB753" i="1" s="1"/>
  <c r="AB754" i="1" s="1"/>
  <c r="AB755" i="1" s="1"/>
  <c r="AB756" i="1" s="1"/>
  <c r="AB757" i="1" s="1"/>
  <c r="AB758" i="1" s="1"/>
  <c r="AB759" i="1" s="1"/>
  <c r="AB760" i="1" s="1"/>
  <c r="AB761" i="1" s="1"/>
  <c r="AB762" i="1" s="1"/>
  <c r="AB763" i="1" s="1"/>
  <c r="AB764" i="1" s="1"/>
  <c r="AB765" i="1" s="1"/>
  <c r="AB766" i="1" s="1"/>
  <c r="AB767" i="1" s="1"/>
  <c r="AB768" i="1" s="1"/>
  <c r="AB769" i="1" s="1"/>
  <c r="AB770" i="1" s="1"/>
  <c r="AB771" i="1" s="1"/>
  <c r="AB772" i="1" s="1"/>
  <c r="AB773" i="1" s="1"/>
  <c r="AB774" i="1" s="1"/>
  <c r="AB775" i="1" s="1"/>
  <c r="AB776" i="1" s="1"/>
  <c r="AB777" i="1" s="1"/>
  <c r="AB778" i="1" s="1"/>
  <c r="AB779" i="1" s="1"/>
  <c r="AB780" i="1" s="1"/>
  <c r="AB781" i="1" s="1"/>
  <c r="AB782" i="1" s="1"/>
  <c r="AB783" i="1" s="1"/>
  <c r="AB784" i="1" s="1"/>
  <c r="AB785" i="1" s="1"/>
  <c r="AB786" i="1" s="1"/>
  <c r="AB787" i="1" s="1"/>
  <c r="AB788" i="1" s="1"/>
  <c r="AB789" i="1" s="1"/>
  <c r="AB790" i="1" s="1"/>
  <c r="AB791" i="1" s="1"/>
  <c r="AB792" i="1" s="1"/>
  <c r="AB793" i="1" s="1"/>
  <c r="AB794" i="1" s="1"/>
  <c r="AB795" i="1" s="1"/>
  <c r="AB796" i="1" s="1"/>
  <c r="AB797" i="1" s="1"/>
  <c r="AB798" i="1" s="1"/>
  <c r="AB799" i="1" s="1"/>
  <c r="AB800" i="1" s="1"/>
  <c r="AB801" i="1" s="1"/>
  <c r="AB802" i="1" s="1"/>
  <c r="AB803" i="1" s="1"/>
  <c r="AB804" i="1" s="1"/>
  <c r="AB805" i="1" s="1"/>
  <c r="AB806" i="1" s="1"/>
  <c r="AB807" i="1" s="1"/>
  <c r="AB808" i="1" s="1"/>
  <c r="AB809" i="1" s="1"/>
  <c r="AB810" i="1" s="1"/>
  <c r="AB811" i="1" s="1"/>
  <c r="AB812" i="1" s="1"/>
  <c r="AB813" i="1" s="1"/>
  <c r="AB814" i="1" s="1"/>
  <c r="AB815" i="1" s="1"/>
  <c r="AB816" i="1" s="1"/>
  <c r="AB817" i="1" s="1"/>
  <c r="AB818" i="1" s="1"/>
  <c r="AB819" i="1" s="1"/>
  <c r="AB820" i="1" s="1"/>
  <c r="AB821" i="1" s="1"/>
  <c r="AB822" i="1" s="1"/>
  <c r="AB823" i="1" s="1"/>
  <c r="AB824" i="1" s="1"/>
  <c r="AB825" i="1" s="1"/>
  <c r="AB826" i="1" s="1"/>
  <c r="AB827" i="1" s="1"/>
  <c r="AB828" i="1" s="1"/>
  <c r="AB829" i="1" s="1"/>
  <c r="AB830" i="1" s="1"/>
  <c r="AB831" i="1" s="1"/>
  <c r="AB832" i="1" s="1"/>
  <c r="AB833" i="1" s="1"/>
  <c r="AB834" i="1" s="1"/>
  <c r="AB835" i="1" s="1"/>
  <c r="AB836" i="1" s="1"/>
  <c r="AB837" i="1" s="1"/>
  <c r="AB838" i="1" s="1"/>
  <c r="AB839" i="1" s="1"/>
  <c r="AB840" i="1" s="1"/>
  <c r="AB841" i="1" s="1"/>
  <c r="AB842" i="1" s="1"/>
  <c r="AB843" i="1" s="1"/>
  <c r="AB844" i="1" s="1"/>
  <c r="AB845" i="1" s="1"/>
  <c r="AB846" i="1" s="1"/>
  <c r="AB847" i="1" s="1"/>
  <c r="AB848" i="1" s="1"/>
  <c r="AB849" i="1" s="1"/>
  <c r="AB850" i="1" s="1"/>
  <c r="AB851" i="1" s="1"/>
  <c r="AB852" i="1" s="1"/>
  <c r="AB853" i="1" s="1"/>
  <c r="AB854" i="1" s="1"/>
  <c r="AB855" i="1" s="1"/>
  <c r="AB856" i="1" s="1"/>
  <c r="AB857" i="1" s="1"/>
  <c r="AB858" i="1" s="1"/>
  <c r="AB859" i="1" s="1"/>
  <c r="AB860" i="1" s="1"/>
  <c r="AB861" i="1" s="1"/>
  <c r="AB862" i="1" s="1"/>
  <c r="AB863" i="1" s="1"/>
  <c r="AB864" i="1" s="1"/>
  <c r="AB865" i="1" s="1"/>
  <c r="AB866" i="1" s="1"/>
  <c r="AB867" i="1" s="1"/>
  <c r="AB868" i="1" s="1"/>
  <c r="AB869" i="1" s="1"/>
  <c r="AB870" i="1" s="1"/>
  <c r="AB871" i="1" s="1"/>
  <c r="AB872" i="1" s="1"/>
  <c r="AB873" i="1" s="1"/>
  <c r="AB874" i="1" s="1"/>
  <c r="AB875" i="1" s="1"/>
  <c r="AB876" i="1" s="1"/>
  <c r="AB877" i="1" s="1"/>
  <c r="AB878" i="1" s="1"/>
  <c r="AB879" i="1" s="1"/>
  <c r="AB880" i="1" s="1"/>
  <c r="AB881" i="1" s="1"/>
  <c r="AB882" i="1" s="1"/>
  <c r="AB883" i="1" s="1"/>
  <c r="AB884" i="1" s="1"/>
  <c r="AB885" i="1" s="1"/>
  <c r="AB886" i="1" s="1"/>
  <c r="AB887" i="1" s="1"/>
  <c r="AB888" i="1" s="1"/>
  <c r="AB889" i="1" s="1"/>
  <c r="AB890" i="1" s="1"/>
  <c r="AB891" i="1" s="1"/>
  <c r="AB892" i="1" s="1"/>
  <c r="AB893" i="1" s="1"/>
  <c r="AB894" i="1" s="1"/>
  <c r="AB895" i="1" s="1"/>
  <c r="AB896" i="1" s="1"/>
  <c r="AB897" i="1" s="1"/>
  <c r="AB898" i="1" s="1"/>
  <c r="AB899" i="1" s="1"/>
  <c r="AB900" i="1" s="1"/>
  <c r="AB901" i="1" s="1"/>
  <c r="AB902" i="1" s="1"/>
  <c r="AB903" i="1" s="1"/>
  <c r="AB904" i="1" s="1"/>
  <c r="AB905" i="1" s="1"/>
  <c r="AB906" i="1" s="1"/>
  <c r="AB907" i="1" s="1"/>
  <c r="AB908" i="1" s="1"/>
  <c r="AB909" i="1" s="1"/>
  <c r="AB910" i="1" s="1"/>
  <c r="AB911" i="1" s="1"/>
  <c r="AB912" i="1" s="1"/>
  <c r="AB913" i="1" s="1"/>
  <c r="AB914" i="1" s="1"/>
  <c r="AB915" i="1" s="1"/>
  <c r="AB916" i="1" s="1"/>
  <c r="AB917" i="1" s="1"/>
  <c r="AB918" i="1" s="1"/>
  <c r="AB919" i="1" s="1"/>
  <c r="AB920" i="1" s="1"/>
  <c r="AB921" i="1" s="1"/>
  <c r="AB922" i="1" s="1"/>
  <c r="AB923" i="1" s="1"/>
  <c r="AB924" i="1" s="1"/>
  <c r="AB925" i="1" s="1"/>
  <c r="AB926" i="1" s="1"/>
  <c r="AB927" i="1" s="1"/>
  <c r="AB928" i="1" s="1"/>
  <c r="AB929" i="1" s="1"/>
  <c r="AB930" i="1" s="1"/>
  <c r="AB931" i="1" s="1"/>
  <c r="AB932" i="1" s="1"/>
  <c r="AB933" i="1" s="1"/>
  <c r="AB934" i="1" s="1"/>
  <c r="AB935" i="1" s="1"/>
  <c r="AB936" i="1" s="1"/>
  <c r="AB937" i="1" s="1"/>
  <c r="AB938" i="1" s="1"/>
  <c r="AB939" i="1" s="1"/>
  <c r="AB940" i="1" s="1"/>
  <c r="AB941" i="1" s="1"/>
  <c r="AB942" i="1" s="1"/>
  <c r="AB943" i="1" s="1"/>
  <c r="AB944" i="1" s="1"/>
  <c r="AB945" i="1" s="1"/>
  <c r="AB946" i="1" s="1"/>
  <c r="AB947" i="1" s="1"/>
  <c r="AB948" i="1" s="1"/>
  <c r="AB949" i="1" s="1"/>
  <c r="AB950" i="1" s="1"/>
  <c r="AB951" i="1" s="1"/>
  <c r="AB952" i="1" s="1"/>
  <c r="AB953" i="1" s="1"/>
  <c r="AB954" i="1" s="1"/>
  <c r="AB955" i="1" s="1"/>
  <c r="AB956" i="1" s="1"/>
  <c r="AB957" i="1" s="1"/>
  <c r="AB958" i="1" s="1"/>
  <c r="AB959" i="1" s="1"/>
  <c r="AB960" i="1" s="1"/>
  <c r="AB961" i="1" s="1"/>
  <c r="AB962" i="1" s="1"/>
  <c r="AB963" i="1" s="1"/>
  <c r="AB964" i="1" s="1"/>
  <c r="AB965" i="1" s="1"/>
  <c r="AB966" i="1" s="1"/>
  <c r="AB967" i="1" s="1"/>
  <c r="AB968" i="1" s="1"/>
  <c r="AB969" i="1" s="1"/>
  <c r="AB970" i="1" s="1"/>
  <c r="AB971" i="1" s="1"/>
  <c r="AB972" i="1" s="1"/>
  <c r="AB973" i="1" s="1"/>
  <c r="AB974" i="1" s="1"/>
  <c r="AB975" i="1" s="1"/>
  <c r="AB976" i="1" s="1"/>
  <c r="AB977" i="1" s="1"/>
  <c r="AB978" i="1" s="1"/>
  <c r="AB979" i="1" s="1"/>
  <c r="AB980" i="1" s="1"/>
  <c r="AB981" i="1" s="1"/>
  <c r="AB982" i="1" s="1"/>
  <c r="AB983" i="1" s="1"/>
  <c r="AB984" i="1" s="1"/>
  <c r="AB985" i="1" s="1"/>
  <c r="AB986" i="1" s="1"/>
  <c r="AB987" i="1" s="1"/>
  <c r="AB988" i="1" s="1"/>
  <c r="AB989" i="1" s="1"/>
  <c r="AB990" i="1" s="1"/>
  <c r="AB991" i="1" s="1"/>
  <c r="AB992" i="1" s="1"/>
  <c r="AB993" i="1" s="1"/>
  <c r="AB994" i="1" s="1"/>
  <c r="AB995" i="1" s="1"/>
  <c r="AB996" i="1" s="1"/>
  <c r="AB997" i="1" s="1"/>
  <c r="AB998" i="1" s="1"/>
  <c r="AB999" i="1" s="1"/>
  <c r="AB1000" i="1" s="1"/>
  <c r="AB1001" i="1" s="1"/>
  <c r="AB1002" i="1" s="1"/>
  <c r="AB1003" i="1" s="1"/>
  <c r="AB1004" i="1" s="1"/>
  <c r="AB1005" i="1" s="1"/>
  <c r="AB1006" i="1" s="1"/>
  <c r="AB1007" i="1" s="1"/>
  <c r="AB1008" i="1" s="1"/>
  <c r="AB1009" i="1" s="1"/>
  <c r="AB1010" i="1" s="1"/>
  <c r="AB1011" i="1" s="1"/>
  <c r="AB1012" i="1" s="1"/>
  <c r="AB1013" i="1" s="1"/>
  <c r="AB1014" i="1" s="1"/>
  <c r="AB1015" i="1" s="1"/>
  <c r="AB1016" i="1" s="1"/>
  <c r="AB1017" i="1" s="1"/>
  <c r="AB1018" i="1" s="1"/>
  <c r="AB1019" i="1" s="1"/>
  <c r="AB1020" i="1" s="1"/>
  <c r="AB1021" i="1" s="1"/>
  <c r="AB1022" i="1" s="1"/>
  <c r="AB1023" i="1" s="1"/>
  <c r="AB1024" i="1" s="1"/>
  <c r="AB1025" i="1" s="1"/>
  <c r="AB1026" i="1" s="1"/>
  <c r="AB1027" i="1" s="1"/>
  <c r="AB1028" i="1" s="1"/>
  <c r="AB1029" i="1" s="1"/>
  <c r="AB1030" i="1" s="1"/>
  <c r="AB1031" i="1" s="1"/>
  <c r="AB1032" i="1" s="1"/>
  <c r="AB1033" i="1" s="1"/>
  <c r="AB1034" i="1" s="1"/>
  <c r="AB1035" i="1" s="1"/>
  <c r="AB1036" i="1" s="1"/>
  <c r="AB1037" i="1" s="1"/>
  <c r="AB1038" i="1" s="1"/>
  <c r="AB1039" i="1" s="1"/>
  <c r="AB1040" i="1" s="1"/>
  <c r="AB1041" i="1" s="1"/>
  <c r="AB1042" i="1" s="1"/>
  <c r="AB1043" i="1" s="1"/>
  <c r="AB1044" i="1" s="1"/>
  <c r="AB1045" i="1" s="1"/>
  <c r="AB1046" i="1" s="1"/>
  <c r="AB1047" i="1" s="1"/>
  <c r="AB1048" i="1" s="1"/>
  <c r="AB1049" i="1" s="1"/>
  <c r="AB1050" i="1" s="1"/>
  <c r="AB1051" i="1" s="1"/>
  <c r="AB1052" i="1" s="1"/>
  <c r="AB1053" i="1" s="1"/>
  <c r="AB1054" i="1" s="1"/>
  <c r="AB1055" i="1" s="1"/>
  <c r="AB1056" i="1" s="1"/>
  <c r="AB1057" i="1" s="1"/>
  <c r="AB1058" i="1" s="1"/>
  <c r="AB1059" i="1" s="1"/>
  <c r="AB1060" i="1" s="1"/>
  <c r="AB1061" i="1" s="1"/>
  <c r="AB1062" i="1" s="1"/>
  <c r="AB1063" i="1" s="1"/>
  <c r="AB1064" i="1" s="1"/>
  <c r="AB1065" i="1" s="1"/>
  <c r="AB1066" i="1" s="1"/>
  <c r="AB1067" i="1" s="1"/>
  <c r="AB1068" i="1" s="1"/>
  <c r="AB1069" i="1" s="1"/>
  <c r="AB1070" i="1" s="1"/>
  <c r="AB1071" i="1" s="1"/>
  <c r="AB1072" i="1" s="1"/>
  <c r="AB1073" i="1" s="1"/>
  <c r="AB1074" i="1" s="1"/>
  <c r="AB1075" i="1" s="1"/>
  <c r="AB1076" i="1" s="1"/>
  <c r="AB1077" i="1" s="1"/>
  <c r="AB1078" i="1" s="1"/>
  <c r="AB1079" i="1" s="1"/>
  <c r="AB1080" i="1" s="1"/>
  <c r="AB1081" i="1" s="1"/>
  <c r="AB1082" i="1" s="1"/>
  <c r="AB1083" i="1" s="1"/>
  <c r="AB1084" i="1" s="1"/>
  <c r="AB1085" i="1" s="1"/>
  <c r="AB1086" i="1" s="1"/>
  <c r="AB1087" i="1" s="1"/>
  <c r="AB1088" i="1" s="1"/>
  <c r="AB1089" i="1" s="1"/>
  <c r="AB1090" i="1" s="1"/>
  <c r="AB1091" i="1" s="1"/>
  <c r="AB1092" i="1" s="1"/>
  <c r="AB1093" i="1" s="1"/>
  <c r="AB1094" i="1" s="1"/>
  <c r="AB1095" i="1" s="1"/>
  <c r="AB1096" i="1" s="1"/>
  <c r="AB1097" i="1" s="1"/>
  <c r="AB1098" i="1" s="1"/>
  <c r="AB1099" i="1" s="1"/>
  <c r="AB1100" i="1" s="1"/>
  <c r="AB1101" i="1" s="1"/>
  <c r="AB1102" i="1" s="1"/>
  <c r="AB1103" i="1" s="1"/>
  <c r="AB1104" i="1" s="1"/>
  <c r="AB1105" i="1" s="1"/>
  <c r="AB1106" i="1" s="1"/>
  <c r="AB1107" i="1" s="1"/>
  <c r="AB1108" i="1" s="1"/>
  <c r="AB1109" i="1" s="1"/>
  <c r="AB1110" i="1" s="1"/>
  <c r="AB1111" i="1" s="1"/>
  <c r="AB1112" i="1" s="1"/>
  <c r="AB1113" i="1" s="1"/>
  <c r="AB1114" i="1" s="1"/>
  <c r="AB1115" i="1" s="1"/>
  <c r="AB1116" i="1" s="1"/>
  <c r="AB1117" i="1" s="1"/>
  <c r="AB1118" i="1" s="1"/>
  <c r="AB1119" i="1" s="1"/>
  <c r="AB1120" i="1" s="1"/>
  <c r="AB1121" i="1" s="1"/>
  <c r="AB1122" i="1" s="1"/>
  <c r="AB1123" i="1" s="1"/>
  <c r="AB1124" i="1" s="1"/>
  <c r="AB1125" i="1" s="1"/>
  <c r="AB1126" i="1" s="1"/>
  <c r="AB1127" i="1" s="1"/>
  <c r="AB1128" i="1" s="1"/>
  <c r="AB1129" i="1" s="1"/>
  <c r="AB1130" i="1" s="1"/>
  <c r="AB1131" i="1" s="1"/>
  <c r="AB1132" i="1" s="1"/>
  <c r="AB1133" i="1" s="1"/>
  <c r="AB1134" i="1" s="1"/>
  <c r="AB1135" i="1" s="1"/>
  <c r="AB1136" i="1" s="1"/>
  <c r="AB1137" i="1" s="1"/>
  <c r="AB1138" i="1" s="1"/>
  <c r="AB1139" i="1" s="1"/>
  <c r="AB1140" i="1" s="1"/>
  <c r="AB1141" i="1" s="1"/>
  <c r="AB1142" i="1" s="1"/>
  <c r="AB1143" i="1" s="1"/>
  <c r="AB1144" i="1" s="1"/>
  <c r="AB1145" i="1" s="1"/>
  <c r="AB1146" i="1" s="1"/>
  <c r="AB1147" i="1" s="1"/>
  <c r="AB1148" i="1" s="1"/>
  <c r="AB1149" i="1" s="1"/>
  <c r="AB1150" i="1" s="1"/>
  <c r="AB1151" i="1" s="1"/>
  <c r="AB1152" i="1" s="1"/>
  <c r="AB1153" i="1" s="1"/>
  <c r="AB1154" i="1" s="1"/>
  <c r="AB1155" i="1" s="1"/>
  <c r="AB1156" i="1" s="1"/>
  <c r="AB1157" i="1" s="1"/>
  <c r="AB1158" i="1" s="1"/>
  <c r="AB1159" i="1" s="1"/>
  <c r="AB1160" i="1" s="1"/>
  <c r="AB1161" i="1" s="1"/>
  <c r="AB1162" i="1" s="1"/>
  <c r="AB1163" i="1" s="1"/>
  <c r="AB1164" i="1" s="1"/>
  <c r="AB1165" i="1" s="1"/>
  <c r="AB1166" i="1" s="1"/>
  <c r="AB1167" i="1" s="1"/>
  <c r="AB1168" i="1" s="1"/>
  <c r="AB1169" i="1" s="1"/>
  <c r="AB1170" i="1" s="1"/>
  <c r="AB1171" i="1" s="1"/>
  <c r="AB1172" i="1" s="1"/>
  <c r="AB1173" i="1" s="1"/>
  <c r="AB1174" i="1" s="1"/>
  <c r="AB1175" i="1" s="1"/>
  <c r="AB1176" i="1" s="1"/>
  <c r="AB1177" i="1" s="1"/>
  <c r="AB1178" i="1" s="1"/>
  <c r="AB1179" i="1" s="1"/>
  <c r="AB1180" i="1" s="1"/>
  <c r="AB1181" i="1" s="1"/>
  <c r="AB1182" i="1" s="1"/>
  <c r="AB1183" i="1" s="1"/>
  <c r="AB1184" i="1" s="1"/>
  <c r="AB1185" i="1" s="1"/>
  <c r="AB1186" i="1" s="1"/>
  <c r="AB1187" i="1" s="1"/>
  <c r="AB1188" i="1" s="1"/>
  <c r="AB1189" i="1" s="1"/>
  <c r="AB1190" i="1" s="1"/>
  <c r="AB1191" i="1" s="1"/>
  <c r="AB1192" i="1" s="1"/>
  <c r="AB1193" i="1" s="1"/>
  <c r="AB1194" i="1" s="1"/>
  <c r="AB1195" i="1" s="1"/>
  <c r="AB1196" i="1" s="1"/>
  <c r="AB1197" i="1" s="1"/>
  <c r="AB1198" i="1" s="1"/>
  <c r="AB1199" i="1" s="1"/>
  <c r="AB1200" i="1" s="1"/>
  <c r="AB1201" i="1" s="1"/>
  <c r="AB1202" i="1" s="1"/>
  <c r="AB1203" i="1" s="1"/>
  <c r="AB1204" i="1" s="1"/>
  <c r="AB1205" i="1" s="1"/>
  <c r="AB1206" i="1" s="1"/>
  <c r="AB1207" i="1" s="1"/>
  <c r="AB1208" i="1" s="1"/>
  <c r="AB1209" i="1" s="1"/>
  <c r="AB1210" i="1" s="1"/>
  <c r="AB1211" i="1" s="1"/>
  <c r="AB1212" i="1" s="1"/>
  <c r="AB1213" i="1" s="1"/>
  <c r="AB1214" i="1" s="1"/>
  <c r="AB1215" i="1" s="1"/>
  <c r="AB1216" i="1" s="1"/>
  <c r="AB1217" i="1" s="1"/>
  <c r="AB1218" i="1" s="1"/>
  <c r="AB1219" i="1" s="1"/>
  <c r="AB1220" i="1" s="1"/>
  <c r="AB1221" i="1" s="1"/>
  <c r="AB1222" i="1" s="1"/>
  <c r="AB1223" i="1" s="1"/>
  <c r="AB1224" i="1" s="1"/>
  <c r="AB1225" i="1" s="1"/>
  <c r="AB1226" i="1" s="1"/>
  <c r="AB1227" i="1" s="1"/>
  <c r="AB1228" i="1" s="1"/>
  <c r="AB1229" i="1" s="1"/>
  <c r="AB1230" i="1" s="1"/>
  <c r="AB1231" i="1" s="1"/>
  <c r="AB1232" i="1" s="1"/>
  <c r="AB1233" i="1" s="1"/>
  <c r="AB1234" i="1" s="1"/>
  <c r="AB1235" i="1" s="1"/>
  <c r="AB1236" i="1" s="1"/>
  <c r="AB1237" i="1" s="1"/>
  <c r="AB1238" i="1" s="1"/>
  <c r="AB1239" i="1" s="1"/>
  <c r="AB1240" i="1" s="1"/>
  <c r="AB1241" i="1" s="1"/>
  <c r="AB1242" i="1" s="1"/>
  <c r="AB1243" i="1" s="1"/>
  <c r="AB1244" i="1" s="1"/>
  <c r="AB1245" i="1" s="1"/>
  <c r="AB1246" i="1" s="1"/>
  <c r="AB1247" i="1" s="1"/>
  <c r="AB1248" i="1" s="1"/>
  <c r="AB1249" i="1" s="1"/>
  <c r="AB1250" i="1" s="1"/>
  <c r="AB1251" i="1" s="1"/>
  <c r="AB1252" i="1" s="1"/>
  <c r="AB1253" i="1" s="1"/>
  <c r="AB1254" i="1" s="1"/>
  <c r="AB1255" i="1" s="1"/>
  <c r="AB1256" i="1" s="1"/>
  <c r="AB1257" i="1" s="1"/>
  <c r="AF12" i="1" l="1"/>
</calcChain>
</file>

<file path=xl/sharedStrings.xml><?xml version="1.0" encoding="utf-8"?>
<sst xmlns="http://schemas.openxmlformats.org/spreadsheetml/2006/main" count="1136" uniqueCount="19">
  <si>
    <t>date</t>
  </si>
  <si>
    <t>RSP</t>
  </si>
  <si>
    <t>SPY</t>
  </si>
  <si>
    <t>RSP chg</t>
  </si>
  <si>
    <t>SPY chg</t>
  </si>
  <si>
    <t>RSP/unit</t>
  </si>
  <si>
    <t>SPY/unit</t>
  </si>
  <si>
    <t>Daily PnL</t>
  </si>
  <si>
    <t>Moving Averages</t>
  </si>
  <si>
    <t>Over/Under</t>
  </si>
  <si>
    <t>PnLs</t>
  </si>
  <si>
    <t>x</t>
  </si>
  <si>
    <t>CUM</t>
  </si>
  <si>
    <t>ST DEV</t>
  </si>
  <si>
    <t>OVER</t>
  </si>
  <si>
    <t>UNDER</t>
  </si>
  <si>
    <t>AVG</t>
  </si>
  <si>
    <t>CWB</t>
  </si>
  <si>
    <t>ICVT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</si>
</sst>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9" formatCode="&quot;$&quot;#,##0.00"/>
    <numFmt numFmtId="172" formatCode="_(* #,##0.0000_);_(* \(#,##0.000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44" fontId="0" fillId="0" borderId="0" xfId="2" applyFont="1"/>
    <xf numFmtId="43" fontId="0" fillId="0" borderId="0" xfId="1" applyFont="1"/>
    <xf numFmtId="0" fontId="0" fillId="0" borderId="0" xfId="0" applyAlignment="1">
      <alignment horizontal="center"/>
    </xf>
    <xf numFmtId="0" fontId="18" fillId="0" borderId="0" xfId="0" applyFont="1" applyAlignment="1">
      <alignment horizontal="right"/>
    </xf>
    <xf numFmtId="44" fontId="18" fillId="0" borderId="0" xfId="2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44" fontId="0" fillId="0" borderId="0" xfId="0" applyNumberFormat="1"/>
    <xf numFmtId="169" fontId="0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172" fontId="18" fillId="0" borderId="0" xfId="0" applyNumberFormat="1" applyFont="1" applyAlignment="1">
      <alignment horizontal="center"/>
    </xf>
    <xf numFmtId="172" fontId="0" fillId="0" borderId="0" xfId="1" applyNumberFormat="1" applyFont="1"/>
    <xf numFmtId="172" fontId="0" fillId="0" borderId="0" xfId="1" applyNumberFormat="1" applyFont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'SPY vs RSP'!$Y$2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'SPY vs RSP'!$A$3:$A$1257</c:f>
              <c:numCache>
                <c:formatCode>m/d/yyyy</c:formatCode>
                <c:ptCount val="1255"/>
                <c:pt idx="0">
                  <c:v>44417</c:v>
                </c:pt>
                <c:pt idx="1">
                  <c:v>44418</c:v>
                </c:pt>
                <c:pt idx="2">
                  <c:v>44419</c:v>
                </c:pt>
                <c:pt idx="3">
                  <c:v>44420</c:v>
                </c:pt>
                <c:pt idx="4">
                  <c:v>44421</c:v>
                </c:pt>
                <c:pt idx="5">
                  <c:v>44424</c:v>
                </c:pt>
                <c:pt idx="6">
                  <c:v>44425</c:v>
                </c:pt>
                <c:pt idx="7">
                  <c:v>44426</c:v>
                </c:pt>
                <c:pt idx="8">
                  <c:v>44427</c:v>
                </c:pt>
                <c:pt idx="9">
                  <c:v>44428</c:v>
                </c:pt>
                <c:pt idx="10">
                  <c:v>44431</c:v>
                </c:pt>
                <c:pt idx="11">
                  <c:v>44432</c:v>
                </c:pt>
                <c:pt idx="12">
                  <c:v>44433</c:v>
                </c:pt>
                <c:pt idx="13">
                  <c:v>44434</c:v>
                </c:pt>
                <c:pt idx="14">
                  <c:v>44435</c:v>
                </c:pt>
                <c:pt idx="15">
                  <c:v>44438</c:v>
                </c:pt>
                <c:pt idx="16">
                  <c:v>44439</c:v>
                </c:pt>
                <c:pt idx="17">
                  <c:v>44440</c:v>
                </c:pt>
                <c:pt idx="18">
                  <c:v>44441</c:v>
                </c:pt>
                <c:pt idx="19">
                  <c:v>44442</c:v>
                </c:pt>
                <c:pt idx="20">
                  <c:v>44446</c:v>
                </c:pt>
                <c:pt idx="21">
                  <c:v>44447</c:v>
                </c:pt>
                <c:pt idx="22">
                  <c:v>44448</c:v>
                </c:pt>
                <c:pt idx="23">
                  <c:v>44449</c:v>
                </c:pt>
                <c:pt idx="24">
                  <c:v>44452</c:v>
                </c:pt>
                <c:pt idx="25">
                  <c:v>44453</c:v>
                </c:pt>
                <c:pt idx="26">
                  <c:v>44454</c:v>
                </c:pt>
                <c:pt idx="27">
                  <c:v>44455</c:v>
                </c:pt>
                <c:pt idx="28">
                  <c:v>44456</c:v>
                </c:pt>
                <c:pt idx="29">
                  <c:v>44459</c:v>
                </c:pt>
                <c:pt idx="30">
                  <c:v>44460</c:v>
                </c:pt>
                <c:pt idx="31">
                  <c:v>44461</c:v>
                </c:pt>
                <c:pt idx="32">
                  <c:v>44462</c:v>
                </c:pt>
                <c:pt idx="33">
                  <c:v>44463</c:v>
                </c:pt>
                <c:pt idx="34">
                  <c:v>44466</c:v>
                </c:pt>
                <c:pt idx="35">
                  <c:v>44467</c:v>
                </c:pt>
                <c:pt idx="36">
                  <c:v>44468</c:v>
                </c:pt>
                <c:pt idx="37">
                  <c:v>44469</c:v>
                </c:pt>
                <c:pt idx="38">
                  <c:v>44470</c:v>
                </c:pt>
                <c:pt idx="39">
                  <c:v>44473</c:v>
                </c:pt>
                <c:pt idx="40">
                  <c:v>44474</c:v>
                </c:pt>
                <c:pt idx="41">
                  <c:v>44475</c:v>
                </c:pt>
                <c:pt idx="42">
                  <c:v>44476</c:v>
                </c:pt>
                <c:pt idx="43">
                  <c:v>44477</c:v>
                </c:pt>
                <c:pt idx="44">
                  <c:v>44480</c:v>
                </c:pt>
                <c:pt idx="45">
                  <c:v>44481</c:v>
                </c:pt>
                <c:pt idx="46">
                  <c:v>44482</c:v>
                </c:pt>
                <c:pt idx="47">
                  <c:v>44483</c:v>
                </c:pt>
                <c:pt idx="48">
                  <c:v>44484</c:v>
                </c:pt>
                <c:pt idx="49">
                  <c:v>44487</c:v>
                </c:pt>
                <c:pt idx="50">
                  <c:v>44488</c:v>
                </c:pt>
                <c:pt idx="51">
                  <c:v>44489</c:v>
                </c:pt>
                <c:pt idx="52">
                  <c:v>44490</c:v>
                </c:pt>
                <c:pt idx="53">
                  <c:v>44491</c:v>
                </c:pt>
                <c:pt idx="54">
                  <c:v>44494</c:v>
                </c:pt>
                <c:pt idx="55">
                  <c:v>44495</c:v>
                </c:pt>
                <c:pt idx="56">
                  <c:v>44496</c:v>
                </c:pt>
                <c:pt idx="57">
                  <c:v>44497</c:v>
                </c:pt>
                <c:pt idx="58">
                  <c:v>44498</c:v>
                </c:pt>
                <c:pt idx="59">
                  <c:v>44501</c:v>
                </c:pt>
                <c:pt idx="60">
                  <c:v>44502</c:v>
                </c:pt>
                <c:pt idx="61">
                  <c:v>44503</c:v>
                </c:pt>
                <c:pt idx="62">
                  <c:v>44504</c:v>
                </c:pt>
                <c:pt idx="63">
                  <c:v>44505</c:v>
                </c:pt>
                <c:pt idx="64">
                  <c:v>44508</c:v>
                </c:pt>
                <c:pt idx="65">
                  <c:v>44509</c:v>
                </c:pt>
                <c:pt idx="66">
                  <c:v>44510</c:v>
                </c:pt>
                <c:pt idx="67">
                  <c:v>44511</c:v>
                </c:pt>
                <c:pt idx="68">
                  <c:v>44512</c:v>
                </c:pt>
                <c:pt idx="69">
                  <c:v>44515</c:v>
                </c:pt>
                <c:pt idx="70">
                  <c:v>44516</c:v>
                </c:pt>
                <c:pt idx="71">
                  <c:v>44517</c:v>
                </c:pt>
                <c:pt idx="72">
                  <c:v>44518</c:v>
                </c:pt>
                <c:pt idx="73">
                  <c:v>44519</c:v>
                </c:pt>
                <c:pt idx="74">
                  <c:v>44522</c:v>
                </c:pt>
                <c:pt idx="75">
                  <c:v>44523</c:v>
                </c:pt>
                <c:pt idx="76">
                  <c:v>44524</c:v>
                </c:pt>
                <c:pt idx="77">
                  <c:v>44526</c:v>
                </c:pt>
                <c:pt idx="78">
                  <c:v>44529</c:v>
                </c:pt>
                <c:pt idx="79">
                  <c:v>44530</c:v>
                </c:pt>
                <c:pt idx="80">
                  <c:v>44531</c:v>
                </c:pt>
                <c:pt idx="81">
                  <c:v>44532</c:v>
                </c:pt>
                <c:pt idx="82">
                  <c:v>44533</c:v>
                </c:pt>
                <c:pt idx="83">
                  <c:v>44536</c:v>
                </c:pt>
                <c:pt idx="84">
                  <c:v>44537</c:v>
                </c:pt>
                <c:pt idx="85">
                  <c:v>44538</c:v>
                </c:pt>
                <c:pt idx="86">
                  <c:v>44539</c:v>
                </c:pt>
                <c:pt idx="87">
                  <c:v>44540</c:v>
                </c:pt>
                <c:pt idx="88">
                  <c:v>44543</c:v>
                </c:pt>
                <c:pt idx="89">
                  <c:v>44544</c:v>
                </c:pt>
                <c:pt idx="90">
                  <c:v>44545</c:v>
                </c:pt>
                <c:pt idx="91">
                  <c:v>44546</c:v>
                </c:pt>
                <c:pt idx="92">
                  <c:v>44547</c:v>
                </c:pt>
                <c:pt idx="93">
                  <c:v>44550</c:v>
                </c:pt>
                <c:pt idx="94">
                  <c:v>44551</c:v>
                </c:pt>
                <c:pt idx="95">
                  <c:v>44552</c:v>
                </c:pt>
                <c:pt idx="96">
                  <c:v>44553</c:v>
                </c:pt>
                <c:pt idx="97">
                  <c:v>44557</c:v>
                </c:pt>
                <c:pt idx="98">
                  <c:v>44558</c:v>
                </c:pt>
                <c:pt idx="99">
                  <c:v>44559</c:v>
                </c:pt>
                <c:pt idx="100">
                  <c:v>44560</c:v>
                </c:pt>
                <c:pt idx="101">
                  <c:v>44561</c:v>
                </c:pt>
                <c:pt idx="102">
                  <c:v>44564</c:v>
                </c:pt>
                <c:pt idx="103">
                  <c:v>44565</c:v>
                </c:pt>
                <c:pt idx="104">
                  <c:v>44566</c:v>
                </c:pt>
                <c:pt idx="105">
                  <c:v>44567</c:v>
                </c:pt>
                <c:pt idx="106">
                  <c:v>44568</c:v>
                </c:pt>
                <c:pt idx="107">
                  <c:v>44571</c:v>
                </c:pt>
                <c:pt idx="108">
                  <c:v>44572</c:v>
                </c:pt>
                <c:pt idx="109">
                  <c:v>44573</c:v>
                </c:pt>
                <c:pt idx="110">
                  <c:v>44574</c:v>
                </c:pt>
                <c:pt idx="111">
                  <c:v>44575</c:v>
                </c:pt>
                <c:pt idx="112">
                  <c:v>44579</c:v>
                </c:pt>
                <c:pt idx="113">
                  <c:v>44580</c:v>
                </c:pt>
                <c:pt idx="114">
                  <c:v>44581</c:v>
                </c:pt>
                <c:pt idx="115">
                  <c:v>44582</c:v>
                </c:pt>
                <c:pt idx="116">
                  <c:v>44585</c:v>
                </c:pt>
                <c:pt idx="117">
                  <c:v>44586</c:v>
                </c:pt>
                <c:pt idx="118">
                  <c:v>44587</c:v>
                </c:pt>
                <c:pt idx="119">
                  <c:v>44588</c:v>
                </c:pt>
                <c:pt idx="120">
                  <c:v>44589</c:v>
                </c:pt>
                <c:pt idx="121">
                  <c:v>44592</c:v>
                </c:pt>
                <c:pt idx="122">
                  <c:v>44593</c:v>
                </c:pt>
                <c:pt idx="123">
                  <c:v>44594</c:v>
                </c:pt>
                <c:pt idx="124">
                  <c:v>44595</c:v>
                </c:pt>
                <c:pt idx="125">
                  <c:v>44596</c:v>
                </c:pt>
                <c:pt idx="126">
                  <c:v>44599</c:v>
                </c:pt>
                <c:pt idx="127">
                  <c:v>44600</c:v>
                </c:pt>
                <c:pt idx="128">
                  <c:v>44601</c:v>
                </c:pt>
                <c:pt idx="129">
                  <c:v>44602</c:v>
                </c:pt>
                <c:pt idx="130">
                  <c:v>44603</c:v>
                </c:pt>
                <c:pt idx="131">
                  <c:v>44606</c:v>
                </c:pt>
                <c:pt idx="132">
                  <c:v>44607</c:v>
                </c:pt>
                <c:pt idx="133">
                  <c:v>44608</c:v>
                </c:pt>
                <c:pt idx="134">
                  <c:v>44609</c:v>
                </c:pt>
                <c:pt idx="135">
                  <c:v>44610</c:v>
                </c:pt>
                <c:pt idx="136">
                  <c:v>44614</c:v>
                </c:pt>
                <c:pt idx="137">
                  <c:v>44615</c:v>
                </c:pt>
                <c:pt idx="138">
                  <c:v>44616</c:v>
                </c:pt>
                <c:pt idx="139">
                  <c:v>44617</c:v>
                </c:pt>
                <c:pt idx="140">
                  <c:v>44620</c:v>
                </c:pt>
                <c:pt idx="141">
                  <c:v>44621</c:v>
                </c:pt>
                <c:pt idx="142">
                  <c:v>44622</c:v>
                </c:pt>
                <c:pt idx="143">
                  <c:v>44623</c:v>
                </c:pt>
                <c:pt idx="144">
                  <c:v>44624</c:v>
                </c:pt>
                <c:pt idx="145">
                  <c:v>44627</c:v>
                </c:pt>
                <c:pt idx="146">
                  <c:v>44628</c:v>
                </c:pt>
                <c:pt idx="147">
                  <c:v>44629</c:v>
                </c:pt>
                <c:pt idx="148">
                  <c:v>44630</c:v>
                </c:pt>
                <c:pt idx="149">
                  <c:v>44631</c:v>
                </c:pt>
                <c:pt idx="150">
                  <c:v>44634</c:v>
                </c:pt>
                <c:pt idx="151">
                  <c:v>44635</c:v>
                </c:pt>
                <c:pt idx="152">
                  <c:v>44636</c:v>
                </c:pt>
                <c:pt idx="153">
                  <c:v>44637</c:v>
                </c:pt>
                <c:pt idx="154">
                  <c:v>44638</c:v>
                </c:pt>
                <c:pt idx="155">
                  <c:v>44641</c:v>
                </c:pt>
                <c:pt idx="156">
                  <c:v>44642</c:v>
                </c:pt>
                <c:pt idx="157">
                  <c:v>44643</c:v>
                </c:pt>
                <c:pt idx="158">
                  <c:v>44644</c:v>
                </c:pt>
                <c:pt idx="159">
                  <c:v>44645</c:v>
                </c:pt>
                <c:pt idx="160">
                  <c:v>44648</c:v>
                </c:pt>
                <c:pt idx="161">
                  <c:v>44649</c:v>
                </c:pt>
                <c:pt idx="162">
                  <c:v>44650</c:v>
                </c:pt>
                <c:pt idx="163">
                  <c:v>44651</c:v>
                </c:pt>
                <c:pt idx="164">
                  <c:v>44652</c:v>
                </c:pt>
                <c:pt idx="165">
                  <c:v>44655</c:v>
                </c:pt>
                <c:pt idx="166">
                  <c:v>44656</c:v>
                </c:pt>
                <c:pt idx="167">
                  <c:v>44657</c:v>
                </c:pt>
                <c:pt idx="168">
                  <c:v>44658</c:v>
                </c:pt>
                <c:pt idx="169">
                  <c:v>44659</c:v>
                </c:pt>
                <c:pt idx="170">
                  <c:v>44662</c:v>
                </c:pt>
                <c:pt idx="171">
                  <c:v>44663</c:v>
                </c:pt>
                <c:pt idx="172">
                  <c:v>44664</c:v>
                </c:pt>
                <c:pt idx="173">
                  <c:v>44665</c:v>
                </c:pt>
                <c:pt idx="174">
                  <c:v>44669</c:v>
                </c:pt>
                <c:pt idx="175">
                  <c:v>44670</c:v>
                </c:pt>
                <c:pt idx="176">
                  <c:v>44671</c:v>
                </c:pt>
                <c:pt idx="177">
                  <c:v>44672</c:v>
                </c:pt>
                <c:pt idx="178">
                  <c:v>44673</c:v>
                </c:pt>
                <c:pt idx="179">
                  <c:v>44676</c:v>
                </c:pt>
                <c:pt idx="180">
                  <c:v>44677</c:v>
                </c:pt>
                <c:pt idx="181">
                  <c:v>44678</c:v>
                </c:pt>
                <c:pt idx="182">
                  <c:v>44679</c:v>
                </c:pt>
                <c:pt idx="183">
                  <c:v>44680</c:v>
                </c:pt>
                <c:pt idx="184">
                  <c:v>44683</c:v>
                </c:pt>
                <c:pt idx="185">
                  <c:v>44684</c:v>
                </c:pt>
                <c:pt idx="186">
                  <c:v>44685</c:v>
                </c:pt>
                <c:pt idx="187">
                  <c:v>44686</c:v>
                </c:pt>
                <c:pt idx="188">
                  <c:v>44687</c:v>
                </c:pt>
                <c:pt idx="189">
                  <c:v>44690</c:v>
                </c:pt>
                <c:pt idx="190">
                  <c:v>44691</c:v>
                </c:pt>
                <c:pt idx="191">
                  <c:v>44692</c:v>
                </c:pt>
                <c:pt idx="192">
                  <c:v>44693</c:v>
                </c:pt>
                <c:pt idx="193">
                  <c:v>44694</c:v>
                </c:pt>
                <c:pt idx="194">
                  <c:v>44697</c:v>
                </c:pt>
                <c:pt idx="195">
                  <c:v>44698</c:v>
                </c:pt>
                <c:pt idx="196">
                  <c:v>44699</c:v>
                </c:pt>
                <c:pt idx="197">
                  <c:v>44700</c:v>
                </c:pt>
                <c:pt idx="198">
                  <c:v>44701</c:v>
                </c:pt>
                <c:pt idx="199">
                  <c:v>44704</c:v>
                </c:pt>
                <c:pt idx="200">
                  <c:v>44705</c:v>
                </c:pt>
                <c:pt idx="201">
                  <c:v>44706</c:v>
                </c:pt>
                <c:pt idx="202">
                  <c:v>44707</c:v>
                </c:pt>
                <c:pt idx="203">
                  <c:v>44708</c:v>
                </c:pt>
                <c:pt idx="204">
                  <c:v>44712</c:v>
                </c:pt>
                <c:pt idx="205">
                  <c:v>44713</c:v>
                </c:pt>
                <c:pt idx="206">
                  <c:v>44714</c:v>
                </c:pt>
                <c:pt idx="207">
                  <c:v>44715</c:v>
                </c:pt>
                <c:pt idx="208">
                  <c:v>44718</c:v>
                </c:pt>
                <c:pt idx="209">
                  <c:v>44719</c:v>
                </c:pt>
                <c:pt idx="210">
                  <c:v>44720</c:v>
                </c:pt>
                <c:pt idx="211">
                  <c:v>44721</c:v>
                </c:pt>
                <c:pt idx="212">
                  <c:v>44722</c:v>
                </c:pt>
                <c:pt idx="213">
                  <c:v>44725</c:v>
                </c:pt>
                <c:pt idx="214">
                  <c:v>44726</c:v>
                </c:pt>
                <c:pt idx="215">
                  <c:v>44727</c:v>
                </c:pt>
                <c:pt idx="216">
                  <c:v>44728</c:v>
                </c:pt>
                <c:pt idx="217">
                  <c:v>44729</c:v>
                </c:pt>
                <c:pt idx="218">
                  <c:v>44733</c:v>
                </c:pt>
                <c:pt idx="219">
                  <c:v>44734</c:v>
                </c:pt>
                <c:pt idx="220">
                  <c:v>44735</c:v>
                </c:pt>
                <c:pt idx="221">
                  <c:v>44736</c:v>
                </c:pt>
                <c:pt idx="222">
                  <c:v>44739</c:v>
                </c:pt>
                <c:pt idx="223">
                  <c:v>44740</c:v>
                </c:pt>
                <c:pt idx="224">
                  <c:v>44741</c:v>
                </c:pt>
                <c:pt idx="225">
                  <c:v>44742</c:v>
                </c:pt>
                <c:pt idx="226">
                  <c:v>44743</c:v>
                </c:pt>
                <c:pt idx="227">
                  <c:v>44747</c:v>
                </c:pt>
                <c:pt idx="228">
                  <c:v>44748</c:v>
                </c:pt>
                <c:pt idx="229">
                  <c:v>44749</c:v>
                </c:pt>
                <c:pt idx="230">
                  <c:v>44750</c:v>
                </c:pt>
                <c:pt idx="231">
                  <c:v>44753</c:v>
                </c:pt>
                <c:pt idx="232">
                  <c:v>44754</c:v>
                </c:pt>
                <c:pt idx="233">
                  <c:v>44755</c:v>
                </c:pt>
                <c:pt idx="234">
                  <c:v>44756</c:v>
                </c:pt>
                <c:pt idx="235">
                  <c:v>44757</c:v>
                </c:pt>
                <c:pt idx="236">
                  <c:v>44760</c:v>
                </c:pt>
                <c:pt idx="237">
                  <c:v>44761</c:v>
                </c:pt>
                <c:pt idx="238">
                  <c:v>44762</c:v>
                </c:pt>
                <c:pt idx="239">
                  <c:v>44763</c:v>
                </c:pt>
                <c:pt idx="240">
                  <c:v>44764</c:v>
                </c:pt>
                <c:pt idx="241">
                  <c:v>44767</c:v>
                </c:pt>
                <c:pt idx="242">
                  <c:v>44768</c:v>
                </c:pt>
                <c:pt idx="243">
                  <c:v>44769</c:v>
                </c:pt>
                <c:pt idx="244">
                  <c:v>44770</c:v>
                </c:pt>
                <c:pt idx="245">
                  <c:v>44771</c:v>
                </c:pt>
                <c:pt idx="246">
                  <c:v>44774</c:v>
                </c:pt>
                <c:pt idx="247">
                  <c:v>44775</c:v>
                </c:pt>
                <c:pt idx="248">
                  <c:v>44776</c:v>
                </c:pt>
                <c:pt idx="249">
                  <c:v>44777</c:v>
                </c:pt>
                <c:pt idx="250">
                  <c:v>44778</c:v>
                </c:pt>
                <c:pt idx="251">
                  <c:v>44781</c:v>
                </c:pt>
                <c:pt idx="252">
                  <c:v>44782</c:v>
                </c:pt>
                <c:pt idx="253">
                  <c:v>44783</c:v>
                </c:pt>
                <c:pt idx="254">
                  <c:v>44784</c:v>
                </c:pt>
                <c:pt idx="255">
                  <c:v>44785</c:v>
                </c:pt>
                <c:pt idx="256">
                  <c:v>44788</c:v>
                </c:pt>
                <c:pt idx="257">
                  <c:v>44789</c:v>
                </c:pt>
                <c:pt idx="258">
                  <c:v>44790</c:v>
                </c:pt>
                <c:pt idx="259">
                  <c:v>44791</c:v>
                </c:pt>
                <c:pt idx="260">
                  <c:v>44792</c:v>
                </c:pt>
                <c:pt idx="261">
                  <c:v>44795</c:v>
                </c:pt>
                <c:pt idx="262">
                  <c:v>44796</c:v>
                </c:pt>
                <c:pt idx="263">
                  <c:v>44797</c:v>
                </c:pt>
                <c:pt idx="264">
                  <c:v>44798</c:v>
                </c:pt>
                <c:pt idx="265">
                  <c:v>44799</c:v>
                </c:pt>
                <c:pt idx="266">
                  <c:v>44802</c:v>
                </c:pt>
                <c:pt idx="267">
                  <c:v>44803</c:v>
                </c:pt>
                <c:pt idx="268">
                  <c:v>44804</c:v>
                </c:pt>
                <c:pt idx="269">
                  <c:v>44805</c:v>
                </c:pt>
                <c:pt idx="270">
                  <c:v>44806</c:v>
                </c:pt>
                <c:pt idx="271">
                  <c:v>44810</c:v>
                </c:pt>
                <c:pt idx="272">
                  <c:v>44811</c:v>
                </c:pt>
                <c:pt idx="273">
                  <c:v>44812</c:v>
                </c:pt>
                <c:pt idx="274">
                  <c:v>44813</c:v>
                </c:pt>
                <c:pt idx="275">
                  <c:v>44816</c:v>
                </c:pt>
                <c:pt idx="276">
                  <c:v>44817</c:v>
                </c:pt>
                <c:pt idx="277">
                  <c:v>44818</c:v>
                </c:pt>
                <c:pt idx="278">
                  <c:v>44819</c:v>
                </c:pt>
                <c:pt idx="279">
                  <c:v>44820</c:v>
                </c:pt>
                <c:pt idx="280">
                  <c:v>44823</c:v>
                </c:pt>
                <c:pt idx="281">
                  <c:v>44824</c:v>
                </c:pt>
                <c:pt idx="282">
                  <c:v>44825</c:v>
                </c:pt>
                <c:pt idx="283">
                  <c:v>44826</c:v>
                </c:pt>
                <c:pt idx="284">
                  <c:v>44827</c:v>
                </c:pt>
                <c:pt idx="285">
                  <c:v>44830</c:v>
                </c:pt>
                <c:pt idx="286">
                  <c:v>44831</c:v>
                </c:pt>
                <c:pt idx="287">
                  <c:v>44832</c:v>
                </c:pt>
                <c:pt idx="288">
                  <c:v>44833</c:v>
                </c:pt>
                <c:pt idx="289">
                  <c:v>44834</c:v>
                </c:pt>
                <c:pt idx="290">
                  <c:v>44837</c:v>
                </c:pt>
                <c:pt idx="291">
                  <c:v>44838</c:v>
                </c:pt>
                <c:pt idx="292">
                  <c:v>44839</c:v>
                </c:pt>
                <c:pt idx="293">
                  <c:v>44840</c:v>
                </c:pt>
                <c:pt idx="294">
                  <c:v>44841</c:v>
                </c:pt>
                <c:pt idx="295">
                  <c:v>44844</c:v>
                </c:pt>
                <c:pt idx="296">
                  <c:v>44845</c:v>
                </c:pt>
                <c:pt idx="297">
                  <c:v>44846</c:v>
                </c:pt>
                <c:pt idx="298">
                  <c:v>44847</c:v>
                </c:pt>
                <c:pt idx="299">
                  <c:v>44848</c:v>
                </c:pt>
                <c:pt idx="300">
                  <c:v>44851</c:v>
                </c:pt>
                <c:pt idx="301">
                  <c:v>44852</c:v>
                </c:pt>
                <c:pt idx="302">
                  <c:v>44853</c:v>
                </c:pt>
                <c:pt idx="303">
                  <c:v>44854</c:v>
                </c:pt>
                <c:pt idx="304">
                  <c:v>44855</c:v>
                </c:pt>
                <c:pt idx="305">
                  <c:v>44858</c:v>
                </c:pt>
                <c:pt idx="306">
                  <c:v>44859</c:v>
                </c:pt>
                <c:pt idx="307">
                  <c:v>44860</c:v>
                </c:pt>
                <c:pt idx="308">
                  <c:v>44861</c:v>
                </c:pt>
                <c:pt idx="309">
                  <c:v>44862</c:v>
                </c:pt>
                <c:pt idx="310">
                  <c:v>44865</c:v>
                </c:pt>
                <c:pt idx="311">
                  <c:v>44866</c:v>
                </c:pt>
                <c:pt idx="312">
                  <c:v>44867</c:v>
                </c:pt>
                <c:pt idx="313">
                  <c:v>44868</c:v>
                </c:pt>
                <c:pt idx="314">
                  <c:v>44869</c:v>
                </c:pt>
                <c:pt idx="315">
                  <c:v>44872</c:v>
                </c:pt>
                <c:pt idx="316">
                  <c:v>44873</c:v>
                </c:pt>
                <c:pt idx="317">
                  <c:v>44874</c:v>
                </c:pt>
                <c:pt idx="318">
                  <c:v>44875</c:v>
                </c:pt>
                <c:pt idx="319">
                  <c:v>44876</c:v>
                </c:pt>
                <c:pt idx="320">
                  <c:v>44879</c:v>
                </c:pt>
                <c:pt idx="321">
                  <c:v>44880</c:v>
                </c:pt>
                <c:pt idx="322">
                  <c:v>44881</c:v>
                </c:pt>
                <c:pt idx="323">
                  <c:v>44882</c:v>
                </c:pt>
                <c:pt idx="324">
                  <c:v>44883</c:v>
                </c:pt>
                <c:pt idx="325">
                  <c:v>44886</c:v>
                </c:pt>
                <c:pt idx="326">
                  <c:v>44887</c:v>
                </c:pt>
                <c:pt idx="327">
                  <c:v>44888</c:v>
                </c:pt>
                <c:pt idx="328">
                  <c:v>44890</c:v>
                </c:pt>
                <c:pt idx="329">
                  <c:v>44893</c:v>
                </c:pt>
                <c:pt idx="330">
                  <c:v>44894</c:v>
                </c:pt>
                <c:pt idx="331">
                  <c:v>44895</c:v>
                </c:pt>
                <c:pt idx="332">
                  <c:v>44896</c:v>
                </c:pt>
                <c:pt idx="333">
                  <c:v>44897</c:v>
                </c:pt>
                <c:pt idx="334">
                  <c:v>44900</c:v>
                </c:pt>
                <c:pt idx="335">
                  <c:v>44901</c:v>
                </c:pt>
                <c:pt idx="336">
                  <c:v>44902</c:v>
                </c:pt>
                <c:pt idx="337">
                  <c:v>44903</c:v>
                </c:pt>
                <c:pt idx="338">
                  <c:v>44904</c:v>
                </c:pt>
                <c:pt idx="339">
                  <c:v>44907</c:v>
                </c:pt>
                <c:pt idx="340">
                  <c:v>44908</c:v>
                </c:pt>
                <c:pt idx="341">
                  <c:v>44909</c:v>
                </c:pt>
                <c:pt idx="342">
                  <c:v>44910</c:v>
                </c:pt>
                <c:pt idx="343">
                  <c:v>44911</c:v>
                </c:pt>
                <c:pt idx="344">
                  <c:v>44914</c:v>
                </c:pt>
                <c:pt idx="345">
                  <c:v>44915</c:v>
                </c:pt>
                <c:pt idx="346">
                  <c:v>44916</c:v>
                </c:pt>
                <c:pt idx="347">
                  <c:v>44917</c:v>
                </c:pt>
                <c:pt idx="348">
                  <c:v>44918</c:v>
                </c:pt>
                <c:pt idx="349">
                  <c:v>44922</c:v>
                </c:pt>
                <c:pt idx="350">
                  <c:v>44923</c:v>
                </c:pt>
                <c:pt idx="351">
                  <c:v>44924</c:v>
                </c:pt>
                <c:pt idx="352">
                  <c:v>44925</c:v>
                </c:pt>
                <c:pt idx="353">
                  <c:v>44929</c:v>
                </c:pt>
                <c:pt idx="354">
                  <c:v>44930</c:v>
                </c:pt>
                <c:pt idx="355">
                  <c:v>44931</c:v>
                </c:pt>
                <c:pt idx="356">
                  <c:v>44932</c:v>
                </c:pt>
                <c:pt idx="357">
                  <c:v>44935</c:v>
                </c:pt>
                <c:pt idx="358">
                  <c:v>44936</c:v>
                </c:pt>
                <c:pt idx="359">
                  <c:v>44937</c:v>
                </c:pt>
                <c:pt idx="360">
                  <c:v>44938</c:v>
                </c:pt>
                <c:pt idx="361">
                  <c:v>44939</c:v>
                </c:pt>
                <c:pt idx="362">
                  <c:v>44943</c:v>
                </c:pt>
                <c:pt idx="363">
                  <c:v>44944</c:v>
                </c:pt>
                <c:pt idx="364">
                  <c:v>44945</c:v>
                </c:pt>
                <c:pt idx="365">
                  <c:v>44946</c:v>
                </c:pt>
                <c:pt idx="366">
                  <c:v>44949</c:v>
                </c:pt>
                <c:pt idx="367">
                  <c:v>44950</c:v>
                </c:pt>
                <c:pt idx="368">
                  <c:v>44951</c:v>
                </c:pt>
                <c:pt idx="369">
                  <c:v>44952</c:v>
                </c:pt>
                <c:pt idx="370">
                  <c:v>44953</c:v>
                </c:pt>
                <c:pt idx="371">
                  <c:v>44956</c:v>
                </c:pt>
                <c:pt idx="372">
                  <c:v>44957</c:v>
                </c:pt>
                <c:pt idx="373">
                  <c:v>44958</c:v>
                </c:pt>
                <c:pt idx="374">
                  <c:v>44959</c:v>
                </c:pt>
                <c:pt idx="375">
                  <c:v>44960</c:v>
                </c:pt>
                <c:pt idx="376">
                  <c:v>44963</c:v>
                </c:pt>
                <c:pt idx="377">
                  <c:v>44964</c:v>
                </c:pt>
                <c:pt idx="378">
                  <c:v>44965</c:v>
                </c:pt>
                <c:pt idx="379">
                  <c:v>44966</c:v>
                </c:pt>
                <c:pt idx="380">
                  <c:v>44967</c:v>
                </c:pt>
                <c:pt idx="381">
                  <c:v>44970</c:v>
                </c:pt>
                <c:pt idx="382">
                  <c:v>44971</c:v>
                </c:pt>
                <c:pt idx="383">
                  <c:v>44972</c:v>
                </c:pt>
                <c:pt idx="384">
                  <c:v>44973</c:v>
                </c:pt>
                <c:pt idx="385">
                  <c:v>44974</c:v>
                </c:pt>
                <c:pt idx="386">
                  <c:v>44978</c:v>
                </c:pt>
                <c:pt idx="387">
                  <c:v>44979</c:v>
                </c:pt>
                <c:pt idx="388">
                  <c:v>44980</c:v>
                </c:pt>
                <c:pt idx="389">
                  <c:v>44981</c:v>
                </c:pt>
                <c:pt idx="390">
                  <c:v>44984</c:v>
                </c:pt>
                <c:pt idx="391">
                  <c:v>44985</c:v>
                </c:pt>
                <c:pt idx="392">
                  <c:v>44986</c:v>
                </c:pt>
                <c:pt idx="393">
                  <c:v>44987</c:v>
                </c:pt>
                <c:pt idx="394">
                  <c:v>44988</c:v>
                </c:pt>
                <c:pt idx="395">
                  <c:v>44991</c:v>
                </c:pt>
                <c:pt idx="396">
                  <c:v>44992</c:v>
                </c:pt>
                <c:pt idx="397">
                  <c:v>44993</c:v>
                </c:pt>
                <c:pt idx="398">
                  <c:v>44994</c:v>
                </c:pt>
                <c:pt idx="399">
                  <c:v>44995</c:v>
                </c:pt>
                <c:pt idx="400">
                  <c:v>44998</c:v>
                </c:pt>
                <c:pt idx="401">
                  <c:v>44999</c:v>
                </c:pt>
                <c:pt idx="402">
                  <c:v>45000</c:v>
                </c:pt>
                <c:pt idx="403">
                  <c:v>45001</c:v>
                </c:pt>
                <c:pt idx="404">
                  <c:v>45002</c:v>
                </c:pt>
                <c:pt idx="405">
                  <c:v>45005</c:v>
                </c:pt>
                <c:pt idx="406">
                  <c:v>45006</c:v>
                </c:pt>
                <c:pt idx="407">
                  <c:v>45007</c:v>
                </c:pt>
                <c:pt idx="408">
                  <c:v>45008</c:v>
                </c:pt>
                <c:pt idx="409">
                  <c:v>45009</c:v>
                </c:pt>
                <c:pt idx="410">
                  <c:v>45012</c:v>
                </c:pt>
                <c:pt idx="411">
                  <c:v>45013</c:v>
                </c:pt>
                <c:pt idx="412">
                  <c:v>45014</c:v>
                </c:pt>
                <c:pt idx="413">
                  <c:v>45015</c:v>
                </c:pt>
                <c:pt idx="414">
                  <c:v>45016</c:v>
                </c:pt>
                <c:pt idx="415">
                  <c:v>45019</c:v>
                </c:pt>
                <c:pt idx="416">
                  <c:v>45020</c:v>
                </c:pt>
                <c:pt idx="417">
                  <c:v>45021</c:v>
                </c:pt>
                <c:pt idx="418">
                  <c:v>45022</c:v>
                </c:pt>
                <c:pt idx="419">
                  <c:v>45026</c:v>
                </c:pt>
                <c:pt idx="420">
                  <c:v>45027</c:v>
                </c:pt>
                <c:pt idx="421">
                  <c:v>45028</c:v>
                </c:pt>
                <c:pt idx="422">
                  <c:v>45029</c:v>
                </c:pt>
                <c:pt idx="423">
                  <c:v>45030</c:v>
                </c:pt>
                <c:pt idx="424">
                  <c:v>45033</c:v>
                </c:pt>
                <c:pt idx="425">
                  <c:v>45034</c:v>
                </c:pt>
                <c:pt idx="426">
                  <c:v>45035</c:v>
                </c:pt>
                <c:pt idx="427">
                  <c:v>45036</c:v>
                </c:pt>
                <c:pt idx="428">
                  <c:v>45037</c:v>
                </c:pt>
                <c:pt idx="429">
                  <c:v>45040</c:v>
                </c:pt>
                <c:pt idx="430">
                  <c:v>45041</c:v>
                </c:pt>
                <c:pt idx="431">
                  <c:v>45042</c:v>
                </c:pt>
                <c:pt idx="432">
                  <c:v>45043</c:v>
                </c:pt>
                <c:pt idx="433">
                  <c:v>45044</c:v>
                </c:pt>
                <c:pt idx="434">
                  <c:v>45047</c:v>
                </c:pt>
                <c:pt idx="435">
                  <c:v>45048</c:v>
                </c:pt>
                <c:pt idx="436">
                  <c:v>45049</c:v>
                </c:pt>
                <c:pt idx="437">
                  <c:v>45050</c:v>
                </c:pt>
                <c:pt idx="438">
                  <c:v>45051</c:v>
                </c:pt>
                <c:pt idx="439">
                  <c:v>45054</c:v>
                </c:pt>
                <c:pt idx="440">
                  <c:v>45055</c:v>
                </c:pt>
                <c:pt idx="441">
                  <c:v>45056</c:v>
                </c:pt>
                <c:pt idx="442">
                  <c:v>45057</c:v>
                </c:pt>
                <c:pt idx="443">
                  <c:v>45058</c:v>
                </c:pt>
                <c:pt idx="444">
                  <c:v>45061</c:v>
                </c:pt>
                <c:pt idx="445">
                  <c:v>45062</c:v>
                </c:pt>
                <c:pt idx="446">
                  <c:v>45063</c:v>
                </c:pt>
                <c:pt idx="447">
                  <c:v>45064</c:v>
                </c:pt>
                <c:pt idx="448">
                  <c:v>45065</c:v>
                </c:pt>
                <c:pt idx="449">
                  <c:v>45068</c:v>
                </c:pt>
                <c:pt idx="450">
                  <c:v>45069</c:v>
                </c:pt>
                <c:pt idx="451">
                  <c:v>45070</c:v>
                </c:pt>
                <c:pt idx="452">
                  <c:v>45071</c:v>
                </c:pt>
                <c:pt idx="453">
                  <c:v>45072</c:v>
                </c:pt>
                <c:pt idx="454">
                  <c:v>45076</c:v>
                </c:pt>
                <c:pt idx="455">
                  <c:v>45077</c:v>
                </c:pt>
                <c:pt idx="456">
                  <c:v>45078</c:v>
                </c:pt>
                <c:pt idx="457">
                  <c:v>45079</c:v>
                </c:pt>
                <c:pt idx="458">
                  <c:v>45082</c:v>
                </c:pt>
                <c:pt idx="459">
                  <c:v>45083</c:v>
                </c:pt>
                <c:pt idx="460">
                  <c:v>45084</c:v>
                </c:pt>
                <c:pt idx="461">
                  <c:v>45085</c:v>
                </c:pt>
                <c:pt idx="462">
                  <c:v>45086</c:v>
                </c:pt>
                <c:pt idx="463">
                  <c:v>45089</c:v>
                </c:pt>
                <c:pt idx="464">
                  <c:v>45090</c:v>
                </c:pt>
                <c:pt idx="465">
                  <c:v>45091</c:v>
                </c:pt>
                <c:pt idx="466">
                  <c:v>45092</c:v>
                </c:pt>
                <c:pt idx="467">
                  <c:v>45093</c:v>
                </c:pt>
                <c:pt idx="468">
                  <c:v>45097</c:v>
                </c:pt>
                <c:pt idx="469">
                  <c:v>45098</c:v>
                </c:pt>
                <c:pt idx="470">
                  <c:v>45099</c:v>
                </c:pt>
                <c:pt idx="471">
                  <c:v>45100</c:v>
                </c:pt>
                <c:pt idx="472">
                  <c:v>45103</c:v>
                </c:pt>
                <c:pt idx="473">
                  <c:v>45104</c:v>
                </c:pt>
                <c:pt idx="474">
                  <c:v>45105</c:v>
                </c:pt>
                <c:pt idx="475">
                  <c:v>45106</c:v>
                </c:pt>
                <c:pt idx="476">
                  <c:v>45107</c:v>
                </c:pt>
                <c:pt idx="477">
                  <c:v>45110</c:v>
                </c:pt>
                <c:pt idx="478">
                  <c:v>45112</c:v>
                </c:pt>
                <c:pt idx="479">
                  <c:v>45113</c:v>
                </c:pt>
                <c:pt idx="480">
                  <c:v>45114</c:v>
                </c:pt>
                <c:pt idx="481">
                  <c:v>45117</c:v>
                </c:pt>
                <c:pt idx="482">
                  <c:v>45118</c:v>
                </c:pt>
                <c:pt idx="483">
                  <c:v>45119</c:v>
                </c:pt>
                <c:pt idx="484">
                  <c:v>45120</c:v>
                </c:pt>
                <c:pt idx="485">
                  <c:v>45121</c:v>
                </c:pt>
                <c:pt idx="486">
                  <c:v>45124</c:v>
                </c:pt>
                <c:pt idx="487">
                  <c:v>45125</c:v>
                </c:pt>
                <c:pt idx="488">
                  <c:v>45126</c:v>
                </c:pt>
                <c:pt idx="489">
                  <c:v>45127</c:v>
                </c:pt>
                <c:pt idx="490">
                  <c:v>45128</c:v>
                </c:pt>
                <c:pt idx="491">
                  <c:v>45131</c:v>
                </c:pt>
                <c:pt idx="492">
                  <c:v>45132</c:v>
                </c:pt>
                <c:pt idx="493">
                  <c:v>45133</c:v>
                </c:pt>
                <c:pt idx="494">
                  <c:v>45134</c:v>
                </c:pt>
                <c:pt idx="495">
                  <c:v>45135</c:v>
                </c:pt>
                <c:pt idx="496">
                  <c:v>45138</c:v>
                </c:pt>
                <c:pt idx="497">
                  <c:v>45139</c:v>
                </c:pt>
                <c:pt idx="498">
                  <c:v>45140</c:v>
                </c:pt>
                <c:pt idx="499">
                  <c:v>45141</c:v>
                </c:pt>
                <c:pt idx="500">
                  <c:v>45142</c:v>
                </c:pt>
                <c:pt idx="501">
                  <c:v>45145</c:v>
                </c:pt>
                <c:pt idx="502">
                  <c:v>45146</c:v>
                </c:pt>
                <c:pt idx="503">
                  <c:v>45147</c:v>
                </c:pt>
                <c:pt idx="504">
                  <c:v>45148</c:v>
                </c:pt>
                <c:pt idx="505">
                  <c:v>45149</c:v>
                </c:pt>
                <c:pt idx="506">
                  <c:v>45152</c:v>
                </c:pt>
                <c:pt idx="507">
                  <c:v>45153</c:v>
                </c:pt>
                <c:pt idx="508">
                  <c:v>45154</c:v>
                </c:pt>
                <c:pt idx="509">
                  <c:v>45155</c:v>
                </c:pt>
                <c:pt idx="510">
                  <c:v>45156</c:v>
                </c:pt>
                <c:pt idx="511">
                  <c:v>45159</c:v>
                </c:pt>
                <c:pt idx="512">
                  <c:v>45160</c:v>
                </c:pt>
                <c:pt idx="513">
                  <c:v>45161</c:v>
                </c:pt>
                <c:pt idx="514">
                  <c:v>45162</c:v>
                </c:pt>
                <c:pt idx="515">
                  <c:v>45163</c:v>
                </c:pt>
                <c:pt idx="516">
                  <c:v>45166</c:v>
                </c:pt>
                <c:pt idx="517">
                  <c:v>45167</c:v>
                </c:pt>
                <c:pt idx="518">
                  <c:v>45168</c:v>
                </c:pt>
                <c:pt idx="519">
                  <c:v>45169</c:v>
                </c:pt>
                <c:pt idx="520">
                  <c:v>45170</c:v>
                </c:pt>
                <c:pt idx="521">
                  <c:v>45174</c:v>
                </c:pt>
                <c:pt idx="522">
                  <c:v>45175</c:v>
                </c:pt>
                <c:pt idx="523">
                  <c:v>45176</c:v>
                </c:pt>
                <c:pt idx="524">
                  <c:v>45177</c:v>
                </c:pt>
                <c:pt idx="525">
                  <c:v>45180</c:v>
                </c:pt>
                <c:pt idx="526">
                  <c:v>45181</c:v>
                </c:pt>
                <c:pt idx="527">
                  <c:v>45182</c:v>
                </c:pt>
                <c:pt idx="528">
                  <c:v>45183</c:v>
                </c:pt>
                <c:pt idx="529">
                  <c:v>45184</c:v>
                </c:pt>
                <c:pt idx="530">
                  <c:v>45187</c:v>
                </c:pt>
                <c:pt idx="531">
                  <c:v>45188</c:v>
                </c:pt>
                <c:pt idx="532">
                  <c:v>45189</c:v>
                </c:pt>
                <c:pt idx="533">
                  <c:v>45190</c:v>
                </c:pt>
                <c:pt idx="534">
                  <c:v>45191</c:v>
                </c:pt>
                <c:pt idx="535">
                  <c:v>45194</c:v>
                </c:pt>
                <c:pt idx="536">
                  <c:v>45195</c:v>
                </c:pt>
                <c:pt idx="537">
                  <c:v>45196</c:v>
                </c:pt>
                <c:pt idx="538">
                  <c:v>45197</c:v>
                </c:pt>
                <c:pt idx="539">
                  <c:v>45198</c:v>
                </c:pt>
                <c:pt idx="540">
                  <c:v>45201</c:v>
                </c:pt>
                <c:pt idx="541">
                  <c:v>45202</c:v>
                </c:pt>
                <c:pt idx="542">
                  <c:v>45203</c:v>
                </c:pt>
                <c:pt idx="543">
                  <c:v>45204</c:v>
                </c:pt>
                <c:pt idx="544">
                  <c:v>45205</c:v>
                </c:pt>
                <c:pt idx="545">
                  <c:v>45208</c:v>
                </c:pt>
                <c:pt idx="546">
                  <c:v>45209</c:v>
                </c:pt>
                <c:pt idx="547">
                  <c:v>45210</c:v>
                </c:pt>
                <c:pt idx="548">
                  <c:v>45211</c:v>
                </c:pt>
                <c:pt idx="549">
                  <c:v>45212</c:v>
                </c:pt>
                <c:pt idx="550">
                  <c:v>45215</c:v>
                </c:pt>
                <c:pt idx="551">
                  <c:v>45216</c:v>
                </c:pt>
                <c:pt idx="552">
                  <c:v>45217</c:v>
                </c:pt>
                <c:pt idx="553">
                  <c:v>45218</c:v>
                </c:pt>
                <c:pt idx="554">
                  <c:v>45219</c:v>
                </c:pt>
                <c:pt idx="555">
                  <c:v>45222</c:v>
                </c:pt>
                <c:pt idx="556">
                  <c:v>45223</c:v>
                </c:pt>
                <c:pt idx="557">
                  <c:v>45224</c:v>
                </c:pt>
                <c:pt idx="558">
                  <c:v>45225</c:v>
                </c:pt>
                <c:pt idx="559">
                  <c:v>45226</c:v>
                </c:pt>
                <c:pt idx="560">
                  <c:v>45229</c:v>
                </c:pt>
                <c:pt idx="561">
                  <c:v>45230</c:v>
                </c:pt>
                <c:pt idx="562">
                  <c:v>45231</c:v>
                </c:pt>
                <c:pt idx="563">
                  <c:v>45232</c:v>
                </c:pt>
                <c:pt idx="564">
                  <c:v>45233</c:v>
                </c:pt>
                <c:pt idx="565">
                  <c:v>45236</c:v>
                </c:pt>
                <c:pt idx="566">
                  <c:v>45237</c:v>
                </c:pt>
                <c:pt idx="567">
                  <c:v>45238</c:v>
                </c:pt>
                <c:pt idx="568">
                  <c:v>45239</c:v>
                </c:pt>
                <c:pt idx="569">
                  <c:v>45240</c:v>
                </c:pt>
                <c:pt idx="570">
                  <c:v>45243</c:v>
                </c:pt>
                <c:pt idx="571">
                  <c:v>45244</c:v>
                </c:pt>
                <c:pt idx="572">
                  <c:v>45245</c:v>
                </c:pt>
                <c:pt idx="573">
                  <c:v>45246</c:v>
                </c:pt>
                <c:pt idx="574">
                  <c:v>45247</c:v>
                </c:pt>
                <c:pt idx="575">
                  <c:v>45250</c:v>
                </c:pt>
                <c:pt idx="576">
                  <c:v>45251</c:v>
                </c:pt>
                <c:pt idx="577">
                  <c:v>45252</c:v>
                </c:pt>
                <c:pt idx="578">
                  <c:v>45254</c:v>
                </c:pt>
                <c:pt idx="579">
                  <c:v>45257</c:v>
                </c:pt>
                <c:pt idx="580">
                  <c:v>45258</c:v>
                </c:pt>
                <c:pt idx="581">
                  <c:v>45259</c:v>
                </c:pt>
                <c:pt idx="582">
                  <c:v>45260</c:v>
                </c:pt>
                <c:pt idx="583">
                  <c:v>45261</c:v>
                </c:pt>
                <c:pt idx="584">
                  <c:v>45264</c:v>
                </c:pt>
                <c:pt idx="585">
                  <c:v>45265</c:v>
                </c:pt>
                <c:pt idx="586">
                  <c:v>45266</c:v>
                </c:pt>
                <c:pt idx="587">
                  <c:v>45267</c:v>
                </c:pt>
                <c:pt idx="588">
                  <c:v>45268</c:v>
                </c:pt>
                <c:pt idx="589">
                  <c:v>45271</c:v>
                </c:pt>
                <c:pt idx="590">
                  <c:v>45272</c:v>
                </c:pt>
                <c:pt idx="591">
                  <c:v>45273</c:v>
                </c:pt>
                <c:pt idx="592">
                  <c:v>45274</c:v>
                </c:pt>
                <c:pt idx="593">
                  <c:v>45275</c:v>
                </c:pt>
                <c:pt idx="594">
                  <c:v>45278</c:v>
                </c:pt>
                <c:pt idx="595">
                  <c:v>45279</c:v>
                </c:pt>
                <c:pt idx="596">
                  <c:v>45280</c:v>
                </c:pt>
                <c:pt idx="597">
                  <c:v>45281</c:v>
                </c:pt>
                <c:pt idx="598">
                  <c:v>45282</c:v>
                </c:pt>
                <c:pt idx="599">
                  <c:v>45286</c:v>
                </c:pt>
                <c:pt idx="600">
                  <c:v>45287</c:v>
                </c:pt>
                <c:pt idx="601">
                  <c:v>45288</c:v>
                </c:pt>
                <c:pt idx="602">
                  <c:v>45289</c:v>
                </c:pt>
                <c:pt idx="603">
                  <c:v>45293</c:v>
                </c:pt>
                <c:pt idx="604">
                  <c:v>45294</c:v>
                </c:pt>
                <c:pt idx="605">
                  <c:v>45295</c:v>
                </c:pt>
                <c:pt idx="606">
                  <c:v>45296</c:v>
                </c:pt>
                <c:pt idx="607">
                  <c:v>45299</c:v>
                </c:pt>
                <c:pt idx="608">
                  <c:v>45300</c:v>
                </c:pt>
                <c:pt idx="609">
                  <c:v>45301</c:v>
                </c:pt>
                <c:pt idx="610">
                  <c:v>45302</c:v>
                </c:pt>
                <c:pt idx="611">
                  <c:v>45303</c:v>
                </c:pt>
                <c:pt idx="612">
                  <c:v>45307</c:v>
                </c:pt>
                <c:pt idx="613">
                  <c:v>45308</c:v>
                </c:pt>
                <c:pt idx="614">
                  <c:v>45309</c:v>
                </c:pt>
                <c:pt idx="615">
                  <c:v>45310</c:v>
                </c:pt>
                <c:pt idx="616">
                  <c:v>45313</c:v>
                </c:pt>
                <c:pt idx="617">
                  <c:v>45314</c:v>
                </c:pt>
                <c:pt idx="618">
                  <c:v>45315</c:v>
                </c:pt>
                <c:pt idx="619">
                  <c:v>45316</c:v>
                </c:pt>
                <c:pt idx="620">
                  <c:v>45317</c:v>
                </c:pt>
                <c:pt idx="621">
                  <c:v>45320</c:v>
                </c:pt>
                <c:pt idx="622">
                  <c:v>45321</c:v>
                </c:pt>
                <c:pt idx="623">
                  <c:v>45322</c:v>
                </c:pt>
                <c:pt idx="624">
                  <c:v>45323</c:v>
                </c:pt>
                <c:pt idx="625">
                  <c:v>45324</c:v>
                </c:pt>
                <c:pt idx="626">
                  <c:v>45327</c:v>
                </c:pt>
                <c:pt idx="627">
                  <c:v>45328</c:v>
                </c:pt>
                <c:pt idx="628">
                  <c:v>45329</c:v>
                </c:pt>
                <c:pt idx="629">
                  <c:v>45330</c:v>
                </c:pt>
                <c:pt idx="630">
                  <c:v>45331</c:v>
                </c:pt>
                <c:pt idx="631">
                  <c:v>45334</c:v>
                </c:pt>
                <c:pt idx="632">
                  <c:v>45335</c:v>
                </c:pt>
                <c:pt idx="633">
                  <c:v>45336</c:v>
                </c:pt>
                <c:pt idx="634">
                  <c:v>45337</c:v>
                </c:pt>
                <c:pt idx="635">
                  <c:v>45338</c:v>
                </c:pt>
                <c:pt idx="636">
                  <c:v>45342</c:v>
                </c:pt>
                <c:pt idx="637">
                  <c:v>45343</c:v>
                </c:pt>
                <c:pt idx="638">
                  <c:v>45344</c:v>
                </c:pt>
                <c:pt idx="639">
                  <c:v>45345</c:v>
                </c:pt>
                <c:pt idx="640">
                  <c:v>45348</c:v>
                </c:pt>
                <c:pt idx="641">
                  <c:v>45349</c:v>
                </c:pt>
                <c:pt idx="642">
                  <c:v>45350</c:v>
                </c:pt>
                <c:pt idx="643">
                  <c:v>45351</c:v>
                </c:pt>
                <c:pt idx="644">
                  <c:v>45352</c:v>
                </c:pt>
                <c:pt idx="645">
                  <c:v>45355</c:v>
                </c:pt>
                <c:pt idx="646">
                  <c:v>45356</c:v>
                </c:pt>
                <c:pt idx="647">
                  <c:v>45357</c:v>
                </c:pt>
                <c:pt idx="648">
                  <c:v>45358</c:v>
                </c:pt>
                <c:pt idx="649">
                  <c:v>45359</c:v>
                </c:pt>
                <c:pt idx="650">
                  <c:v>45362</c:v>
                </c:pt>
                <c:pt idx="651">
                  <c:v>45363</c:v>
                </c:pt>
                <c:pt idx="652">
                  <c:v>45364</c:v>
                </c:pt>
                <c:pt idx="653">
                  <c:v>45365</c:v>
                </c:pt>
                <c:pt idx="654">
                  <c:v>45366</c:v>
                </c:pt>
                <c:pt idx="655">
                  <c:v>45369</c:v>
                </c:pt>
                <c:pt idx="656">
                  <c:v>45370</c:v>
                </c:pt>
                <c:pt idx="657">
                  <c:v>45371</c:v>
                </c:pt>
                <c:pt idx="658">
                  <c:v>45372</c:v>
                </c:pt>
                <c:pt idx="659">
                  <c:v>45373</c:v>
                </c:pt>
                <c:pt idx="660">
                  <c:v>45376</c:v>
                </c:pt>
                <c:pt idx="661">
                  <c:v>45377</c:v>
                </c:pt>
                <c:pt idx="662">
                  <c:v>45378</c:v>
                </c:pt>
                <c:pt idx="663">
                  <c:v>45379</c:v>
                </c:pt>
                <c:pt idx="664">
                  <c:v>45383</c:v>
                </c:pt>
                <c:pt idx="665">
                  <c:v>45384</c:v>
                </c:pt>
                <c:pt idx="666">
                  <c:v>45385</c:v>
                </c:pt>
                <c:pt idx="667">
                  <c:v>45386</c:v>
                </c:pt>
                <c:pt idx="668">
                  <c:v>45387</c:v>
                </c:pt>
                <c:pt idx="669">
                  <c:v>45390</c:v>
                </c:pt>
                <c:pt idx="670">
                  <c:v>45391</c:v>
                </c:pt>
                <c:pt idx="671">
                  <c:v>45392</c:v>
                </c:pt>
                <c:pt idx="672">
                  <c:v>45393</c:v>
                </c:pt>
                <c:pt idx="673">
                  <c:v>45394</c:v>
                </c:pt>
                <c:pt idx="674">
                  <c:v>45397</c:v>
                </c:pt>
                <c:pt idx="675">
                  <c:v>45398</c:v>
                </c:pt>
                <c:pt idx="676">
                  <c:v>45399</c:v>
                </c:pt>
                <c:pt idx="677">
                  <c:v>45400</c:v>
                </c:pt>
                <c:pt idx="678">
                  <c:v>45401</c:v>
                </c:pt>
                <c:pt idx="679">
                  <c:v>45404</c:v>
                </c:pt>
                <c:pt idx="680">
                  <c:v>45405</c:v>
                </c:pt>
                <c:pt idx="681">
                  <c:v>45406</c:v>
                </c:pt>
                <c:pt idx="682">
                  <c:v>45407</c:v>
                </c:pt>
                <c:pt idx="683">
                  <c:v>45408</c:v>
                </c:pt>
                <c:pt idx="684">
                  <c:v>45411</c:v>
                </c:pt>
                <c:pt idx="685">
                  <c:v>45412</c:v>
                </c:pt>
                <c:pt idx="686">
                  <c:v>45413</c:v>
                </c:pt>
                <c:pt idx="687">
                  <c:v>45414</c:v>
                </c:pt>
                <c:pt idx="688">
                  <c:v>45415</c:v>
                </c:pt>
                <c:pt idx="689">
                  <c:v>45418</c:v>
                </c:pt>
                <c:pt idx="690">
                  <c:v>45419</c:v>
                </c:pt>
                <c:pt idx="691">
                  <c:v>45420</c:v>
                </c:pt>
                <c:pt idx="692">
                  <c:v>45421</c:v>
                </c:pt>
                <c:pt idx="693">
                  <c:v>45422</c:v>
                </c:pt>
                <c:pt idx="694">
                  <c:v>45425</c:v>
                </c:pt>
                <c:pt idx="695">
                  <c:v>45426</c:v>
                </c:pt>
                <c:pt idx="696">
                  <c:v>45427</c:v>
                </c:pt>
                <c:pt idx="697">
                  <c:v>45428</c:v>
                </c:pt>
                <c:pt idx="698">
                  <c:v>45429</c:v>
                </c:pt>
                <c:pt idx="699">
                  <c:v>45432</c:v>
                </c:pt>
                <c:pt idx="700">
                  <c:v>45433</c:v>
                </c:pt>
                <c:pt idx="701">
                  <c:v>45434</c:v>
                </c:pt>
                <c:pt idx="702">
                  <c:v>45435</c:v>
                </c:pt>
                <c:pt idx="703">
                  <c:v>45436</c:v>
                </c:pt>
                <c:pt idx="704">
                  <c:v>45440</c:v>
                </c:pt>
                <c:pt idx="705">
                  <c:v>45441</c:v>
                </c:pt>
                <c:pt idx="706">
                  <c:v>45442</c:v>
                </c:pt>
                <c:pt idx="707">
                  <c:v>45443</c:v>
                </c:pt>
                <c:pt idx="708">
                  <c:v>45446</c:v>
                </c:pt>
                <c:pt idx="709">
                  <c:v>45447</c:v>
                </c:pt>
                <c:pt idx="710">
                  <c:v>45448</c:v>
                </c:pt>
                <c:pt idx="711">
                  <c:v>45449</c:v>
                </c:pt>
                <c:pt idx="712">
                  <c:v>45450</c:v>
                </c:pt>
                <c:pt idx="713">
                  <c:v>45453</c:v>
                </c:pt>
                <c:pt idx="714">
                  <c:v>45454</c:v>
                </c:pt>
                <c:pt idx="715">
                  <c:v>45455</c:v>
                </c:pt>
                <c:pt idx="716">
                  <c:v>45456</c:v>
                </c:pt>
                <c:pt idx="717">
                  <c:v>45457</c:v>
                </c:pt>
                <c:pt idx="718">
                  <c:v>45460</c:v>
                </c:pt>
                <c:pt idx="719">
                  <c:v>45461</c:v>
                </c:pt>
                <c:pt idx="720">
                  <c:v>45463</c:v>
                </c:pt>
                <c:pt idx="721">
                  <c:v>45464</c:v>
                </c:pt>
                <c:pt idx="722">
                  <c:v>45467</c:v>
                </c:pt>
                <c:pt idx="723">
                  <c:v>45468</c:v>
                </c:pt>
                <c:pt idx="724">
                  <c:v>45469</c:v>
                </c:pt>
                <c:pt idx="725">
                  <c:v>45470</c:v>
                </c:pt>
                <c:pt idx="726">
                  <c:v>45471</c:v>
                </c:pt>
                <c:pt idx="727">
                  <c:v>45474</c:v>
                </c:pt>
                <c:pt idx="728">
                  <c:v>45475</c:v>
                </c:pt>
                <c:pt idx="729">
                  <c:v>45476</c:v>
                </c:pt>
                <c:pt idx="730">
                  <c:v>45478</c:v>
                </c:pt>
                <c:pt idx="731">
                  <c:v>45481</c:v>
                </c:pt>
                <c:pt idx="732">
                  <c:v>45482</c:v>
                </c:pt>
                <c:pt idx="733">
                  <c:v>45483</c:v>
                </c:pt>
                <c:pt idx="734">
                  <c:v>45484</c:v>
                </c:pt>
                <c:pt idx="735">
                  <c:v>45485</c:v>
                </c:pt>
                <c:pt idx="736">
                  <c:v>45488</c:v>
                </c:pt>
                <c:pt idx="737">
                  <c:v>45489</c:v>
                </c:pt>
                <c:pt idx="738">
                  <c:v>45490</c:v>
                </c:pt>
                <c:pt idx="739">
                  <c:v>45491</c:v>
                </c:pt>
                <c:pt idx="740">
                  <c:v>45492</c:v>
                </c:pt>
                <c:pt idx="741">
                  <c:v>45495</c:v>
                </c:pt>
                <c:pt idx="742">
                  <c:v>45496</c:v>
                </c:pt>
                <c:pt idx="743">
                  <c:v>45497</c:v>
                </c:pt>
                <c:pt idx="744">
                  <c:v>45498</c:v>
                </c:pt>
                <c:pt idx="745">
                  <c:v>45499</c:v>
                </c:pt>
                <c:pt idx="746">
                  <c:v>45502</c:v>
                </c:pt>
                <c:pt idx="747">
                  <c:v>45503</c:v>
                </c:pt>
                <c:pt idx="748">
                  <c:v>45504</c:v>
                </c:pt>
                <c:pt idx="749">
                  <c:v>45505</c:v>
                </c:pt>
                <c:pt idx="750">
                  <c:v>45506</c:v>
                </c:pt>
                <c:pt idx="751">
                  <c:v>45509</c:v>
                </c:pt>
                <c:pt idx="752">
                  <c:v>45510</c:v>
                </c:pt>
                <c:pt idx="753">
                  <c:v>45511</c:v>
                </c:pt>
                <c:pt idx="754">
                  <c:v>45512</c:v>
                </c:pt>
                <c:pt idx="755">
                  <c:v>45513</c:v>
                </c:pt>
                <c:pt idx="756">
                  <c:v>45516</c:v>
                </c:pt>
                <c:pt idx="757">
                  <c:v>45517</c:v>
                </c:pt>
                <c:pt idx="758">
                  <c:v>45518</c:v>
                </c:pt>
                <c:pt idx="759">
                  <c:v>45519</c:v>
                </c:pt>
                <c:pt idx="760">
                  <c:v>45520</c:v>
                </c:pt>
                <c:pt idx="761">
                  <c:v>45523</c:v>
                </c:pt>
                <c:pt idx="762">
                  <c:v>45524</c:v>
                </c:pt>
                <c:pt idx="763">
                  <c:v>45525</c:v>
                </c:pt>
                <c:pt idx="764">
                  <c:v>45526</c:v>
                </c:pt>
                <c:pt idx="765">
                  <c:v>45527</c:v>
                </c:pt>
                <c:pt idx="766">
                  <c:v>45530</c:v>
                </c:pt>
                <c:pt idx="767">
                  <c:v>45531</c:v>
                </c:pt>
                <c:pt idx="768">
                  <c:v>45532</c:v>
                </c:pt>
                <c:pt idx="769">
                  <c:v>45533</c:v>
                </c:pt>
                <c:pt idx="770">
                  <c:v>45534</c:v>
                </c:pt>
                <c:pt idx="771">
                  <c:v>45538</c:v>
                </c:pt>
                <c:pt idx="772">
                  <c:v>45539</c:v>
                </c:pt>
                <c:pt idx="773">
                  <c:v>45540</c:v>
                </c:pt>
                <c:pt idx="774">
                  <c:v>45541</c:v>
                </c:pt>
                <c:pt idx="775">
                  <c:v>45544</c:v>
                </c:pt>
                <c:pt idx="776">
                  <c:v>45545</c:v>
                </c:pt>
                <c:pt idx="777">
                  <c:v>45546</c:v>
                </c:pt>
                <c:pt idx="778">
                  <c:v>45547</c:v>
                </c:pt>
                <c:pt idx="779">
                  <c:v>45548</c:v>
                </c:pt>
                <c:pt idx="780">
                  <c:v>45551</c:v>
                </c:pt>
                <c:pt idx="781">
                  <c:v>45552</c:v>
                </c:pt>
                <c:pt idx="782">
                  <c:v>45553</c:v>
                </c:pt>
                <c:pt idx="783">
                  <c:v>45554</c:v>
                </c:pt>
                <c:pt idx="784">
                  <c:v>45555</c:v>
                </c:pt>
                <c:pt idx="785">
                  <c:v>45558</c:v>
                </c:pt>
                <c:pt idx="786">
                  <c:v>45559</c:v>
                </c:pt>
                <c:pt idx="787">
                  <c:v>45560</c:v>
                </c:pt>
                <c:pt idx="788">
                  <c:v>45561</c:v>
                </c:pt>
                <c:pt idx="789">
                  <c:v>45562</c:v>
                </c:pt>
                <c:pt idx="790">
                  <c:v>45565</c:v>
                </c:pt>
                <c:pt idx="791">
                  <c:v>45566</c:v>
                </c:pt>
                <c:pt idx="792">
                  <c:v>45567</c:v>
                </c:pt>
                <c:pt idx="793">
                  <c:v>45568</c:v>
                </c:pt>
                <c:pt idx="794">
                  <c:v>45569</c:v>
                </c:pt>
                <c:pt idx="795">
                  <c:v>45572</c:v>
                </c:pt>
                <c:pt idx="796">
                  <c:v>45573</c:v>
                </c:pt>
                <c:pt idx="797">
                  <c:v>45574</c:v>
                </c:pt>
                <c:pt idx="798">
                  <c:v>45575</c:v>
                </c:pt>
                <c:pt idx="799">
                  <c:v>45576</c:v>
                </c:pt>
                <c:pt idx="800">
                  <c:v>45579</c:v>
                </c:pt>
                <c:pt idx="801">
                  <c:v>45580</c:v>
                </c:pt>
                <c:pt idx="802">
                  <c:v>45581</c:v>
                </c:pt>
                <c:pt idx="803">
                  <c:v>45582</c:v>
                </c:pt>
                <c:pt idx="804">
                  <c:v>45583</c:v>
                </c:pt>
                <c:pt idx="805">
                  <c:v>45586</c:v>
                </c:pt>
                <c:pt idx="806">
                  <c:v>45587</c:v>
                </c:pt>
                <c:pt idx="807">
                  <c:v>45588</c:v>
                </c:pt>
                <c:pt idx="808">
                  <c:v>45589</c:v>
                </c:pt>
                <c:pt idx="809">
                  <c:v>45590</c:v>
                </c:pt>
                <c:pt idx="810">
                  <c:v>45593</c:v>
                </c:pt>
                <c:pt idx="811">
                  <c:v>45594</c:v>
                </c:pt>
                <c:pt idx="812">
                  <c:v>45595</c:v>
                </c:pt>
                <c:pt idx="813">
                  <c:v>45596</c:v>
                </c:pt>
                <c:pt idx="814">
                  <c:v>45597</c:v>
                </c:pt>
                <c:pt idx="815">
                  <c:v>45600</c:v>
                </c:pt>
                <c:pt idx="816">
                  <c:v>45601</c:v>
                </c:pt>
                <c:pt idx="817">
                  <c:v>45602</c:v>
                </c:pt>
                <c:pt idx="818">
                  <c:v>45603</c:v>
                </c:pt>
                <c:pt idx="819">
                  <c:v>45604</c:v>
                </c:pt>
                <c:pt idx="820">
                  <c:v>45607</c:v>
                </c:pt>
                <c:pt idx="821">
                  <c:v>45608</c:v>
                </c:pt>
                <c:pt idx="822">
                  <c:v>45609</c:v>
                </c:pt>
                <c:pt idx="823">
                  <c:v>45610</c:v>
                </c:pt>
                <c:pt idx="824">
                  <c:v>45611</c:v>
                </c:pt>
                <c:pt idx="825">
                  <c:v>45614</c:v>
                </c:pt>
                <c:pt idx="826">
                  <c:v>45615</c:v>
                </c:pt>
                <c:pt idx="827">
                  <c:v>45616</c:v>
                </c:pt>
                <c:pt idx="828">
                  <c:v>45617</c:v>
                </c:pt>
                <c:pt idx="829">
                  <c:v>45618</c:v>
                </c:pt>
                <c:pt idx="830">
                  <c:v>45621</c:v>
                </c:pt>
                <c:pt idx="831">
                  <c:v>45622</c:v>
                </c:pt>
                <c:pt idx="832">
                  <c:v>45623</c:v>
                </c:pt>
                <c:pt idx="833">
                  <c:v>45625</c:v>
                </c:pt>
                <c:pt idx="834">
                  <c:v>45628</c:v>
                </c:pt>
                <c:pt idx="835">
                  <c:v>45629</c:v>
                </c:pt>
                <c:pt idx="836">
                  <c:v>45630</c:v>
                </c:pt>
                <c:pt idx="837">
                  <c:v>45631</c:v>
                </c:pt>
                <c:pt idx="838">
                  <c:v>45632</c:v>
                </c:pt>
                <c:pt idx="839">
                  <c:v>45635</c:v>
                </c:pt>
                <c:pt idx="840">
                  <c:v>45636</c:v>
                </c:pt>
                <c:pt idx="841">
                  <c:v>45637</c:v>
                </c:pt>
                <c:pt idx="842">
                  <c:v>45638</c:v>
                </c:pt>
                <c:pt idx="843">
                  <c:v>45639</c:v>
                </c:pt>
                <c:pt idx="844">
                  <c:v>45642</c:v>
                </c:pt>
                <c:pt idx="845">
                  <c:v>45643</c:v>
                </c:pt>
                <c:pt idx="846">
                  <c:v>45644</c:v>
                </c:pt>
                <c:pt idx="847">
                  <c:v>45645</c:v>
                </c:pt>
                <c:pt idx="848">
                  <c:v>45646</c:v>
                </c:pt>
                <c:pt idx="849">
                  <c:v>45649</c:v>
                </c:pt>
                <c:pt idx="850">
                  <c:v>45650</c:v>
                </c:pt>
                <c:pt idx="851">
                  <c:v>45652</c:v>
                </c:pt>
                <c:pt idx="852">
                  <c:v>45653</c:v>
                </c:pt>
                <c:pt idx="853">
                  <c:v>45656</c:v>
                </c:pt>
                <c:pt idx="854">
                  <c:v>45657</c:v>
                </c:pt>
                <c:pt idx="855">
                  <c:v>45659</c:v>
                </c:pt>
                <c:pt idx="856">
                  <c:v>45660</c:v>
                </c:pt>
                <c:pt idx="857">
                  <c:v>45663</c:v>
                </c:pt>
                <c:pt idx="858">
                  <c:v>45664</c:v>
                </c:pt>
                <c:pt idx="859">
                  <c:v>45665</c:v>
                </c:pt>
                <c:pt idx="860">
                  <c:v>45667</c:v>
                </c:pt>
                <c:pt idx="861">
                  <c:v>45670</c:v>
                </c:pt>
                <c:pt idx="862">
                  <c:v>45671</c:v>
                </c:pt>
                <c:pt idx="863">
                  <c:v>45672</c:v>
                </c:pt>
                <c:pt idx="864">
                  <c:v>45673</c:v>
                </c:pt>
                <c:pt idx="865">
                  <c:v>45674</c:v>
                </c:pt>
                <c:pt idx="866">
                  <c:v>45678</c:v>
                </c:pt>
                <c:pt idx="867">
                  <c:v>45679</c:v>
                </c:pt>
                <c:pt idx="868">
                  <c:v>45680</c:v>
                </c:pt>
                <c:pt idx="869">
                  <c:v>45681</c:v>
                </c:pt>
                <c:pt idx="870">
                  <c:v>45684</c:v>
                </c:pt>
                <c:pt idx="871">
                  <c:v>45685</c:v>
                </c:pt>
                <c:pt idx="872">
                  <c:v>45686</c:v>
                </c:pt>
                <c:pt idx="873">
                  <c:v>45687</c:v>
                </c:pt>
                <c:pt idx="874">
                  <c:v>45688</c:v>
                </c:pt>
                <c:pt idx="875">
                  <c:v>45691</c:v>
                </c:pt>
                <c:pt idx="876">
                  <c:v>45692</c:v>
                </c:pt>
                <c:pt idx="877">
                  <c:v>45693</c:v>
                </c:pt>
                <c:pt idx="878">
                  <c:v>45694</c:v>
                </c:pt>
                <c:pt idx="879">
                  <c:v>45695</c:v>
                </c:pt>
                <c:pt idx="880">
                  <c:v>45698</c:v>
                </c:pt>
                <c:pt idx="881">
                  <c:v>45699</c:v>
                </c:pt>
                <c:pt idx="882">
                  <c:v>45700</c:v>
                </c:pt>
                <c:pt idx="883">
                  <c:v>45701</c:v>
                </c:pt>
                <c:pt idx="884">
                  <c:v>45702</c:v>
                </c:pt>
                <c:pt idx="885">
                  <c:v>45706</c:v>
                </c:pt>
                <c:pt idx="886">
                  <c:v>45707</c:v>
                </c:pt>
                <c:pt idx="887">
                  <c:v>45708</c:v>
                </c:pt>
                <c:pt idx="888">
                  <c:v>45709</c:v>
                </c:pt>
                <c:pt idx="889">
                  <c:v>45712</c:v>
                </c:pt>
                <c:pt idx="890">
                  <c:v>45713</c:v>
                </c:pt>
                <c:pt idx="891">
                  <c:v>45714</c:v>
                </c:pt>
                <c:pt idx="892">
                  <c:v>45715</c:v>
                </c:pt>
                <c:pt idx="893">
                  <c:v>45716</c:v>
                </c:pt>
                <c:pt idx="894">
                  <c:v>45719</c:v>
                </c:pt>
                <c:pt idx="895">
                  <c:v>45720</c:v>
                </c:pt>
                <c:pt idx="896">
                  <c:v>45721</c:v>
                </c:pt>
                <c:pt idx="897">
                  <c:v>45722</c:v>
                </c:pt>
                <c:pt idx="898">
                  <c:v>45723</c:v>
                </c:pt>
                <c:pt idx="899">
                  <c:v>45726</c:v>
                </c:pt>
                <c:pt idx="900">
                  <c:v>45727</c:v>
                </c:pt>
                <c:pt idx="901">
                  <c:v>45728</c:v>
                </c:pt>
                <c:pt idx="902">
                  <c:v>45729</c:v>
                </c:pt>
                <c:pt idx="903">
                  <c:v>45730</c:v>
                </c:pt>
                <c:pt idx="904">
                  <c:v>45733</c:v>
                </c:pt>
                <c:pt idx="905">
                  <c:v>45734</c:v>
                </c:pt>
                <c:pt idx="906">
                  <c:v>45735</c:v>
                </c:pt>
                <c:pt idx="907">
                  <c:v>45736</c:v>
                </c:pt>
                <c:pt idx="908">
                  <c:v>45737</c:v>
                </c:pt>
                <c:pt idx="909">
                  <c:v>45740</c:v>
                </c:pt>
                <c:pt idx="910">
                  <c:v>45741</c:v>
                </c:pt>
                <c:pt idx="911">
                  <c:v>45742</c:v>
                </c:pt>
                <c:pt idx="912">
                  <c:v>45743</c:v>
                </c:pt>
                <c:pt idx="913">
                  <c:v>45744</c:v>
                </c:pt>
                <c:pt idx="914">
                  <c:v>45747</c:v>
                </c:pt>
                <c:pt idx="915">
                  <c:v>45748</c:v>
                </c:pt>
                <c:pt idx="916">
                  <c:v>45749</c:v>
                </c:pt>
                <c:pt idx="917">
                  <c:v>45750</c:v>
                </c:pt>
                <c:pt idx="918">
                  <c:v>45751</c:v>
                </c:pt>
                <c:pt idx="919">
                  <c:v>45754</c:v>
                </c:pt>
                <c:pt idx="920">
                  <c:v>45755</c:v>
                </c:pt>
                <c:pt idx="921">
                  <c:v>45756</c:v>
                </c:pt>
                <c:pt idx="922">
                  <c:v>45757</c:v>
                </c:pt>
                <c:pt idx="923">
                  <c:v>45758</c:v>
                </c:pt>
                <c:pt idx="924">
                  <c:v>45761</c:v>
                </c:pt>
                <c:pt idx="925">
                  <c:v>45762</c:v>
                </c:pt>
                <c:pt idx="926">
                  <c:v>45763</c:v>
                </c:pt>
                <c:pt idx="927">
                  <c:v>45764</c:v>
                </c:pt>
                <c:pt idx="928">
                  <c:v>45768</c:v>
                </c:pt>
                <c:pt idx="929">
                  <c:v>45769</c:v>
                </c:pt>
                <c:pt idx="930">
                  <c:v>45770</c:v>
                </c:pt>
                <c:pt idx="931">
                  <c:v>45771</c:v>
                </c:pt>
                <c:pt idx="932">
                  <c:v>45772</c:v>
                </c:pt>
                <c:pt idx="933">
                  <c:v>45775</c:v>
                </c:pt>
                <c:pt idx="934">
                  <c:v>45776</c:v>
                </c:pt>
                <c:pt idx="935">
                  <c:v>45777</c:v>
                </c:pt>
                <c:pt idx="936">
                  <c:v>45778</c:v>
                </c:pt>
                <c:pt idx="937">
                  <c:v>45779</c:v>
                </c:pt>
                <c:pt idx="938">
                  <c:v>45782</c:v>
                </c:pt>
                <c:pt idx="939">
                  <c:v>45783</c:v>
                </c:pt>
                <c:pt idx="940">
                  <c:v>45784</c:v>
                </c:pt>
                <c:pt idx="941">
                  <c:v>45785</c:v>
                </c:pt>
                <c:pt idx="942">
                  <c:v>45786</c:v>
                </c:pt>
                <c:pt idx="943">
                  <c:v>45789</c:v>
                </c:pt>
                <c:pt idx="944">
                  <c:v>45790</c:v>
                </c:pt>
                <c:pt idx="945">
                  <c:v>45791</c:v>
                </c:pt>
                <c:pt idx="946">
                  <c:v>45792</c:v>
                </c:pt>
                <c:pt idx="947">
                  <c:v>45793</c:v>
                </c:pt>
                <c:pt idx="948">
                  <c:v>45796</c:v>
                </c:pt>
                <c:pt idx="949">
                  <c:v>45797</c:v>
                </c:pt>
                <c:pt idx="950">
                  <c:v>45798</c:v>
                </c:pt>
                <c:pt idx="951">
                  <c:v>45799</c:v>
                </c:pt>
                <c:pt idx="952">
                  <c:v>45800</c:v>
                </c:pt>
                <c:pt idx="953">
                  <c:v>45804</c:v>
                </c:pt>
                <c:pt idx="954">
                  <c:v>45805</c:v>
                </c:pt>
                <c:pt idx="955">
                  <c:v>45806</c:v>
                </c:pt>
                <c:pt idx="956">
                  <c:v>45807</c:v>
                </c:pt>
                <c:pt idx="957">
                  <c:v>45810</c:v>
                </c:pt>
                <c:pt idx="958">
                  <c:v>45811</c:v>
                </c:pt>
                <c:pt idx="959">
                  <c:v>45812</c:v>
                </c:pt>
                <c:pt idx="960">
                  <c:v>45813</c:v>
                </c:pt>
                <c:pt idx="961">
                  <c:v>45814</c:v>
                </c:pt>
                <c:pt idx="962">
                  <c:v>45817</c:v>
                </c:pt>
                <c:pt idx="963">
                  <c:v>45818</c:v>
                </c:pt>
                <c:pt idx="964">
                  <c:v>45819</c:v>
                </c:pt>
                <c:pt idx="965">
                  <c:v>45820</c:v>
                </c:pt>
                <c:pt idx="966">
                  <c:v>45821</c:v>
                </c:pt>
                <c:pt idx="967">
                  <c:v>45824</c:v>
                </c:pt>
                <c:pt idx="968">
                  <c:v>45825</c:v>
                </c:pt>
                <c:pt idx="969">
                  <c:v>45826</c:v>
                </c:pt>
                <c:pt idx="970">
                  <c:v>45828</c:v>
                </c:pt>
                <c:pt idx="971">
                  <c:v>45831</c:v>
                </c:pt>
                <c:pt idx="972">
                  <c:v>45832</c:v>
                </c:pt>
                <c:pt idx="973">
                  <c:v>45833</c:v>
                </c:pt>
                <c:pt idx="974">
                  <c:v>45834</c:v>
                </c:pt>
                <c:pt idx="975">
                  <c:v>45835</c:v>
                </c:pt>
                <c:pt idx="976">
                  <c:v>45838</c:v>
                </c:pt>
                <c:pt idx="977">
                  <c:v>45839</c:v>
                </c:pt>
                <c:pt idx="978">
                  <c:v>45840</c:v>
                </c:pt>
                <c:pt idx="979">
                  <c:v>45841</c:v>
                </c:pt>
                <c:pt idx="980">
                  <c:v>45845</c:v>
                </c:pt>
                <c:pt idx="981">
                  <c:v>45846</c:v>
                </c:pt>
                <c:pt idx="982">
                  <c:v>45847</c:v>
                </c:pt>
                <c:pt idx="983">
                  <c:v>45848</c:v>
                </c:pt>
                <c:pt idx="984">
                  <c:v>45849</c:v>
                </c:pt>
                <c:pt idx="985">
                  <c:v>45852</c:v>
                </c:pt>
                <c:pt idx="986">
                  <c:v>45853</c:v>
                </c:pt>
                <c:pt idx="987">
                  <c:v>45854</c:v>
                </c:pt>
                <c:pt idx="988">
                  <c:v>45855</c:v>
                </c:pt>
                <c:pt idx="989">
                  <c:v>45856</c:v>
                </c:pt>
                <c:pt idx="990">
                  <c:v>45859</c:v>
                </c:pt>
                <c:pt idx="991">
                  <c:v>45860</c:v>
                </c:pt>
                <c:pt idx="992">
                  <c:v>45861</c:v>
                </c:pt>
                <c:pt idx="993">
                  <c:v>45862</c:v>
                </c:pt>
                <c:pt idx="994">
                  <c:v>45863</c:v>
                </c:pt>
                <c:pt idx="995">
                  <c:v>45866</c:v>
                </c:pt>
                <c:pt idx="996">
                  <c:v>45867</c:v>
                </c:pt>
                <c:pt idx="997">
                  <c:v>45868</c:v>
                </c:pt>
                <c:pt idx="998">
                  <c:v>45869</c:v>
                </c:pt>
                <c:pt idx="999">
                  <c:v>45870</c:v>
                </c:pt>
                <c:pt idx="1000">
                  <c:v>45873</c:v>
                </c:pt>
                <c:pt idx="1001">
                  <c:v>45874</c:v>
                </c:pt>
                <c:pt idx="1002">
                  <c:v>45875</c:v>
                </c:pt>
                <c:pt idx="1003">
                  <c:v>45876</c:v>
                </c:pt>
                <c:pt idx="1004">
                  <c:v>45877</c:v>
                </c:pt>
                <c:pt idx="1005">
                  <c:v>45880</c:v>
                </c:pt>
                <c:pt idx="1006">
                  <c:v>45881</c:v>
                </c:pt>
                <c:pt idx="1007">
                  <c:v>45882</c:v>
                </c:pt>
                <c:pt idx="1008">
                  <c:v>45883</c:v>
                </c:pt>
                <c:pt idx="1009">
                  <c:v>45884</c:v>
                </c:pt>
                <c:pt idx="1010">
                  <c:v>45887</c:v>
                </c:pt>
                <c:pt idx="1011">
                  <c:v>45888</c:v>
                </c:pt>
                <c:pt idx="1012">
                  <c:v>45889</c:v>
                </c:pt>
                <c:pt idx="1013">
                  <c:v>45890</c:v>
                </c:pt>
                <c:pt idx="1014">
                  <c:v>45891</c:v>
                </c:pt>
                <c:pt idx="1015">
                  <c:v>45894</c:v>
                </c:pt>
                <c:pt idx="1016">
                  <c:v>45895</c:v>
                </c:pt>
                <c:pt idx="1017">
                  <c:v>45896</c:v>
                </c:pt>
                <c:pt idx="1018">
                  <c:v>45897</c:v>
                </c:pt>
                <c:pt idx="1019">
                  <c:v>45898</c:v>
                </c:pt>
                <c:pt idx="1020">
                  <c:v>45902</c:v>
                </c:pt>
                <c:pt idx="1021">
                  <c:v>45903</c:v>
                </c:pt>
                <c:pt idx="1022">
                  <c:v>45904</c:v>
                </c:pt>
                <c:pt idx="1023">
                  <c:v>45905</c:v>
                </c:pt>
                <c:pt idx="1024">
                  <c:v>45908</c:v>
                </c:pt>
                <c:pt idx="1025">
                  <c:v>45909</c:v>
                </c:pt>
                <c:pt idx="1026">
                  <c:v>45910</c:v>
                </c:pt>
                <c:pt idx="1027">
                  <c:v>45911</c:v>
                </c:pt>
                <c:pt idx="1028">
                  <c:v>45912</c:v>
                </c:pt>
                <c:pt idx="1029">
                  <c:v>45915</c:v>
                </c:pt>
                <c:pt idx="1030">
                  <c:v>45916</c:v>
                </c:pt>
                <c:pt idx="1031">
                  <c:v>45917</c:v>
                </c:pt>
                <c:pt idx="1032">
                  <c:v>45918</c:v>
                </c:pt>
                <c:pt idx="1033">
                  <c:v>45919</c:v>
                </c:pt>
                <c:pt idx="1034">
                  <c:v>45922</c:v>
                </c:pt>
                <c:pt idx="1035">
                  <c:v>45923</c:v>
                </c:pt>
                <c:pt idx="1036">
                  <c:v>45924</c:v>
                </c:pt>
                <c:pt idx="1037">
                  <c:v>45925</c:v>
                </c:pt>
                <c:pt idx="1038">
                  <c:v>45926</c:v>
                </c:pt>
                <c:pt idx="1039">
                  <c:v>45929</c:v>
                </c:pt>
                <c:pt idx="1040">
                  <c:v>45930</c:v>
                </c:pt>
                <c:pt idx="1041">
                  <c:v>45931</c:v>
                </c:pt>
                <c:pt idx="1042">
                  <c:v>45932</c:v>
                </c:pt>
                <c:pt idx="1043">
                  <c:v>45933</c:v>
                </c:pt>
                <c:pt idx="1044">
                  <c:v>45936</c:v>
                </c:pt>
                <c:pt idx="1045">
                  <c:v>45937</c:v>
                </c:pt>
                <c:pt idx="1046">
                  <c:v>45938</c:v>
                </c:pt>
                <c:pt idx="1047">
                  <c:v>45939</c:v>
                </c:pt>
                <c:pt idx="1048">
                  <c:v>45940</c:v>
                </c:pt>
                <c:pt idx="1049">
                  <c:v>45943</c:v>
                </c:pt>
                <c:pt idx="1050">
                  <c:v>45944</c:v>
                </c:pt>
                <c:pt idx="1051">
                  <c:v>45945</c:v>
                </c:pt>
                <c:pt idx="1052">
                  <c:v>45946</c:v>
                </c:pt>
                <c:pt idx="1053">
                  <c:v>45947</c:v>
                </c:pt>
                <c:pt idx="1054">
                  <c:v>45950</c:v>
                </c:pt>
                <c:pt idx="1055">
                  <c:v>45951</c:v>
                </c:pt>
                <c:pt idx="1056">
                  <c:v>45952</c:v>
                </c:pt>
                <c:pt idx="1057">
                  <c:v>45953</c:v>
                </c:pt>
                <c:pt idx="1058">
                  <c:v>45954</c:v>
                </c:pt>
                <c:pt idx="1059">
                  <c:v>45957</c:v>
                </c:pt>
                <c:pt idx="1060">
                  <c:v>45958</c:v>
                </c:pt>
                <c:pt idx="1061">
                  <c:v>45959</c:v>
                </c:pt>
                <c:pt idx="1062">
                  <c:v>45960</c:v>
                </c:pt>
                <c:pt idx="1063">
                  <c:v>45961</c:v>
                </c:pt>
                <c:pt idx="1064">
                  <c:v>45964</c:v>
                </c:pt>
                <c:pt idx="1065">
                  <c:v>45965</c:v>
                </c:pt>
                <c:pt idx="1066">
                  <c:v>45966</c:v>
                </c:pt>
                <c:pt idx="1067">
                  <c:v>45967</c:v>
                </c:pt>
                <c:pt idx="1068">
                  <c:v>45968</c:v>
                </c:pt>
                <c:pt idx="1069">
                  <c:v>45971</c:v>
                </c:pt>
                <c:pt idx="1070">
                  <c:v>45972</c:v>
                </c:pt>
                <c:pt idx="1071">
                  <c:v>45973</c:v>
                </c:pt>
                <c:pt idx="1072">
                  <c:v>45974</c:v>
                </c:pt>
                <c:pt idx="1073">
                  <c:v>45975</c:v>
                </c:pt>
                <c:pt idx="1074">
                  <c:v>45978</c:v>
                </c:pt>
                <c:pt idx="1075">
                  <c:v>45979</c:v>
                </c:pt>
                <c:pt idx="1076">
                  <c:v>45980</c:v>
                </c:pt>
                <c:pt idx="1077">
                  <c:v>45981</c:v>
                </c:pt>
                <c:pt idx="1078">
                  <c:v>45982</c:v>
                </c:pt>
                <c:pt idx="1079">
                  <c:v>45985</c:v>
                </c:pt>
                <c:pt idx="1080">
                  <c:v>45986</c:v>
                </c:pt>
                <c:pt idx="1081">
                  <c:v>45987</c:v>
                </c:pt>
                <c:pt idx="1082">
                  <c:v>45989</c:v>
                </c:pt>
                <c:pt idx="1083">
                  <c:v>45992</c:v>
                </c:pt>
                <c:pt idx="1084">
                  <c:v>45993</c:v>
                </c:pt>
                <c:pt idx="1085">
                  <c:v>45994</c:v>
                </c:pt>
                <c:pt idx="1086">
                  <c:v>45995</c:v>
                </c:pt>
                <c:pt idx="1087">
                  <c:v>45996</c:v>
                </c:pt>
                <c:pt idx="1088">
                  <c:v>45999</c:v>
                </c:pt>
                <c:pt idx="1089">
                  <c:v>46000</c:v>
                </c:pt>
                <c:pt idx="1090">
                  <c:v>46001</c:v>
                </c:pt>
                <c:pt idx="1091">
                  <c:v>46002</c:v>
                </c:pt>
                <c:pt idx="1092">
                  <c:v>46003</c:v>
                </c:pt>
                <c:pt idx="1093">
                  <c:v>46006</c:v>
                </c:pt>
                <c:pt idx="1094">
                  <c:v>46007</c:v>
                </c:pt>
                <c:pt idx="1095">
                  <c:v>46008</c:v>
                </c:pt>
                <c:pt idx="1096">
                  <c:v>46009</c:v>
                </c:pt>
                <c:pt idx="1097">
                  <c:v>46010</c:v>
                </c:pt>
                <c:pt idx="1098">
                  <c:v>46013</c:v>
                </c:pt>
                <c:pt idx="1099">
                  <c:v>46014</c:v>
                </c:pt>
                <c:pt idx="1100">
                  <c:v>46015</c:v>
                </c:pt>
                <c:pt idx="1101">
                  <c:v>46017</c:v>
                </c:pt>
                <c:pt idx="1102">
                  <c:v>46020</c:v>
                </c:pt>
                <c:pt idx="1103">
                  <c:v>46021</c:v>
                </c:pt>
                <c:pt idx="1104">
                  <c:v>46022</c:v>
                </c:pt>
                <c:pt idx="1105">
                  <c:v>46024</c:v>
                </c:pt>
                <c:pt idx="1106">
                  <c:v>46027</c:v>
                </c:pt>
                <c:pt idx="1107">
                  <c:v>46028</c:v>
                </c:pt>
                <c:pt idx="1108">
                  <c:v>46029</c:v>
                </c:pt>
                <c:pt idx="1109">
                  <c:v>46030</c:v>
                </c:pt>
                <c:pt idx="1110">
                  <c:v>46031</c:v>
                </c:pt>
                <c:pt idx="1111">
                  <c:v>46034</c:v>
                </c:pt>
                <c:pt idx="1112">
                  <c:v>46035</c:v>
                </c:pt>
                <c:pt idx="1113">
                  <c:v>46036</c:v>
                </c:pt>
                <c:pt idx="1114">
                  <c:v>46037</c:v>
                </c:pt>
                <c:pt idx="1115">
                  <c:v>46038</c:v>
                </c:pt>
                <c:pt idx="1116">
                  <c:v>46042</c:v>
                </c:pt>
                <c:pt idx="1117">
                  <c:v>46043</c:v>
                </c:pt>
                <c:pt idx="1118">
                  <c:v>46044</c:v>
                </c:pt>
                <c:pt idx="1119">
                  <c:v>46045</c:v>
                </c:pt>
                <c:pt idx="1120">
                  <c:v>46048</c:v>
                </c:pt>
                <c:pt idx="1121">
                  <c:v>46049</c:v>
                </c:pt>
                <c:pt idx="1122">
                  <c:v>46050</c:v>
                </c:pt>
                <c:pt idx="1123">
                  <c:v>46051</c:v>
                </c:pt>
                <c:pt idx="1124">
                  <c:v>46052</c:v>
                </c:pt>
                <c:pt idx="1125">
                  <c:v>46055</c:v>
                </c:pt>
                <c:pt idx="1126">
                  <c:v>46056</c:v>
                </c:pt>
                <c:pt idx="1127">
                  <c:v>46057</c:v>
                </c:pt>
                <c:pt idx="1128">
                  <c:v>46058</c:v>
                </c:pt>
                <c:pt idx="1129">
                  <c:v>46059</c:v>
                </c:pt>
                <c:pt idx="1130">
                  <c:v>46062</c:v>
                </c:pt>
                <c:pt idx="1131">
                  <c:v>46063</c:v>
                </c:pt>
                <c:pt idx="1132">
                  <c:v>46064</c:v>
                </c:pt>
                <c:pt idx="1133">
                  <c:v>46065</c:v>
                </c:pt>
                <c:pt idx="1134">
                  <c:v>46066</c:v>
                </c:pt>
                <c:pt idx="1135">
                  <c:v>46070</c:v>
                </c:pt>
                <c:pt idx="1136">
                  <c:v>46071</c:v>
                </c:pt>
                <c:pt idx="1137">
                  <c:v>46072</c:v>
                </c:pt>
                <c:pt idx="1138">
                  <c:v>46073</c:v>
                </c:pt>
                <c:pt idx="1139">
                  <c:v>46076</c:v>
                </c:pt>
                <c:pt idx="1140">
                  <c:v>46077</c:v>
                </c:pt>
                <c:pt idx="1141">
                  <c:v>46078</c:v>
                </c:pt>
                <c:pt idx="1142">
                  <c:v>46079</c:v>
                </c:pt>
                <c:pt idx="1143">
                  <c:v>46080</c:v>
                </c:pt>
                <c:pt idx="1144">
                  <c:v>46083</c:v>
                </c:pt>
                <c:pt idx="1145">
                  <c:v>46084</c:v>
                </c:pt>
                <c:pt idx="1146">
                  <c:v>46085</c:v>
                </c:pt>
                <c:pt idx="1147">
                  <c:v>46086</c:v>
                </c:pt>
                <c:pt idx="1148">
                  <c:v>46087</c:v>
                </c:pt>
                <c:pt idx="1149">
                  <c:v>46090</c:v>
                </c:pt>
                <c:pt idx="1150">
                  <c:v>46091</c:v>
                </c:pt>
                <c:pt idx="1151">
                  <c:v>46092</c:v>
                </c:pt>
                <c:pt idx="1152">
                  <c:v>46093</c:v>
                </c:pt>
                <c:pt idx="1153">
                  <c:v>46094</c:v>
                </c:pt>
                <c:pt idx="1154">
                  <c:v>46097</c:v>
                </c:pt>
                <c:pt idx="1155">
                  <c:v>46098</c:v>
                </c:pt>
                <c:pt idx="1156">
                  <c:v>46099</c:v>
                </c:pt>
                <c:pt idx="1157">
                  <c:v>46100</c:v>
                </c:pt>
                <c:pt idx="1158">
                  <c:v>46101</c:v>
                </c:pt>
                <c:pt idx="1159">
                  <c:v>46104</c:v>
                </c:pt>
                <c:pt idx="1160">
                  <c:v>46105</c:v>
                </c:pt>
                <c:pt idx="1161">
                  <c:v>46106</c:v>
                </c:pt>
                <c:pt idx="1162">
                  <c:v>46107</c:v>
                </c:pt>
                <c:pt idx="1163">
                  <c:v>46108</c:v>
                </c:pt>
                <c:pt idx="1164">
                  <c:v>46111</c:v>
                </c:pt>
                <c:pt idx="1165">
                  <c:v>46112</c:v>
                </c:pt>
                <c:pt idx="1166">
                  <c:v>46113</c:v>
                </c:pt>
                <c:pt idx="1167">
                  <c:v>46114</c:v>
                </c:pt>
                <c:pt idx="1168">
                  <c:v>46118</c:v>
                </c:pt>
                <c:pt idx="1169">
                  <c:v>46119</c:v>
                </c:pt>
                <c:pt idx="1170">
                  <c:v>46120</c:v>
                </c:pt>
                <c:pt idx="1171">
                  <c:v>46121</c:v>
                </c:pt>
                <c:pt idx="1172">
                  <c:v>46122</c:v>
                </c:pt>
                <c:pt idx="1173">
                  <c:v>46125</c:v>
                </c:pt>
                <c:pt idx="1174">
                  <c:v>46126</c:v>
                </c:pt>
                <c:pt idx="1175">
                  <c:v>46127</c:v>
                </c:pt>
                <c:pt idx="1176">
                  <c:v>46128</c:v>
                </c:pt>
                <c:pt idx="1177">
                  <c:v>46129</c:v>
                </c:pt>
                <c:pt idx="1178">
                  <c:v>46132</c:v>
                </c:pt>
                <c:pt idx="1179">
                  <c:v>46133</c:v>
                </c:pt>
                <c:pt idx="1180">
                  <c:v>46134</c:v>
                </c:pt>
                <c:pt idx="1181">
                  <c:v>46135</c:v>
                </c:pt>
                <c:pt idx="1182">
                  <c:v>46136</c:v>
                </c:pt>
                <c:pt idx="1183">
                  <c:v>46139</c:v>
                </c:pt>
                <c:pt idx="1184">
                  <c:v>46140</c:v>
                </c:pt>
                <c:pt idx="1185">
                  <c:v>46141</c:v>
                </c:pt>
                <c:pt idx="1186">
                  <c:v>46142</c:v>
                </c:pt>
                <c:pt idx="1187">
                  <c:v>46143</c:v>
                </c:pt>
                <c:pt idx="1188">
                  <c:v>46146</c:v>
                </c:pt>
                <c:pt idx="1189">
                  <c:v>46147</c:v>
                </c:pt>
                <c:pt idx="1190">
                  <c:v>46148</c:v>
                </c:pt>
                <c:pt idx="1191">
                  <c:v>46149</c:v>
                </c:pt>
                <c:pt idx="1192">
                  <c:v>46150</c:v>
                </c:pt>
                <c:pt idx="1193">
                  <c:v>46153</c:v>
                </c:pt>
                <c:pt idx="1194">
                  <c:v>46154</c:v>
                </c:pt>
                <c:pt idx="1195">
                  <c:v>46155</c:v>
                </c:pt>
                <c:pt idx="1196">
                  <c:v>46156</c:v>
                </c:pt>
                <c:pt idx="1197">
                  <c:v>46157</c:v>
                </c:pt>
                <c:pt idx="1198">
                  <c:v>46160</c:v>
                </c:pt>
                <c:pt idx="1199">
                  <c:v>46161</c:v>
                </c:pt>
                <c:pt idx="1200">
                  <c:v>46162</c:v>
                </c:pt>
                <c:pt idx="1201">
                  <c:v>46163</c:v>
                </c:pt>
                <c:pt idx="1202">
                  <c:v>46164</c:v>
                </c:pt>
                <c:pt idx="1203">
                  <c:v>46168</c:v>
                </c:pt>
                <c:pt idx="1204">
                  <c:v>46169</c:v>
                </c:pt>
                <c:pt idx="1205">
                  <c:v>46170</c:v>
                </c:pt>
                <c:pt idx="1206">
                  <c:v>46171</c:v>
                </c:pt>
                <c:pt idx="1207">
                  <c:v>46174</c:v>
                </c:pt>
                <c:pt idx="1208">
                  <c:v>46175</c:v>
                </c:pt>
                <c:pt idx="1209">
                  <c:v>46176</c:v>
                </c:pt>
                <c:pt idx="1210">
                  <c:v>46177</c:v>
                </c:pt>
                <c:pt idx="1211">
                  <c:v>46178</c:v>
                </c:pt>
                <c:pt idx="1212">
                  <c:v>46181</c:v>
                </c:pt>
                <c:pt idx="1213">
                  <c:v>46182</c:v>
                </c:pt>
                <c:pt idx="1214">
                  <c:v>46183</c:v>
                </c:pt>
                <c:pt idx="1215">
                  <c:v>46184</c:v>
                </c:pt>
                <c:pt idx="1216">
                  <c:v>46185</c:v>
                </c:pt>
                <c:pt idx="1217">
                  <c:v>46188</c:v>
                </c:pt>
                <c:pt idx="1218">
                  <c:v>46189</c:v>
                </c:pt>
                <c:pt idx="1219">
                  <c:v>46190</c:v>
                </c:pt>
                <c:pt idx="1220">
                  <c:v>46191</c:v>
                </c:pt>
                <c:pt idx="1221">
                  <c:v>46195</c:v>
                </c:pt>
                <c:pt idx="1222">
                  <c:v>46196</c:v>
                </c:pt>
                <c:pt idx="1223">
                  <c:v>46197</c:v>
                </c:pt>
                <c:pt idx="1224">
                  <c:v>46198</c:v>
                </c:pt>
                <c:pt idx="1225">
                  <c:v>46199</c:v>
                </c:pt>
                <c:pt idx="1226">
                  <c:v>46202</c:v>
                </c:pt>
                <c:pt idx="1227">
                  <c:v>46203</c:v>
                </c:pt>
                <c:pt idx="1228">
                  <c:v>46204</c:v>
                </c:pt>
                <c:pt idx="1229">
                  <c:v>46205</c:v>
                </c:pt>
                <c:pt idx="1230">
                  <c:v>46209</c:v>
                </c:pt>
                <c:pt idx="1231">
                  <c:v>46210</c:v>
                </c:pt>
                <c:pt idx="1232">
                  <c:v>46211</c:v>
                </c:pt>
                <c:pt idx="1233">
                  <c:v>46212</c:v>
                </c:pt>
                <c:pt idx="1234">
                  <c:v>46213</c:v>
                </c:pt>
                <c:pt idx="1235">
                  <c:v>46216</c:v>
                </c:pt>
                <c:pt idx="1236">
                  <c:v>46217</c:v>
                </c:pt>
                <c:pt idx="1237">
                  <c:v>46218</c:v>
                </c:pt>
                <c:pt idx="1238">
                  <c:v>46219</c:v>
                </c:pt>
                <c:pt idx="1239">
                  <c:v>46220</c:v>
                </c:pt>
                <c:pt idx="1240">
                  <c:v>46223</c:v>
                </c:pt>
                <c:pt idx="1241">
                  <c:v>46224</c:v>
                </c:pt>
                <c:pt idx="1242">
                  <c:v>46225</c:v>
                </c:pt>
                <c:pt idx="1243">
                  <c:v>46226</c:v>
                </c:pt>
                <c:pt idx="1244">
                  <c:v>46227</c:v>
                </c:pt>
                <c:pt idx="1245">
                  <c:v>46230</c:v>
                </c:pt>
                <c:pt idx="1246">
                  <c:v>46231</c:v>
                </c:pt>
                <c:pt idx="1247">
                  <c:v>46232</c:v>
                </c:pt>
                <c:pt idx="1248">
                  <c:v>46233</c:v>
                </c:pt>
                <c:pt idx="1249">
                  <c:v>46234</c:v>
                </c:pt>
                <c:pt idx="1250">
                  <c:v>46237</c:v>
                </c:pt>
                <c:pt idx="1251">
                  <c:v>46238</c:v>
                </c:pt>
                <c:pt idx="1252">
                  <c:v>46239</c:v>
                </c:pt>
                <c:pt idx="1253">
                  <c:v>46240</c:v>
                </c:pt>
                <c:pt idx="1254">
                  <c:v>46241</c:v>
                </c:pt>
              </c:numCache>
            </c:numRef>
          </c:cat>
          <c:val>
            <c:numRef>
              <c:f>'SPY vs RSP'!$Y$3:$Y$1257</c:f>
              <c:numCache>
                <c:formatCode>_(* #,##0.00_);_(* \(#,##0.00\);_(* "-"??_);_(@_)</c:formatCode>
                <c:ptCount val="12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_(&quot;$&quot;* #,##0.00_);_(&quot;$&quot;* \(#,##0.00\);_(&quot;$&quot;* &quot;-&quot;??_);_(@_)">
                  <c:v>0</c:v>
                </c:pt>
                <c:pt idx="10" formatCode="_(&quot;$&quot;* #,##0.00_);_(&quot;$&quot;* \(#,##0.00\);_(&quot;$&quot;* &quot;-&quot;??_);_(@_)">
                  <c:v>-266.05626294957824</c:v>
                </c:pt>
                <c:pt idx="11" formatCode="_(&quot;$&quot;* #,##0.00_);_(&quot;$&quot;* \(#,##0.00\);_(&quot;$&quot;* &quot;-&quot;??_);_(@_)">
                  <c:v>-85.089010511185052</c:v>
                </c:pt>
                <c:pt idx="12" formatCode="_(&quot;$&quot;* #,##0.00_);_(&quot;$&quot;* \(#,##0.00\);_(&quot;$&quot;* &quot;-&quot;??_);_(@_)">
                  <c:v>-25.624399693843316</c:v>
                </c:pt>
                <c:pt idx="13" formatCode="_(&quot;$&quot;* #,##0.00_);_(&quot;$&quot;* \(#,##0.00\);_(&quot;$&quot;* &quot;-&quot;??_);_(@_)">
                  <c:v>-133.80270833890432</c:v>
                </c:pt>
                <c:pt idx="14" formatCode="_(&quot;$&quot;* #,##0.00_);_(&quot;$&quot;* \(#,##0.00\);_(&quot;$&quot;* &quot;-&quot;??_);_(@_)">
                  <c:v>22.160680405945584</c:v>
                </c:pt>
                <c:pt idx="15" formatCode="_(&quot;$&quot;* #,##0.00_);_(&quot;$&quot;* \(#,##0.00\);_(&quot;$&quot;* &quot;-&quot;??_);_(@_)">
                  <c:v>233.56831720135312</c:v>
                </c:pt>
                <c:pt idx="16" formatCode="_(&quot;$&quot;* #,##0.00_);_(&quot;$&quot;* \(#,##0.00\);_(&quot;$&quot;* &quot;-&quot;??_);_(@_)">
                  <c:v>166.4328736124601</c:v>
                </c:pt>
                <c:pt idx="17" formatCode="_(&quot;$&quot;* #,##0.00_);_(&quot;$&quot;* \(#,##0.00\);_(&quot;$&quot;* &quot;-&quot;??_);_(@_)">
                  <c:v>369.39089138062013</c:v>
                </c:pt>
                <c:pt idx="18" formatCode="_(&quot;$&quot;* #,##0.00_);_(&quot;$&quot;* \(#,##0.00\);_(&quot;$&quot;* &quot;-&quot;??_);_(@_)">
                  <c:v>350.9696536940188</c:v>
                </c:pt>
                <c:pt idx="19" formatCode="_(&quot;$&quot;* #,##0.00_);_(&quot;$&quot;* \(#,##0.00\);_(&quot;$&quot;* &quot;-&quot;??_);_(@_)">
                  <c:v>84.511697837362306</c:v>
                </c:pt>
                <c:pt idx="20" formatCode="_(&quot;$&quot;* #,##0.00_);_(&quot;$&quot;* \(#,##0.00\);_(&quot;$&quot;* &quot;-&quot;??_);_(@_)">
                  <c:v>327.51258437520664</c:v>
                </c:pt>
                <c:pt idx="21" formatCode="_(&quot;$&quot;* #,##0.00_);_(&quot;$&quot;* \(#,##0.00\);_(&quot;$&quot;* &quot;-&quot;??_);_(@_)">
                  <c:v>30.741967955669452</c:v>
                </c:pt>
                <c:pt idx="22" formatCode="_(&quot;$&quot;* #,##0.00_);_(&quot;$&quot;* \(#,##0.00\);_(&quot;$&quot;* &quot;-&quot;??_);_(@_)">
                  <c:v>-47.311594963503595</c:v>
                </c:pt>
                <c:pt idx="23" formatCode="_(&quot;$&quot;* #,##0.00_);_(&quot;$&quot;* \(#,##0.00\);_(&quot;$&quot;* &quot;-&quot;??_);_(@_)">
                  <c:v>-133.24988366658204</c:v>
                </c:pt>
                <c:pt idx="24" formatCode="_(&quot;$&quot;* #,##0.00_);_(&quot;$&quot;* \(#,##0.00\);_(&quot;$&quot;* &quot;-&quot;??_);_(@_)">
                  <c:v>-333.37998710739487</c:v>
                </c:pt>
                <c:pt idx="25" formatCode="_(&quot;$&quot;* #,##0.00_);_(&quot;$&quot;* \(#,##0.00\);_(&quot;$&quot;* &quot;-&quot;??_);_(@_)">
                  <c:v>-422.89070508771619</c:v>
                </c:pt>
                <c:pt idx="26" formatCode="_(&quot;$&quot;* #,##0.00_);_(&quot;$&quot;* \(#,##0.00\);_(&quot;$&quot;* &quot;-&quot;??_);_(@_)">
                  <c:v>-360.81954719223842</c:v>
                </c:pt>
                <c:pt idx="27" formatCode="_(&quot;$&quot;* #,##0.00_);_(&quot;$&quot;* \(#,##0.00\);_(&quot;$&quot;* &quot;-&quot;??_);_(@_)">
                  <c:v>-444.96569678821561</c:v>
                </c:pt>
                <c:pt idx="28" formatCode="_(&quot;$&quot;* #,##0.00_);_(&quot;$&quot;* \(#,##0.00\);_(&quot;$&quot;* &quot;-&quot;??_);_(@_)">
                  <c:v>-459.78784216535485</c:v>
                </c:pt>
                <c:pt idx="29" formatCode="_(&quot;$&quot;* #,##0.00_);_(&quot;$&quot;* \(#,##0.00\);_(&quot;$&quot;* &quot;-&quot;??_);_(@_)">
                  <c:v>-339.9431179561808</c:v>
                </c:pt>
                <c:pt idx="30" formatCode="_(&quot;$&quot;* #,##0.00_);_(&quot;$&quot;* \(#,##0.00\);_(&quot;$&quot;* &quot;-&quot;??_);_(@_)">
                  <c:v>-346.64459175535609</c:v>
                </c:pt>
                <c:pt idx="31" formatCode="_(&quot;$&quot;* #,##0.00_);_(&quot;$&quot;* \(#,##0.00\);_(&quot;$&quot;* &quot;-&quot;??_);_(@_)">
                  <c:v>-244.53729447033987</c:v>
                </c:pt>
                <c:pt idx="32" formatCode="_(&quot;$&quot;* #,##0.00_);_(&quot;$&quot;* \(#,##0.00\);_(&quot;$&quot;* &quot;-&quot;??_);_(@_)">
                  <c:v>-230.90629980183365</c:v>
                </c:pt>
                <c:pt idx="33" formatCode="_(&quot;$&quot;* #,##0.00_);_(&quot;$&quot;* \(#,##0.00\);_(&quot;$&quot;* &quot;-&quot;??_);_(@_)">
                  <c:v>-125.27340358286935</c:v>
                </c:pt>
                <c:pt idx="34" formatCode="_(&quot;$&quot;* #,##0.00_);_(&quot;$&quot;* \(#,##0.00\);_(&quot;$&quot;* &quot;-&quot;??_);_(@_)">
                  <c:v>58.919465433391878</c:v>
                </c:pt>
                <c:pt idx="35" formatCode="_(&quot;$&quot;* #,##0.00_);_(&quot;$&quot;* \(#,##0.00\);_(&quot;$&quot;* &quot;-&quot;??_);_(@_)">
                  <c:v>-13.370962580805127</c:v>
                </c:pt>
                <c:pt idx="36" formatCode="_(&quot;$&quot;* #,##0.00_);_(&quot;$&quot;* \(#,##0.00\);_(&quot;$&quot;* &quot;-&quot;??_);_(@_)">
                  <c:v>-272.21524040034456</c:v>
                </c:pt>
                <c:pt idx="37" formatCode="_(&quot;$&quot;* #,##0.00_);_(&quot;$&quot;* \(#,##0.00\);_(&quot;$&quot;* &quot;-&quot;??_);_(@_)">
                  <c:v>-330.72917068009104</c:v>
                </c:pt>
                <c:pt idx="38" formatCode="_(&quot;$&quot;* #,##0.00_);_(&quot;$&quot;* \(#,##0.00\);_(&quot;$&quot;* &quot;-&quot;??_);_(@_)">
                  <c:v>7.6526724929391889</c:v>
                </c:pt>
                <c:pt idx="39" formatCode="_(&quot;$&quot;* #,##0.00_);_(&quot;$&quot;* \(#,##0.00\);_(&quot;$&quot;* &quot;-&quot;??_);_(@_)">
                  <c:v>-66.250700070224696</c:v>
                </c:pt>
                <c:pt idx="40" formatCode="_(&quot;$&quot;* #,##0.00_);_(&quot;$&quot;* \(#,##0.00\);_(&quot;$&quot;* &quot;-&quot;??_);_(@_)">
                  <c:v>-239.48956508972577</c:v>
                </c:pt>
                <c:pt idx="41" formatCode="_(&quot;$&quot;* #,##0.00_);_(&quot;$&quot;* \(#,##0.00\);_(&quot;$&quot;* &quot;-&quot;??_);_(@_)">
                  <c:v>-46.364813322706823</c:v>
                </c:pt>
                <c:pt idx="42" formatCode="_(&quot;$&quot;* #,##0.00_);_(&quot;$&quot;* \(#,##0.00\);_(&quot;$&quot;* &quot;-&quot;??_);_(@_)">
                  <c:v>-557.26783805157754</c:v>
                </c:pt>
                <c:pt idx="43" formatCode="_(&quot;$&quot;* #,##0.00_);_(&quot;$&quot;* \(#,##0.00\);_(&quot;$&quot;* &quot;-&quot;??_);_(@_)">
                  <c:v>-783.92275166201466</c:v>
                </c:pt>
                <c:pt idx="44" formatCode="_(&quot;$&quot;* #,##0.00_);_(&quot;$&quot;* \(#,##0.00\);_(&quot;$&quot;* &quot;-&quot;??_);_(@_)">
                  <c:v>-692.29287937411073</c:v>
                </c:pt>
                <c:pt idx="45" formatCode="_(&quot;$&quot;* #,##0.00_);_(&quot;$&quot;* \(#,##0.00\);_(&quot;$&quot;* &quot;-&quot;??_);_(@_)">
                  <c:v>-687.02923634528145</c:v>
                </c:pt>
                <c:pt idx="46" formatCode="_(&quot;$&quot;* #,##0.00_);_(&quot;$&quot;* \(#,##0.00\);_(&quot;$&quot;* &quot;-&quot;??_);_(@_)">
                  <c:v>-532.66092144096046</c:v>
                </c:pt>
                <c:pt idx="47" formatCode="_(&quot;$&quot;* #,##0.00_);_(&quot;$&quot;* \(#,##0.00\);_(&quot;$&quot;* &quot;-&quot;??_);_(@_)">
                  <c:v>-815.76192400162677</c:v>
                </c:pt>
                <c:pt idx="48" formatCode="_(&quot;$&quot;* #,##0.00_);_(&quot;$&quot;* \(#,##0.00\);_(&quot;$&quot;* &quot;-&quot;??_);_(@_)">
                  <c:v>-834.9335519337094</c:v>
                </c:pt>
                <c:pt idx="49" formatCode="_(&quot;$&quot;* #,##0.00_);_(&quot;$&quot;* \(#,##0.00\);_(&quot;$&quot;* &quot;-&quot;??_);_(@_)">
                  <c:v>-809.68842857437176</c:v>
                </c:pt>
                <c:pt idx="50" formatCode="_(&quot;$&quot;* #,##0.00_);_(&quot;$&quot;* \(#,##0.00\);_(&quot;$&quot;* &quot;-&quot;??_);_(@_)">
                  <c:v>-827.96757169738453</c:v>
                </c:pt>
                <c:pt idx="51" formatCode="_(&quot;$&quot;* #,##0.00_);_(&quot;$&quot;* \(#,##0.00\);_(&quot;$&quot;* &quot;-&quot;??_);_(@_)">
                  <c:v>-631.03402463326688</c:v>
                </c:pt>
                <c:pt idx="52" formatCode="_(&quot;$&quot;* #,##0.00_);_(&quot;$&quot;* \(#,##0.00\);_(&quot;$&quot;* &quot;-&quot;??_);_(@_)">
                  <c:v>-586.78057004508219</c:v>
                </c:pt>
                <c:pt idx="53" formatCode="_(&quot;$&quot;* #,##0.00_);_(&quot;$&quot;* \(#,##0.00\);_(&quot;$&quot;* &quot;-&quot;??_);_(@_)">
                  <c:v>-410.07859925547018</c:v>
                </c:pt>
                <c:pt idx="54" formatCode="_(&quot;$&quot;* #,##0.00_);_(&quot;$&quot;* \(#,##0.00\);_(&quot;$&quot;* &quot;-&quot;??_);_(@_)">
                  <c:v>-659.3174789461707</c:v>
                </c:pt>
                <c:pt idx="55" formatCode="_(&quot;$&quot;* #,##0.00_);_(&quot;$&quot;* \(#,##0.00\);_(&quot;$&quot;* &quot;-&quot;??_);_(@_)">
                  <c:v>-348.47492989001103</c:v>
                </c:pt>
                <c:pt idx="56" formatCode="_(&quot;$&quot;* #,##0.00_);_(&quot;$&quot;* \(#,##0.00\);_(&quot;$&quot;* &quot;-&quot;??_);_(@_)">
                  <c:v>-338.86843011622284</c:v>
                </c:pt>
                <c:pt idx="57" formatCode="_(&quot;$&quot;* #,##0.00_);_(&quot;$&quot;* \(#,##0.00\);_(&quot;$&quot;* &quot;-&quot;??_);_(@_)">
                  <c:v>-339.13184769956331</c:v>
                </c:pt>
                <c:pt idx="58" formatCode="_(&quot;$&quot;* #,##0.00_);_(&quot;$&quot;* \(#,##0.00\);_(&quot;$&quot;* &quot;-&quot;??_);_(@_)">
                  <c:v>-292.03310503899695</c:v>
                </c:pt>
                <c:pt idx="59" formatCode="_(&quot;$&quot;* #,##0.00_);_(&quot;$&quot;* \(#,##0.00\);_(&quot;$&quot;* &quot;-&quot;??_);_(@_)">
                  <c:v>-352.6973335061856</c:v>
                </c:pt>
                <c:pt idx="60" formatCode="_(&quot;$&quot;* #,##0.00_);_(&quot;$&quot;* \(#,##0.00\);_(&quot;$&quot;* &quot;-&quot;??_);_(@_)">
                  <c:v>-207.18053711134257</c:v>
                </c:pt>
                <c:pt idx="61" formatCode="_(&quot;$&quot;* #,##0.00_);_(&quot;$&quot;* \(#,##0.00\);_(&quot;$&quot;* &quot;-&quot;??_);_(@_)">
                  <c:v>-199.05239974686802</c:v>
                </c:pt>
                <c:pt idx="62" formatCode="_(&quot;$&quot;* #,##0.00_);_(&quot;$&quot;* \(#,##0.00\);_(&quot;$&quot;* &quot;-&quot;??_);_(@_)">
                  <c:v>-60.730629117578076</c:v>
                </c:pt>
                <c:pt idx="63" formatCode="_(&quot;$&quot;* #,##0.00_);_(&quot;$&quot;* \(#,##0.00\);_(&quot;$&quot;* &quot;-&quot;??_);_(@_)">
                  <c:v>-264.6796961547746</c:v>
                </c:pt>
                <c:pt idx="64" formatCode="_(&quot;$&quot;* #,##0.00_);_(&quot;$&quot;* \(#,##0.00\);_(&quot;$&quot;* &quot;-&quot;??_);_(@_)">
                  <c:v>-418.33180592558421</c:v>
                </c:pt>
                <c:pt idx="65" formatCode="_(&quot;$&quot;* #,##0.00_);_(&quot;$&quot;* \(#,##0.00\);_(&quot;$&quot;* &quot;-&quot;??_);_(@_)">
                  <c:v>-209.23895075297381</c:v>
                </c:pt>
                <c:pt idx="66" formatCode="_(&quot;$&quot;* #,##0.00_);_(&quot;$&quot;* \(#,##0.00\);_(&quot;$&quot;* &quot;-&quot;??_);_(@_)">
                  <c:v>-337.02801111351141</c:v>
                </c:pt>
                <c:pt idx="67" formatCode="_(&quot;$&quot;* #,##0.00_);_(&quot;$&quot;* \(#,##0.00\);_(&quot;$&quot;* &quot;-&quot;??_);_(@_)">
                  <c:v>-398.58535833173278</c:v>
                </c:pt>
                <c:pt idx="68" formatCode="_(&quot;$&quot;* #,##0.00_);_(&quot;$&quot;* \(#,##0.00\);_(&quot;$&quot;* &quot;-&quot;??_);_(@_)">
                  <c:v>-490.28916785474604</c:v>
                </c:pt>
                <c:pt idx="69" formatCode="_(&quot;$&quot;* #,##0.00_);_(&quot;$&quot;* \(#,##0.00\);_(&quot;$&quot;* &quot;-&quot;??_);_(@_)">
                  <c:v>-361.95288302565206</c:v>
                </c:pt>
                <c:pt idx="70" formatCode="_(&quot;$&quot;* #,##0.00_);_(&quot;$&quot;* \(#,##0.00\);_(&quot;$&quot;* &quot;-&quot;??_);_(@_)">
                  <c:v>-530.90761376790329</c:v>
                </c:pt>
                <c:pt idx="71" formatCode="_(&quot;$&quot;* #,##0.00_);_(&quot;$&quot;* \(#,##0.00\);_(&quot;$&quot;* &quot;-&quot;??_);_(@_)">
                  <c:v>-340.97974127771204</c:v>
                </c:pt>
                <c:pt idx="72" formatCode="_(&quot;$&quot;* #,##0.00_);_(&quot;$&quot;* \(#,##0.00\);_(&quot;$&quot;* &quot;-&quot;??_);_(@_)">
                  <c:v>-177.24477583559189</c:v>
                </c:pt>
                <c:pt idx="73" formatCode="_(&quot;$&quot;* #,##0.00_);_(&quot;$&quot;* \(#,##0.00\);_(&quot;$&quot;* &quot;-&quot;??_);_(@_)">
                  <c:v>-38.782101375974094</c:v>
                </c:pt>
                <c:pt idx="74" formatCode="_(&quot;$&quot;* #,##0.00_);_(&quot;$&quot;* \(#,##0.00\);_(&quot;$&quot;* &quot;-&quot;??_);_(@_)">
                  <c:v>-6.1581017797346931</c:v>
                </c:pt>
                <c:pt idx="75" formatCode="_(&quot;$&quot;* #,##0.00_);_(&quot;$&quot;* \(#,##0.00\);_(&quot;$&quot;* &quot;-&quot;??_);_(@_)">
                  <c:v>-10.523400003489996</c:v>
                </c:pt>
                <c:pt idx="76" formatCode="_(&quot;$&quot;* #,##0.00_);_(&quot;$&quot;* \(#,##0.00\);_(&quot;$&quot;* &quot;-&quot;??_);_(@_)">
                  <c:v>-135.89792072097714</c:v>
                </c:pt>
                <c:pt idx="77" formatCode="_(&quot;$&quot;* #,##0.00_);_(&quot;$&quot;* \(#,##0.00\);_(&quot;$&quot;* &quot;-&quot;??_);_(@_)">
                  <c:v>897.75497976623558</c:v>
                </c:pt>
                <c:pt idx="78" formatCode="_(&quot;$&quot;* #,##0.00_);_(&quot;$&quot;* \(#,##0.00\);_(&quot;$&quot;* &quot;-&quot;??_);_(@_)">
                  <c:v>240.94885083898714</c:v>
                </c:pt>
                <c:pt idx="79" formatCode="_(&quot;$&quot;* #,##0.00_);_(&quot;$&quot;* \(#,##0.00\);_(&quot;$&quot;* &quot;-&quot;??_);_(@_)">
                  <c:v>34.691525084516229</c:v>
                </c:pt>
                <c:pt idx="80" formatCode="_(&quot;$&quot;* #,##0.00_);_(&quot;$&quot;* \(#,##0.00\);_(&quot;$&quot;* &quot;-&quot;??_);_(@_)">
                  <c:v>6204.8287430767359</c:v>
                </c:pt>
                <c:pt idx="81" formatCode="_(&quot;$&quot;* #,##0.00_);_(&quot;$&quot;* \(#,##0.00\);_(&quot;$&quot;* &quot;-&quot;??_);_(@_)">
                  <c:v>6480.8917519639663</c:v>
                </c:pt>
                <c:pt idx="82" formatCode="_(&quot;$&quot;* #,##0.00_);_(&quot;$&quot;* \(#,##0.00\);_(&quot;$&quot;* &quot;-&quot;??_);_(@_)">
                  <c:v>6682.4943506652107</c:v>
                </c:pt>
                <c:pt idx="83" formatCode="_(&quot;$&quot;* #,##0.00_);_(&quot;$&quot;* \(#,##0.00\);_(&quot;$&quot;* &quot;-&quot;??_);_(@_)">
                  <c:v>6561.0354998712191</c:v>
                </c:pt>
                <c:pt idx="84" formatCode="_(&quot;$&quot;* #,##0.00_);_(&quot;$&quot;* \(#,##0.00\);_(&quot;$&quot;* &quot;-&quot;??_);_(@_)">
                  <c:v>6534.9948058271493</c:v>
                </c:pt>
                <c:pt idx="85" formatCode="_(&quot;$&quot;* #,##0.00_);_(&quot;$&quot;* \(#,##0.00\);_(&quot;$&quot;* &quot;-&quot;??_);_(@_)">
                  <c:v>6398.6861714358092</c:v>
                </c:pt>
                <c:pt idx="86" formatCode="_(&quot;$&quot;* #,##0.00_);_(&quot;$&quot;* \(#,##0.00\);_(&quot;$&quot;* &quot;-&quot;??_);_(@_)">
                  <c:v>6557.6254595673963</c:v>
                </c:pt>
                <c:pt idx="87" formatCode="_(&quot;$&quot;* #,##0.00_);_(&quot;$&quot;* \(#,##0.00\);_(&quot;$&quot;* &quot;-&quot;??_);_(@_)">
                  <c:v>6979.7538754749676</c:v>
                </c:pt>
                <c:pt idx="88" formatCode="_(&quot;$&quot;* #,##0.00_);_(&quot;$&quot;* \(#,##0.00\);_(&quot;$&quot;* &quot;-&quot;??_);_(@_)">
                  <c:v>7038.0473060692675</c:v>
                </c:pt>
                <c:pt idx="89" formatCode="_(&quot;$&quot;* #,##0.00_);_(&quot;$&quot;* \(#,##0.00\);_(&quot;$&quot;* &quot;-&quot;??_);_(@_)">
                  <c:v>7113.8118755843752</c:v>
                </c:pt>
                <c:pt idx="90" formatCode="_(&quot;$&quot;* #,##0.00_);_(&quot;$&quot;* \(#,##0.00\);_(&quot;$&quot;* &quot;-&quot;??_);_(@_)">
                  <c:v>7395.9389101944053</c:v>
                </c:pt>
                <c:pt idx="91" formatCode="_(&quot;$&quot;* #,##0.00_);_(&quot;$&quot;* \(#,##0.00\);_(&quot;$&quot;* &quot;-&quot;??_);_(@_)">
                  <c:v>7834.6818828123705</c:v>
                </c:pt>
                <c:pt idx="92" formatCode="_(&quot;$&quot;* #,##0.00_);_(&quot;$&quot;* \(#,##0.00\);_(&quot;$&quot;* &quot;-&quot;??_);_(@_)">
                  <c:v>6797.0467760523034</c:v>
                </c:pt>
                <c:pt idx="93" formatCode="_(&quot;$&quot;* #,##0.00_);_(&quot;$&quot;* \(#,##0.00\);_(&quot;$&quot;* &quot;-&quot;??_);_(@_)">
                  <c:v>6657.2574376058292</c:v>
                </c:pt>
                <c:pt idx="94" formatCode="_(&quot;$&quot;* #,##0.00_);_(&quot;$&quot;* \(#,##0.00\);_(&quot;$&quot;* &quot;-&quot;??_);_(@_)">
                  <c:v>6787.7726936788731</c:v>
                </c:pt>
                <c:pt idx="95" formatCode="_(&quot;$&quot;* #,##0.00_);_(&quot;$&quot;* \(#,##0.00\);_(&quot;$&quot;* &quot;-&quot;??_);_(@_)">
                  <c:v>6817.7930349657472</c:v>
                </c:pt>
                <c:pt idx="96" formatCode="_(&quot;$&quot;* #,##0.00_);_(&quot;$&quot;* \(#,##0.00\);_(&quot;$&quot;* &quot;-&quot;??_);_(@_)">
                  <c:v>6686.1921399876519</c:v>
                </c:pt>
                <c:pt idx="97" formatCode="_(&quot;$&quot;* #,##0.00_);_(&quot;$&quot;* \(#,##0.00\);_(&quot;$&quot;* &quot;-&quot;??_);_(@_)">
                  <c:v>6874.1091900745378</c:v>
                </c:pt>
                <c:pt idx="98" formatCode="_(&quot;$&quot;* #,##0.00_);_(&quot;$&quot;* \(#,##0.00\);_(&quot;$&quot;* &quot;-&quot;??_);_(@_)">
                  <c:v>6761.1684484222715</c:v>
                </c:pt>
                <c:pt idx="99" formatCode="_(&quot;$&quot;* #,##0.00_);_(&quot;$&quot;* \(#,##0.00\);_(&quot;$&quot;* &quot;-&quot;??_);_(@_)">
                  <c:v>6564.6040806790134</c:v>
                </c:pt>
                <c:pt idx="100" formatCode="_(&quot;$&quot;* #,##0.00_);_(&quot;$&quot;* \(#,##0.00\);_(&quot;$&quot;* &quot;-&quot;??_);_(@_)">
                  <c:v>6172.4302134445352</c:v>
                </c:pt>
                <c:pt idx="101" formatCode="_(&quot;$&quot;* #,##0.00_);_(&quot;$&quot;* \(#,##0.00\);_(&quot;$&quot;* &quot;-&quot;??_);_(@_)">
                  <c:v>5753.7401163182658</c:v>
                </c:pt>
                <c:pt idx="102" formatCode="_(&quot;$&quot;* #,##0.00_);_(&quot;$&quot;* \(#,##0.00\);_(&quot;$&quot;* &quot;-&quot;??_);_(@_)">
                  <c:v>5268.7740167456723</c:v>
                </c:pt>
                <c:pt idx="103" formatCode="_(&quot;$&quot;* #,##0.00_);_(&quot;$&quot;* \(#,##0.00\);_(&quot;$&quot;* &quot;-&quot;??_);_(@_)">
                  <c:v>4819.1737248279869</c:v>
                </c:pt>
                <c:pt idx="104" formatCode="_(&quot;$&quot;* #,##0.00_);_(&quot;$&quot;* \(#,##0.00\);_(&quot;$&quot;* &quot;-&quot;??_);_(@_)">
                  <c:v>4532.2811600530567</c:v>
                </c:pt>
                <c:pt idx="105" formatCode="_(&quot;$&quot;* #,##0.00_);_(&quot;$&quot;* \(#,##0.00\);_(&quot;$&quot;* &quot;-&quot;??_);_(@_)">
                  <c:v>4067.6695275778511</c:v>
                </c:pt>
                <c:pt idx="106" formatCode="_(&quot;$&quot;* #,##0.00_);_(&quot;$&quot;* \(#,##0.00\);_(&quot;$&quot;* &quot;-&quot;??_);_(@_)">
                  <c:v>3689.2958414730351</c:v>
                </c:pt>
                <c:pt idx="107" formatCode="_(&quot;$&quot;* #,##0.00_);_(&quot;$&quot;* \(#,##0.00\);_(&quot;$&quot;* &quot;-&quot;??_);_(@_)">
                  <c:v>3372.9108649746499</c:v>
                </c:pt>
                <c:pt idx="108" formatCode="_(&quot;$&quot;* #,##0.00_);_(&quot;$&quot;* \(#,##0.00\);_(&quot;$&quot;* &quot;-&quot;??_);_(@_)">
                  <c:v>3014.2802924205589</c:v>
                </c:pt>
                <c:pt idx="109" formatCode="_(&quot;$&quot;* #,##0.00_);_(&quot;$&quot;* \(#,##0.00\);_(&quot;$&quot;* &quot;-&quot;??_);_(@_)">
                  <c:v>2976.1999281442659</c:v>
                </c:pt>
                <c:pt idx="110" formatCode="_(&quot;$&quot;* #,##0.00_);_(&quot;$&quot;* \(#,##0.00\);_(&quot;$&quot;* &quot;-&quot;??_);_(@_)">
                  <c:v>2957.6185972344183</c:v>
                </c:pt>
                <c:pt idx="111" formatCode="_(&quot;$&quot;* #,##0.00_);_(&quot;$&quot;* \(#,##0.00\);_(&quot;$&quot;* &quot;-&quot;??_);_(@_)">
                  <c:v>2995.4789062900099</c:v>
                </c:pt>
                <c:pt idx="112" formatCode="_(&quot;$&quot;* #,##0.00_);_(&quot;$&quot;* \(#,##0.00\);_(&quot;$&quot;* &quot;-&quot;??_);_(@_)">
                  <c:v>3047.1155327585875</c:v>
                </c:pt>
                <c:pt idx="113" formatCode="_(&quot;$&quot;* #,##0.00_);_(&quot;$&quot;* \(#,##0.00\);_(&quot;$&quot;* &quot;-&quot;??_);_(@_)">
                  <c:v>3258.4531552624453</c:v>
                </c:pt>
                <c:pt idx="114" formatCode="_(&quot;$&quot;* #,##0.00_);_(&quot;$&quot;* \(#,##0.00\);_(&quot;$&quot;* &quot;-&quot;??_);_(@_)">
                  <c:v>2922.7212069717066</c:v>
                </c:pt>
                <c:pt idx="115" formatCode="_(&quot;$&quot;* #,##0.00_);_(&quot;$&quot;* \(#,##0.00\);_(&quot;$&quot;* &quot;-&quot;??_);_(@_)">
                  <c:v>2499.0925925815509</c:v>
                </c:pt>
                <c:pt idx="116" formatCode="_(&quot;$&quot;* #,##0.00_);_(&quot;$&quot;* \(#,##0.00\);_(&quot;$&quot;* &quot;-&quot;??_);_(@_)">
                  <c:v>2371.3855020517376</c:v>
                </c:pt>
                <c:pt idx="117" formatCode="_(&quot;$&quot;* #,##0.00_);_(&quot;$&quot;* \(#,##0.00\);_(&quot;$&quot;* &quot;-&quot;??_);_(@_)">
                  <c:v>2532.9823992887541</c:v>
                </c:pt>
                <c:pt idx="118" formatCode="_(&quot;$&quot;* #,##0.00_);_(&quot;$&quot;* \(#,##0.00\);_(&quot;$&quot;* &quot;-&quot;??_);_(@_)">
                  <c:v>2765.6149000207974</c:v>
                </c:pt>
                <c:pt idx="119" formatCode="_(&quot;$&quot;* #,##0.00_);_(&quot;$&quot;* \(#,##0.00\);_(&quot;$&quot;* &quot;-&quot;??_);_(@_)">
                  <c:v>2719.1899690976666</c:v>
                </c:pt>
                <c:pt idx="120" formatCode="_(&quot;$&quot;* #,##0.00_);_(&quot;$&quot;* \(#,##0.00\);_(&quot;$&quot;* &quot;-&quot;??_);_(@_)">
                  <c:v>2536.6884698422423</c:v>
                </c:pt>
                <c:pt idx="121" formatCode="_(&quot;$&quot;* #,##0.00_);_(&quot;$&quot;* \(#,##0.00\);_(&quot;$&quot;* &quot;-&quot;??_);_(@_)">
                  <c:v>2046.5661789124756</c:v>
                </c:pt>
                <c:pt idx="122" formatCode="_(&quot;$&quot;* #,##0.00_);_(&quot;$&quot;* \(#,##0.00\);_(&quot;$&quot;* &quot;-&quot;??_);_(@_)">
                  <c:v>1316.6720080679352</c:v>
                </c:pt>
                <c:pt idx="123" formatCode="_(&quot;$&quot;* #,##0.00_);_(&quot;$&quot;* \(#,##0.00\);_(&quot;$&quot;* &quot;-&quot;??_);_(@_)">
                  <c:v>967.5404904071803</c:v>
                </c:pt>
                <c:pt idx="124" formatCode="_(&quot;$&quot;* #,##0.00_);_(&quot;$&quot;* \(#,##0.00\);_(&quot;$&quot;* &quot;-&quot;??_);_(@_)">
                  <c:v>1158.7393437153082</c:v>
                </c:pt>
                <c:pt idx="125" formatCode="_(&quot;$&quot;* #,##0.00_);_(&quot;$&quot;* \(#,##0.00\);_(&quot;$&quot;* &quot;-&quot;??_);_(@_)">
                  <c:v>1084.7132753292769</c:v>
                </c:pt>
                <c:pt idx="126" formatCode="_(&quot;$&quot;* #,##0.00_);_(&quot;$&quot;* \(#,##0.00\);_(&quot;$&quot;* &quot;-&quot;??_);_(@_)">
                  <c:v>495.70811719019775</c:v>
                </c:pt>
                <c:pt idx="127" formatCode="_(&quot;$&quot;* #,##0.00_);_(&quot;$&quot;* \(#,##0.00\);_(&quot;$&quot;* &quot;-&quot;??_);_(@_)">
                  <c:v>639.61235590649937</c:v>
                </c:pt>
                <c:pt idx="128" formatCode="_(&quot;$&quot;* #,##0.00_);_(&quot;$&quot;* \(#,##0.00\);_(&quot;$&quot;* &quot;-&quot;??_);_(@_)">
                  <c:v>600.12037927906033</c:v>
                </c:pt>
                <c:pt idx="129" formatCode="_(&quot;$&quot;* #,##0.00_);_(&quot;$&quot;* \(#,##0.00\);_(&quot;$&quot;* &quot;-&quot;??_);_(@_)">
                  <c:v>898.71330700435669</c:v>
                </c:pt>
                <c:pt idx="130" formatCode="_(&quot;$&quot;* #,##0.00_);_(&quot;$&quot;* \(#,##0.00\);_(&quot;$&quot;* &quot;-&quot;??_);_(@_)">
                  <c:v>589.51372699472222</c:v>
                </c:pt>
                <c:pt idx="131" formatCode="_(&quot;$&quot;* #,##0.00_);_(&quot;$&quot;* \(#,##0.00\);_(&quot;$&quot;* &quot;-&quot;??_);_(@_)">
                  <c:v>960.24154302681018</c:v>
                </c:pt>
                <c:pt idx="132" formatCode="_(&quot;$&quot;* #,##0.00_);_(&quot;$&quot;* \(#,##0.00\);_(&quot;$&quot;* &quot;-&quot;??_);_(@_)">
                  <c:v>1106.1013766123847</c:v>
                </c:pt>
                <c:pt idx="133" formatCode="_(&quot;$&quot;* #,##0.00_);_(&quot;$&quot;* \(#,##0.00\);_(&quot;$&quot;* &quot;-&quot;??_);_(@_)">
                  <c:v>1082.9643960050566</c:v>
                </c:pt>
                <c:pt idx="134" formatCode="_(&quot;$&quot;* #,##0.00_);_(&quot;$&quot;* \(#,##0.00\);_(&quot;$&quot;* &quot;-&quot;??_);_(@_)">
                  <c:v>1017.5250844595184</c:v>
                </c:pt>
                <c:pt idx="135" formatCode="_(&quot;$&quot;* #,##0.00_);_(&quot;$&quot;* \(#,##0.00\);_(&quot;$&quot;* &quot;-&quot;??_);_(@_)">
                  <c:v>696.31802286616278</c:v>
                </c:pt>
                <c:pt idx="136" formatCode="_(&quot;$&quot;* #,##0.00_);_(&quot;$&quot;* \(#,##0.00\);_(&quot;$&quot;* &quot;-&quot;??_);_(@_)">
                  <c:v>1040.6670950015109</c:v>
                </c:pt>
                <c:pt idx="137" formatCode="_(&quot;$&quot;* #,##0.00_);_(&quot;$&quot;* \(#,##0.00\);_(&quot;$&quot;* &quot;-&quot;??_);_(@_)">
                  <c:v>1098.4428001082601</c:v>
                </c:pt>
                <c:pt idx="138" formatCode="_(&quot;$&quot;* #,##0.00_);_(&quot;$&quot;* \(#,##0.00\);_(&quot;$&quot;* &quot;-&quot;??_);_(@_)">
                  <c:v>783.56223643415251</c:v>
                </c:pt>
                <c:pt idx="139" formatCode="_(&quot;$&quot;* #,##0.00_);_(&quot;$&quot;* \(#,##0.00\);_(&quot;$&quot;* &quot;-&quot;??_);_(@_)">
                  <c:v>1220.8701630874</c:v>
                </c:pt>
                <c:pt idx="140" formatCode="_(&quot;$&quot;* #,##0.00_);_(&quot;$&quot;* \(#,##0.00\);_(&quot;$&quot;* &quot;-&quot;??_);_(@_)">
                  <c:v>115.19876071596286</c:v>
                </c:pt>
                <c:pt idx="141" formatCode="_(&quot;$&quot;* #,##0.00_);_(&quot;$&quot;* \(#,##0.00\);_(&quot;$&quot;* &quot;-&quot;??_);_(@_)">
                  <c:v>-235.9926728779152</c:v>
                </c:pt>
                <c:pt idx="142" formatCode="_(&quot;$&quot;* #,##0.00_);_(&quot;$&quot;* \(#,##0.00\);_(&quot;$&quot;* &quot;-&quot;??_);_(@_)">
                  <c:v>-186.086247425652</c:v>
                </c:pt>
                <c:pt idx="143" formatCode="_(&quot;$&quot;* #,##0.00_);_(&quot;$&quot;* \(#,##0.00\);_(&quot;$&quot;* &quot;-&quot;??_);_(@_)">
                  <c:v>-316.21376242979329</c:v>
                </c:pt>
                <c:pt idx="144" formatCode="_(&quot;$&quot;* #,##0.00_);_(&quot;$&quot;* \(#,##0.00\);_(&quot;$&quot;* &quot;-&quot;??_);_(@_)">
                  <c:v>-640.13453168605304</c:v>
                </c:pt>
                <c:pt idx="145" formatCode="_(&quot;$&quot;* #,##0.00_);_(&quot;$&quot;* \(#,##0.00\);_(&quot;$&quot;* &quot;-&quot;??_);_(@_)">
                  <c:v>-275.23668810377137</c:v>
                </c:pt>
                <c:pt idx="146" formatCode="_(&quot;$&quot;* #,##0.00_);_(&quot;$&quot;* \(#,##0.00\);_(&quot;$&quot;* &quot;-&quot;??_);_(@_)">
                  <c:v>-428.33256421982958</c:v>
                </c:pt>
                <c:pt idx="147" formatCode="_(&quot;$&quot;* #,##0.00_);_(&quot;$&quot;* \(#,##0.00\);_(&quot;$&quot;* &quot;-&quot;??_);_(@_)">
                  <c:v>-993.68450252181231</c:v>
                </c:pt>
                <c:pt idx="148" formatCode="_(&quot;$&quot;* #,##0.00_);_(&quot;$&quot;* \(#,##0.00\);_(&quot;$&quot;* &quot;-&quot;??_);_(@_)">
                  <c:v>-1488.2881453304819</c:v>
                </c:pt>
                <c:pt idx="149" formatCode="_(&quot;$&quot;* #,##0.00_);_(&quot;$&quot;* \(#,##0.00\);_(&quot;$&quot;* &quot;-&quot;??_);_(@_)">
                  <c:v>-1311.9003465041153</c:v>
                </c:pt>
                <c:pt idx="150" formatCode="_(&quot;$&quot;* #,##0.00_);_(&quot;$&quot;* \(#,##0.00\);_(&quot;$&quot;* &quot;-&quot;??_);_(@_)">
                  <c:v>-1341.9680282593481</c:v>
                </c:pt>
                <c:pt idx="151" formatCode="_(&quot;$&quot;* #,##0.00_);_(&quot;$&quot;* \(#,##0.00\);_(&quot;$&quot;* &quot;-&quot;??_);_(@_)">
                  <c:v>-632.62173594486853</c:v>
                </c:pt>
                <c:pt idx="152" formatCode="_(&quot;$&quot;* #,##0.00_);_(&quot;$&quot;* \(#,##0.00\);_(&quot;$&quot;* &quot;-&quot;??_);_(@_)">
                  <c:v>-1212.8599124889504</c:v>
                </c:pt>
                <c:pt idx="153" formatCode="_(&quot;$&quot;* #,##0.00_);_(&quot;$&quot;* \(#,##0.00\);_(&quot;$&quot;* &quot;-&quot;??_);_(@_)">
                  <c:v>-1381.5618796881249</c:v>
                </c:pt>
                <c:pt idx="154" formatCode="_(&quot;$&quot;* #,##0.00_);_(&quot;$&quot;* \(#,##0.00\);_(&quot;$&quot;* &quot;-&quot;??_);_(@_)">
                  <c:v>-1111.7337483901135</c:v>
                </c:pt>
                <c:pt idx="155" formatCode="_(&quot;$&quot;* #,##0.00_);_(&quot;$&quot;* \(#,##0.00\);_(&quot;$&quot;* &quot;-&quot;??_);_(@_)">
                  <c:v>-1293.5449420910288</c:v>
                </c:pt>
                <c:pt idx="156" formatCode="_(&quot;$&quot;* #,##0.00_);_(&quot;$&quot;* \(#,##0.00\);_(&quot;$&quot;* &quot;-&quot;??_);_(@_)">
                  <c:v>-1017.5097759229068</c:v>
                </c:pt>
                <c:pt idx="157" formatCode="_(&quot;$&quot;* #,##0.00_);_(&quot;$&quot;* \(#,##0.00\);_(&quot;$&quot;* &quot;-&quot;??_);_(@_)">
                  <c:v>-1152.5454991969871</c:v>
                </c:pt>
                <c:pt idx="158" formatCode="_(&quot;$&quot;* #,##0.00_);_(&quot;$&quot;* \(#,##0.00\);_(&quot;$&quot;* &quot;-&quot;??_);_(@_)">
                  <c:v>-980.28725652122012</c:v>
                </c:pt>
                <c:pt idx="159" formatCode="_(&quot;$&quot;* #,##0.00_);_(&quot;$&quot;* \(#,##0.00\);_(&quot;$&quot;* &quot;-&quot;??_);_(@_)">
                  <c:v>-1389.9891169051466</c:v>
                </c:pt>
                <c:pt idx="160" formatCode="_(&quot;$&quot;* #,##0.00_);_(&quot;$&quot;* \(#,##0.00\);_(&quot;$&quot;* &quot;-&quot;??_);_(@_)">
                  <c:v>-1464.6710962220941</c:v>
                </c:pt>
                <c:pt idx="161" formatCode="_(&quot;$&quot;* #,##0.00_);_(&quot;$&quot;* \(#,##0.00\);_(&quot;$&quot;* &quot;-&quot;??_);_(@_)">
                  <c:v>-1287.7897422726571</c:v>
                </c:pt>
                <c:pt idx="162" formatCode="_(&quot;$&quot;* #,##0.00_);_(&quot;$&quot;* \(#,##0.00\);_(&quot;$&quot;* &quot;-&quot;??_);_(@_)">
                  <c:v>-1519.8396941981077</c:v>
                </c:pt>
                <c:pt idx="163" formatCode="_(&quot;$&quot;* #,##0.00_);_(&quot;$&quot;* \(#,##0.00\);_(&quot;$&quot;* &quot;-&quot;??_);_(@_)">
                  <c:v>-1509.5939560936408</c:v>
                </c:pt>
                <c:pt idx="164" formatCode="_(&quot;$&quot;* #,##0.00_);_(&quot;$&quot;* \(#,##0.00\);_(&quot;$&quot;* &quot;-&quot;??_);_(@_)">
                  <c:v>-1662.7974160156568</c:v>
                </c:pt>
                <c:pt idx="165" formatCode="_(&quot;$&quot;* #,##0.00_);_(&quot;$&quot;* \(#,##0.00\);_(&quot;$&quot;* &quot;-&quot;??_);_(@_)">
                  <c:v>-1691.6264274097548</c:v>
                </c:pt>
                <c:pt idx="166" formatCode="_(&quot;$&quot;* #,##0.00_);_(&quot;$&quot;* \(#,##0.00\);_(&quot;$&quot;* &quot;-&quot;??_);_(@_)">
                  <c:v>-1621.5174204729458</c:v>
                </c:pt>
                <c:pt idx="167" formatCode="_(&quot;$&quot;* #,##0.00_);_(&quot;$&quot;* \(#,##0.00\);_(&quot;$&quot;* &quot;-&quot;??_);_(@_)">
                  <c:v>-1995.7055969951145</c:v>
                </c:pt>
                <c:pt idx="168" formatCode="_(&quot;$&quot;* #,##0.00_);_(&quot;$&quot;* \(#,##0.00\);_(&quot;$&quot;* &quot;-&quot;??_);_(@_)">
                  <c:v>-1823.8884960719663</c:v>
                </c:pt>
                <c:pt idx="169" formatCode="_(&quot;$&quot;* #,##0.00_);_(&quot;$&quot;* \(#,##0.00\);_(&quot;$&quot;* &quot;-&quot;??_);_(@_)">
                  <c:v>-1876.9394669856727</c:v>
                </c:pt>
                <c:pt idx="170" formatCode="_(&quot;$&quot;* #,##0.00_);_(&quot;$&quot;* \(#,##0.00\);_(&quot;$&quot;* &quot;-&quot;??_);_(@_)">
                  <c:v>-2529.9316365542268</c:v>
                </c:pt>
                <c:pt idx="171" formatCode="_(&quot;$&quot;* #,##0.00_);_(&quot;$&quot;* \(#,##0.00\);_(&quot;$&quot;* &quot;-&quot;??_);_(@_)">
                  <c:v>-2712.0859676745822</c:v>
                </c:pt>
                <c:pt idx="172" formatCode="_(&quot;$&quot;* #,##0.00_);_(&quot;$&quot;* \(#,##0.00\);_(&quot;$&quot;* &quot;-&quot;??_);_(@_)">
                  <c:v>-2596.4752997353125</c:v>
                </c:pt>
                <c:pt idx="173" formatCode="_(&quot;$&quot;* #,##0.00_);_(&quot;$&quot;* \(#,##0.00\);_(&quot;$&quot;* &quot;-&quot;??_);_(@_)">
                  <c:v>-2628.9431516425448</c:v>
                </c:pt>
                <c:pt idx="174" formatCode="_(&quot;$&quot;* #,##0.00_);_(&quot;$&quot;* \(#,##0.00\);_(&quot;$&quot;* &quot;-&quot;??_);_(@_)">
                  <c:v>-2653.4345930165005</c:v>
                </c:pt>
                <c:pt idx="175" formatCode="_(&quot;$&quot;* #,##0.00_);_(&quot;$&quot;* \(#,##0.00\);_(&quot;$&quot;* &quot;-&quot;??_);_(@_)">
                  <c:v>-2655.3042672350794</c:v>
                </c:pt>
                <c:pt idx="176" formatCode="_(&quot;$&quot;* #,##0.00_);_(&quot;$&quot;* \(#,##0.00\);_(&quot;$&quot;* &quot;-&quot;??_);_(@_)">
                  <c:v>-2580.1504253412336</c:v>
                </c:pt>
                <c:pt idx="177" formatCode="_(&quot;$&quot;* #,##0.00_);_(&quot;$&quot;* \(#,##0.00\);_(&quot;$&quot;* &quot;-&quot;??_);_(@_)">
                  <c:v>-2928.3772954351757</c:v>
                </c:pt>
                <c:pt idx="178" formatCode="_(&quot;$&quot;* #,##0.00_);_(&quot;$&quot;* \(#,##0.00\);_(&quot;$&quot;* &quot;-&quot;??_);_(@_)">
                  <c:v>-2828.412835894901</c:v>
                </c:pt>
                <c:pt idx="179" formatCode="_(&quot;$&quot;* #,##0.00_);_(&quot;$&quot;* \(#,##0.00\);_(&quot;$&quot;* &quot;-&quot;??_);_(@_)">
                  <c:v>-3235.8043209582652</c:v>
                </c:pt>
                <c:pt idx="180" formatCode="_(&quot;$&quot;* #,##0.00_);_(&quot;$&quot;* \(#,##0.00\);_(&quot;$&quot;* &quot;-&quot;??_);_(@_)">
                  <c:v>-3158.269848628111</c:v>
                </c:pt>
                <c:pt idx="181" formatCode="_(&quot;$&quot;* #,##0.00_);_(&quot;$&quot;* \(#,##0.00\);_(&quot;$&quot;* &quot;-&quot;??_);_(@_)">
                  <c:v>-3193.5002874970737</c:v>
                </c:pt>
                <c:pt idx="182" formatCode="_(&quot;$&quot;* #,##0.00_);_(&quot;$&quot;* \(#,##0.00\);_(&quot;$&quot;* &quot;-&quot;??_);_(@_)">
                  <c:v>-3518.7811881858488</c:v>
                </c:pt>
                <c:pt idx="183" formatCode="_(&quot;$&quot;* #,##0.00_);_(&quot;$&quot;* \(#,##0.00\);_(&quot;$&quot;* &quot;-&quot;??_);_(@_)">
                  <c:v>-3847.1432197083714</c:v>
                </c:pt>
                <c:pt idx="184" formatCode="_(&quot;$&quot;* #,##0.00_);_(&quot;$&quot;* \(#,##0.00\);_(&quot;$&quot;* &quot;-&quot;??_);_(@_)">
                  <c:v>-3470.9107339792508</c:v>
                </c:pt>
                <c:pt idx="185" formatCode="_(&quot;$&quot;* #,##0.00_);_(&quot;$&quot;* \(#,##0.00\);_(&quot;$&quot;* &quot;-&quot;??_);_(@_)">
                  <c:v>-3844.5267162262949</c:v>
                </c:pt>
                <c:pt idx="186" formatCode="_(&quot;$&quot;* #,##0.00_);_(&quot;$&quot;* \(#,##0.00\);_(&quot;$&quot;* &quot;-&quot;??_);_(@_)">
                  <c:v>-4229.4674673406944</c:v>
                </c:pt>
                <c:pt idx="187" formatCode="_(&quot;$&quot;* #,##0.00_);_(&quot;$&quot;* \(#,##0.00\);_(&quot;$&quot;* &quot;-&quot;??_);_(@_)">
                  <c:v>-4344.904295106292</c:v>
                </c:pt>
                <c:pt idx="188" formatCode="_(&quot;$&quot;* #,##0.00_);_(&quot;$&quot;* \(#,##0.00\);_(&quot;$&quot;* &quot;-&quot;??_);_(@_)">
                  <c:v>-3772.1323763864812</c:v>
                </c:pt>
                <c:pt idx="189" formatCode="_(&quot;$&quot;* #,##0.00_);_(&quot;$&quot;* \(#,##0.00\);_(&quot;$&quot;* &quot;-&quot;??_);_(@_)">
                  <c:v>-3037.0335096601548</c:v>
                </c:pt>
                <c:pt idx="190" formatCode="_(&quot;$&quot;* #,##0.00_);_(&quot;$&quot;* \(#,##0.00\);_(&quot;$&quot;* &quot;-&quot;??_);_(@_)">
                  <c:v>-3032.3021582784227</c:v>
                </c:pt>
                <c:pt idx="191" formatCode="_(&quot;$&quot;* #,##0.00_);_(&quot;$&quot;* \(#,##0.00\);_(&quot;$&quot;* &quot;-&quot;??_);_(@_)">
                  <c:v>-3298.7636941180044</c:v>
                </c:pt>
                <c:pt idx="192" formatCode="_(&quot;$&quot;* #,##0.00_);_(&quot;$&quot;* \(#,##0.00\);_(&quot;$&quot;* &quot;-&quot;??_);_(@_)">
                  <c:v>-2764.4263670887631</c:v>
                </c:pt>
                <c:pt idx="193" formatCode="_(&quot;$&quot;* #,##0.00_);_(&quot;$&quot;* \(#,##0.00\);_(&quot;$&quot;* &quot;-&quot;??_);_(@_)">
                  <c:v>-3194.8511759042217</c:v>
                </c:pt>
                <c:pt idx="194" formatCode="_(&quot;$&quot;* #,##0.00_);_(&quot;$&quot;* \(#,##0.00\);_(&quot;$&quot;* &quot;-&quot;??_);_(@_)">
                  <c:v>-3161.5881331740097</c:v>
                </c:pt>
                <c:pt idx="195" formatCode="_(&quot;$&quot;* #,##0.00_);_(&quot;$&quot;* \(#,##0.00\);_(&quot;$&quot;* &quot;-&quot;??_);_(@_)">
                  <c:v>-3507.501646508329</c:v>
                </c:pt>
                <c:pt idx="196" formatCode="_(&quot;$&quot;* #,##0.00_);_(&quot;$&quot;* \(#,##0.00\);_(&quot;$&quot;* &quot;-&quot;??_);_(@_)">
                  <c:v>-2768.7003613856268</c:v>
                </c:pt>
                <c:pt idx="197" formatCode="_(&quot;$&quot;* #,##0.00_);_(&quot;$&quot;* \(#,##0.00\);_(&quot;$&quot;* &quot;-&quot;??_);_(@_)">
                  <c:v>-3021.532726717207</c:v>
                </c:pt>
                <c:pt idx="198" formatCode="_(&quot;$&quot;* #,##0.00_);_(&quot;$&quot;* \(#,##0.00\);_(&quot;$&quot;* &quot;-&quot;??_);_(@_)">
                  <c:v>-3105.8783915886693</c:v>
                </c:pt>
                <c:pt idx="199" formatCode="_(&quot;$&quot;* #,##0.00_);_(&quot;$&quot;* \(#,##0.00\);_(&quot;$&quot;* &quot;-&quot;??_);_(@_)">
                  <c:v>-3558.667244793116</c:v>
                </c:pt>
                <c:pt idx="200" formatCode="_(&quot;$&quot;* #,##0.00_);_(&quot;$&quot;* \(#,##0.00\);_(&quot;$&quot;* &quot;-&quot;??_);_(@_)">
                  <c:v>-4047.5102860510269</c:v>
                </c:pt>
                <c:pt idx="201" formatCode="_(&quot;$&quot;* #,##0.00_);_(&quot;$&quot;* \(#,##0.00\);_(&quot;$&quot;* &quot;-&quot;??_);_(@_)">
                  <c:v>-4725.1798897102917</c:v>
                </c:pt>
                <c:pt idx="202" formatCode="_(&quot;$&quot;* #,##0.00_);_(&quot;$&quot;* \(#,##0.00\);_(&quot;$&quot;* &quot;-&quot;??_);_(@_)">
                  <c:v>-5007.8345512877759</c:v>
                </c:pt>
                <c:pt idx="203" formatCode="_(&quot;$&quot;* #,##0.00_);_(&quot;$&quot;* \(#,##0.00\);_(&quot;$&quot;* &quot;-&quot;??_);_(@_)">
                  <c:v>-5037.4740399501416</c:v>
                </c:pt>
                <c:pt idx="204" formatCode="_(&quot;$&quot;* #,##0.00_);_(&quot;$&quot;* \(#,##0.00\);_(&quot;$&quot;* &quot;-&quot;??_);_(@_)">
                  <c:v>-4718.9019328578488</c:v>
                </c:pt>
                <c:pt idx="205" formatCode="_(&quot;$&quot;* #,##0.00_);_(&quot;$&quot;* \(#,##0.00\);_(&quot;$&quot;* &quot;-&quot;??_);_(@_)">
                  <c:v>-5033.2668275559236</c:v>
                </c:pt>
                <c:pt idx="206" formatCode="_(&quot;$&quot;* #,##0.00_);_(&quot;$&quot;* \(#,##0.00\);_(&quot;$&quot;* &quot;-&quot;??_);_(@_)">
                  <c:v>-5096.7589315706391</c:v>
                </c:pt>
                <c:pt idx="207" formatCode="_(&quot;$&quot;* #,##0.00_);_(&quot;$&quot;* \(#,##0.00\);_(&quot;$&quot;* &quot;-&quot;??_);_(@_)">
                  <c:v>-5179.1227078752845</c:v>
                </c:pt>
                <c:pt idx="208" formatCode="_(&quot;$&quot;* #,##0.00_);_(&quot;$&quot;* \(#,##0.00\);_(&quot;$&quot;* &quot;-&quot;??_);_(@_)">
                  <c:v>-5338.7983790156695</c:v>
                </c:pt>
                <c:pt idx="209" formatCode="_(&quot;$&quot;* #,##0.00_);_(&quot;$&quot;* \(#,##0.00\);_(&quot;$&quot;* &quot;-&quot;??_);_(@_)">
                  <c:v>-5601.8714681709625</c:v>
                </c:pt>
                <c:pt idx="210" formatCode="_(&quot;$&quot;* #,##0.00_);_(&quot;$&quot;* \(#,##0.00\);_(&quot;$&quot;* &quot;-&quot;??_);_(@_)">
                  <c:v>-5670.7389331682516</c:v>
                </c:pt>
                <c:pt idx="211" formatCode="_(&quot;$&quot;* #,##0.00_);_(&quot;$&quot;* \(#,##0.00\);_(&quot;$&quot;* &quot;-&quot;??_);_(@_)">
                  <c:v>-5582.9594514482569</c:v>
                </c:pt>
                <c:pt idx="212" formatCode="_(&quot;$&quot;* #,##0.00_);_(&quot;$&quot;* \(#,##0.00\);_(&quot;$&quot;* &quot;-&quot;??_);_(@_)">
                  <c:v>-5242.633925221211</c:v>
                </c:pt>
                <c:pt idx="213" formatCode="_(&quot;$&quot;* #,##0.00_);_(&quot;$&quot;* \(#,##0.00\);_(&quot;$&quot;* &quot;-&quot;??_);_(@_)">
                  <c:v>-5558.6655365417437</c:v>
                </c:pt>
                <c:pt idx="214" formatCode="_(&quot;$&quot;* #,##0.00_);_(&quot;$&quot;* \(#,##0.00\);_(&quot;$&quot;* &quot;-&quot;??_);_(@_)">
                  <c:v>-5474.0640982629675</c:v>
                </c:pt>
                <c:pt idx="215" formatCode="_(&quot;$&quot;* #,##0.00_);_(&quot;$&quot;* \(#,##0.00\);_(&quot;$&quot;* &quot;-&quot;??_);_(@_)">
                  <c:v>-5044.6234956356102</c:v>
                </c:pt>
                <c:pt idx="216" formatCode="_(&quot;$&quot;* #,##0.00_);_(&quot;$&quot;* \(#,##0.00\);_(&quot;$&quot;* &quot;-&quot;??_);_(@_)">
                  <c:v>-5180.2072778732627</c:v>
                </c:pt>
                <c:pt idx="217" formatCode="_(&quot;$&quot;* #,##0.00_);_(&quot;$&quot;* \(#,##0.00\);_(&quot;$&quot;* &quot;-&quot;??_);_(@_)">
                  <c:v>-5232.9707102337488</c:v>
                </c:pt>
                <c:pt idx="218" formatCode="_(&quot;$&quot;* #,##0.00_);_(&quot;$&quot;* \(#,##0.00\);_(&quot;$&quot;* &quot;-&quot;??_);_(@_)">
                  <c:v>-4756.9773653404682</c:v>
                </c:pt>
                <c:pt idx="219" formatCode="_(&quot;$&quot;* #,##0.00_);_(&quot;$&quot;* \(#,##0.00\);_(&quot;$&quot;* &quot;-&quot;??_);_(@_)">
                  <c:v>-5178.5487602532257</c:v>
                </c:pt>
                <c:pt idx="220" formatCode="_(&quot;$&quot;* #,##0.00_);_(&quot;$&quot;* \(#,##0.00\);_(&quot;$&quot;* &quot;-&quot;??_);_(@_)">
                  <c:v>-5324.9023406220176</c:v>
                </c:pt>
                <c:pt idx="221" formatCode="_(&quot;$&quot;* #,##0.00_);_(&quot;$&quot;* \(#,##0.00\);_(&quot;$&quot;* &quot;-&quot;??_);_(@_)">
                  <c:v>-5537.3505533804018</c:v>
                </c:pt>
                <c:pt idx="222" formatCode="_(&quot;$&quot;* #,##0.00_);_(&quot;$&quot;* \(#,##0.00\);_(&quot;$&quot;* &quot;-&quot;??_);_(@_)">
                  <c:v>-5993.6511511519511</c:v>
                </c:pt>
                <c:pt idx="223" formatCode="_(&quot;$&quot;* #,##0.00_);_(&quot;$&quot;* \(#,##0.00\);_(&quot;$&quot;* &quot;-&quot;??_);_(@_)">
                  <c:v>-6031.652179667768</c:v>
                </c:pt>
                <c:pt idx="224" formatCode="_(&quot;$&quot;* #,##0.00_);_(&quot;$&quot;* \(#,##0.00\);_(&quot;$&quot;* &quot;-&quot;??_);_(@_)">
                  <c:v>-6018.2592733826277</c:v>
                </c:pt>
                <c:pt idx="225" formatCode="_(&quot;$&quot;* #,##0.00_);_(&quot;$&quot;* \(#,##0.00\);_(&quot;$&quot;* &quot;-&quot;??_);_(@_)">
                  <c:v>-5905.1645288922373</c:v>
                </c:pt>
                <c:pt idx="226" formatCode="_(&quot;$&quot;* #,##0.00_);_(&quot;$&quot;* \(#,##0.00\);_(&quot;$&quot;* &quot;-&quot;??_);_(@_)">
                  <c:v>-5808.4223550929155</c:v>
                </c:pt>
                <c:pt idx="227" formatCode="_(&quot;$&quot;* #,##0.00_);_(&quot;$&quot;* \(#,##0.00\);_(&quot;$&quot;* &quot;-&quot;??_);_(@_)">
                  <c:v>-5939.8684647181981</c:v>
                </c:pt>
                <c:pt idx="228" formatCode="_(&quot;$&quot;* #,##0.00_);_(&quot;$&quot;* \(#,##0.00\);_(&quot;$&quot;* &quot;-&quot;??_);_(@_)">
                  <c:v>-6265.253019957433</c:v>
                </c:pt>
                <c:pt idx="229" formatCode="_(&quot;$&quot;* #,##0.00_);_(&quot;$&quot;* \(#,##0.00\);_(&quot;$&quot;* &quot;-&quot;??_);_(@_)">
                  <c:v>-6312.9009839735199</c:v>
                </c:pt>
                <c:pt idx="230" formatCode="_(&quot;$&quot;* #,##0.00_);_(&quot;$&quot;* \(#,##0.00\);_(&quot;$&quot;* &quot;-&quot;??_);_(@_)">
                  <c:v>-6498.7008635625843</c:v>
                </c:pt>
                <c:pt idx="231" formatCode="_(&quot;$&quot;* #,##0.00_);_(&quot;$&quot;* \(#,##0.00\);_(&quot;$&quot;* &quot;-&quot;??_);_(@_)">
                  <c:v>-6602.7518725099717</c:v>
                </c:pt>
                <c:pt idx="232" formatCode="_(&quot;$&quot;* #,##0.00_);_(&quot;$&quot;* \(#,##0.00\);_(&quot;$&quot;* &quot;-&quot;??_);_(@_)">
                  <c:v>-6545.7980373693254</c:v>
                </c:pt>
                <c:pt idx="233" formatCode="_(&quot;$&quot;* #,##0.00_);_(&quot;$&quot;* \(#,##0.00\);_(&quot;$&quot;* &quot;-&quot;??_);_(@_)">
                  <c:v>-6533.5162617807528</c:v>
                </c:pt>
                <c:pt idx="234" formatCode="_(&quot;$&quot;* #,##0.00_);_(&quot;$&quot;* \(#,##0.00\);_(&quot;$&quot;* &quot;-&quot;??_);_(@_)">
                  <c:v>-6739.9142581705637</c:v>
                </c:pt>
                <c:pt idx="235" formatCode="_(&quot;$&quot;* #,##0.00_);_(&quot;$&quot;* \(#,##0.00\);_(&quot;$&quot;* &quot;-&quot;??_);_(@_)">
                  <c:v>-6855.6890493779083</c:v>
                </c:pt>
                <c:pt idx="236" formatCode="_(&quot;$&quot;* #,##0.00_);_(&quot;$&quot;* \(#,##0.00\);_(&quot;$&quot;* &quot;-&quot;??_);_(@_)">
                  <c:v>-6802.9576172489724</c:v>
                </c:pt>
                <c:pt idx="237" formatCode="_(&quot;$&quot;* #,##0.00_);_(&quot;$&quot;* \(#,##0.00\);_(&quot;$&quot;* &quot;-&quot;??_);_(@_)">
                  <c:v>-7049.3652431274022</c:v>
                </c:pt>
                <c:pt idx="238" formatCode="_(&quot;$&quot;* #,##0.00_);_(&quot;$&quot;* \(#,##0.00\);_(&quot;$&quot;* &quot;-&quot;??_);_(@_)">
                  <c:v>-7084.2312805982328</c:v>
                </c:pt>
                <c:pt idx="239" formatCode="_(&quot;$&quot;* #,##0.00_);_(&quot;$&quot;* \(#,##0.00\);_(&quot;$&quot;* &quot;-&quot;??_);_(@_)">
                  <c:v>-6739.8558135146868</c:v>
                </c:pt>
                <c:pt idx="240" formatCode="_(&quot;$&quot;* #,##0.00_);_(&quot;$&quot;* \(#,##0.00\);_(&quot;$&quot;* &quot;-&quot;??_);_(@_)">
                  <c:v>-6913.2958271820607</c:v>
                </c:pt>
                <c:pt idx="241" formatCode="_(&quot;$&quot;* #,##0.00_);_(&quot;$&quot;* \(#,##0.00\);_(&quot;$&quot;* &quot;-&quot;??_);_(@_)">
                  <c:v>-6768.8958846558207</c:v>
                </c:pt>
                <c:pt idx="242" formatCode="_(&quot;$&quot;* #,##0.00_);_(&quot;$&quot;* \(#,##0.00\);_(&quot;$&quot;* &quot;-&quot;??_);_(@_)">
                  <c:v>-6731.0356775149885</c:v>
                </c:pt>
                <c:pt idx="243" formatCode="_(&quot;$&quot;* #,##0.00_);_(&quot;$&quot;* \(#,##0.00\);_(&quot;$&quot;* &quot;-&quot;??_);_(@_)">
                  <c:v>-6797.1937959553261</c:v>
                </c:pt>
                <c:pt idx="244" formatCode="_(&quot;$&quot;* #,##0.00_);_(&quot;$&quot;* \(#,##0.00\);_(&quot;$&quot;* &quot;-&quot;??_);_(@_)">
                  <c:v>-6215.4174066775113</c:v>
                </c:pt>
                <c:pt idx="245" formatCode="_(&quot;$&quot;* #,##0.00_);_(&quot;$&quot;* \(#,##0.00\);_(&quot;$&quot;* &quot;-&quot;??_);_(@_)">
                  <c:v>-6306.6142762667114</c:v>
                </c:pt>
                <c:pt idx="246" formatCode="_(&quot;$&quot;* #,##0.00_);_(&quot;$&quot;* \(#,##0.00\);_(&quot;$&quot;* &quot;-&quot;??_);_(@_)">
                  <c:v>-6530.9769514834534</c:v>
                </c:pt>
                <c:pt idx="247" formatCode="_(&quot;$&quot;* #,##0.00_);_(&quot;$&quot;* \(#,##0.00\);_(&quot;$&quot;* &quot;-&quot;??_);_(@_)">
                  <c:v>-6822.6652381885015</c:v>
                </c:pt>
                <c:pt idx="248" formatCode="_(&quot;$&quot;* #,##0.00_);_(&quot;$&quot;* \(#,##0.00\);_(&quot;$&quot;* &quot;-&quot;??_);_(@_)">
                  <c:v>-6811.9097952092507</c:v>
                </c:pt>
                <c:pt idx="249" formatCode="_(&quot;$&quot;* #,##0.00_);_(&quot;$&quot;* \(#,##0.00\);_(&quot;$&quot;* &quot;-&quot;??_);_(@_)">
                  <c:v>-6786.8494622424778</c:v>
                </c:pt>
                <c:pt idx="250" formatCode="_(&quot;$&quot;* #,##0.00_);_(&quot;$&quot;* \(#,##0.00\);_(&quot;$&quot;* &quot;-&quot;??_);_(@_)">
                  <c:v>-6857.2814996065154</c:v>
                </c:pt>
                <c:pt idx="251" formatCode="_(&quot;$&quot;* #,##0.00_);_(&quot;$&quot;* \(#,##0.00\);_(&quot;$&quot;* &quot;-&quot;??_);_(@_)">
                  <c:v>-6738.8653681247597</c:v>
                </c:pt>
                <c:pt idx="252" formatCode="_(&quot;$&quot;* #,##0.00_);_(&quot;$&quot;* \(#,##0.00\);_(&quot;$&quot;* &quot;-&quot;??_);_(@_)">
                  <c:v>-6654.3227219352957</c:v>
                </c:pt>
                <c:pt idx="253" formatCode="_(&quot;$&quot;* #,##0.00_);_(&quot;$&quot;* \(#,##0.00\);_(&quot;$&quot;* &quot;-&quot;??_);_(@_)">
                  <c:v>-6050.0515879140376</c:v>
                </c:pt>
                <c:pt idx="254" formatCode="_(&quot;$&quot;* #,##0.00_);_(&quot;$&quot;* \(#,##0.00\);_(&quot;$&quot;* &quot;-&quot;??_);_(@_)">
                  <c:v>-6477.3368371778352</c:v>
                </c:pt>
                <c:pt idx="255" formatCode="_(&quot;$&quot;* #,##0.00_);_(&quot;$&quot;* \(#,##0.00\);_(&quot;$&quot;* &quot;-&quot;??_);_(@_)">
                  <c:v>-6275.4031758105393</c:v>
                </c:pt>
                <c:pt idx="256" formatCode="_(&quot;$&quot;* #,##0.00_);_(&quot;$&quot;* \(#,##0.00\);_(&quot;$&quot;* &quot;-&quot;??_);_(@_)">
                  <c:v>-6406.0468202862412</c:v>
                </c:pt>
                <c:pt idx="257" formatCode="_(&quot;$&quot;* #,##0.00_);_(&quot;$&quot;* \(#,##0.00\);_(&quot;$&quot;* &quot;-&quot;??_);_(@_)">
                  <c:v>-6412.1862859083976</c:v>
                </c:pt>
                <c:pt idx="258" formatCode="_(&quot;$&quot;* #,##0.00_);_(&quot;$&quot;* \(#,##0.00\);_(&quot;$&quot;* &quot;-&quot;??_);_(@_)">
                  <c:v>-6641.4105219875837</c:v>
                </c:pt>
                <c:pt idx="259" formatCode="_(&quot;$&quot;* #,##0.00_);_(&quot;$&quot;* \(#,##0.00\);_(&quot;$&quot;* &quot;-&quot;??_);_(@_)">
                  <c:v>-6566.7656897502202</c:v>
                </c:pt>
                <c:pt idx="260" formatCode="_(&quot;$&quot;* #,##0.00_);_(&quot;$&quot;* \(#,##0.00\);_(&quot;$&quot;* &quot;-&quot;??_);_(@_)">
                  <c:v>-6883.3959779457637</c:v>
                </c:pt>
                <c:pt idx="261" formatCode="_(&quot;$&quot;* #,##0.00_);_(&quot;$&quot;* \(#,##0.00\);_(&quot;$&quot;* &quot;-&quot;??_);_(@_)">
                  <c:v>-6777.0457598878493</c:v>
                </c:pt>
                <c:pt idx="262" formatCode="_(&quot;$&quot;* #,##0.00_);_(&quot;$&quot;* \(#,##0.00\);_(&quot;$&quot;* &quot;-&quot;??_);_(@_)">
                  <c:v>-6614.1863020975943</c:v>
                </c:pt>
                <c:pt idx="263" formatCode="_(&quot;$&quot;* #,##0.00_);_(&quot;$&quot;* \(#,##0.00\);_(&quot;$&quot;* &quot;-&quot;??_);_(@_)">
                  <c:v>-6744.1147841283037</c:v>
                </c:pt>
                <c:pt idx="264" formatCode="_(&quot;$&quot;* #,##0.00_);_(&quot;$&quot;* \(#,##0.00\);_(&quot;$&quot;* &quot;-&quot;??_);_(@_)">
                  <c:v>-6897.0788447028817</c:v>
                </c:pt>
                <c:pt idx="265" formatCode="_(&quot;$&quot;* #,##0.00_);_(&quot;$&quot;* \(#,##0.00\);_(&quot;$&quot;* &quot;-&quot;??_);_(@_)">
                  <c:v>-7100.6673487207354</c:v>
                </c:pt>
                <c:pt idx="266" formatCode="_(&quot;$&quot;* #,##0.00_);_(&quot;$&quot;* \(#,##0.00\);_(&quot;$&quot;* &quot;-&quot;??_);_(@_)">
                  <c:v>-7309.0387844827865</c:v>
                </c:pt>
                <c:pt idx="267" formatCode="_(&quot;$&quot;* #,##0.00_);_(&quot;$&quot;* \(#,##0.00\);_(&quot;$&quot;* &quot;-&quot;??_);_(@_)">
                  <c:v>-7400.5219630251986</c:v>
                </c:pt>
                <c:pt idx="268" formatCode="_(&quot;$&quot;* #,##0.00_);_(&quot;$&quot;* \(#,##0.00\);_(&quot;$&quot;* &quot;-&quot;??_);_(@_)">
                  <c:v>-7395.1661058246309</c:v>
                </c:pt>
                <c:pt idx="269" formatCode="_(&quot;$&quot;* #,##0.00_);_(&quot;$&quot;* \(#,##0.00\);_(&quot;$&quot;* &quot;-&quot;??_);_(@_)">
                  <c:v>-7164.8336676635636</c:v>
                </c:pt>
                <c:pt idx="270" formatCode="_(&quot;$&quot;* #,##0.00_);_(&quot;$&quot;* \(#,##0.00\);_(&quot;$&quot;* &quot;-&quot;??_);_(@_)">
                  <c:v>-7181.3302771424014</c:v>
                </c:pt>
                <c:pt idx="271" formatCode="_(&quot;$&quot;* #,##0.00_);_(&quot;$&quot;* \(#,##0.00\);_(&quot;$&quot;* &quot;-&quot;??_);_(@_)">
                  <c:v>-7205.2019830736208</c:v>
                </c:pt>
                <c:pt idx="272" formatCode="_(&quot;$&quot;* #,##0.00_);_(&quot;$&quot;* \(#,##0.00\);_(&quot;$&quot;* &quot;-&quot;??_);_(@_)">
                  <c:v>-7311.9957397983144</c:v>
                </c:pt>
                <c:pt idx="273" formatCode="_(&quot;$&quot;* #,##0.00_);_(&quot;$&quot;* \(#,##0.00\);_(&quot;$&quot;* &quot;-&quot;??_);_(@_)">
                  <c:v>-7408.1841135450459</c:v>
                </c:pt>
                <c:pt idx="274" formatCode="_(&quot;$&quot;* #,##0.00_);_(&quot;$&quot;* \(#,##0.00\);_(&quot;$&quot;* &quot;-&quot;??_);_(@_)">
                  <c:v>-7740.6742008245637</c:v>
                </c:pt>
                <c:pt idx="275" formatCode="_(&quot;$&quot;* #,##0.00_);_(&quot;$&quot;* \(#,##0.00\);_(&quot;$&quot;* &quot;-&quot;??_);_(@_)">
                  <c:v>-8014.9393095624646</c:v>
                </c:pt>
                <c:pt idx="276" formatCode="_(&quot;$&quot;* #,##0.00_);_(&quot;$&quot;* \(#,##0.00\);_(&quot;$&quot;* &quot;-&quot;??_);_(@_)">
                  <c:v>-7910.654814651185</c:v>
                </c:pt>
                <c:pt idx="277" formatCode="_(&quot;$&quot;* #,##0.00_);_(&quot;$&quot;* \(#,##0.00\);_(&quot;$&quot;* &quot;-&quot;??_);_(@_)">
                  <c:v>-8128.3194539390934</c:v>
                </c:pt>
                <c:pt idx="278" formatCode="_(&quot;$&quot;* #,##0.00_);_(&quot;$&quot;* \(#,##0.00\);_(&quot;$&quot;* &quot;-&quot;??_);_(@_)">
                  <c:v>-7992.0935196944565</c:v>
                </c:pt>
                <c:pt idx="279" formatCode="_(&quot;$&quot;* #,##0.00_);_(&quot;$&quot;* \(#,##0.00\);_(&quot;$&quot;* &quot;-&quot;??_);_(@_)">
                  <c:v>-7875.0234690658581</c:v>
                </c:pt>
                <c:pt idx="280" formatCode="_(&quot;$&quot;* #,##0.00_);_(&quot;$&quot;* \(#,##0.00\);_(&quot;$&quot;* &quot;-&quot;??_);_(@_)">
                  <c:v>-7861.2303656175754</c:v>
                </c:pt>
                <c:pt idx="281" formatCode="_(&quot;$&quot;* #,##0.00_);_(&quot;$&quot;* \(#,##0.00\);_(&quot;$&quot;* &quot;-&quot;??_);_(@_)">
                  <c:v>-7677.3243578505026</c:v>
                </c:pt>
                <c:pt idx="282" formatCode="_(&quot;$&quot;* #,##0.00_);_(&quot;$&quot;* \(#,##0.00\);_(&quot;$&quot;* &quot;-&quot;??_);_(@_)">
                  <c:v>-7922.2290679741236</c:v>
                </c:pt>
                <c:pt idx="283" formatCode="_(&quot;$&quot;* #,##0.00_);_(&quot;$&quot;* \(#,##0.00\);_(&quot;$&quot;* &quot;-&quot;??_);_(@_)">
                  <c:v>-7807.360278140326</c:v>
                </c:pt>
                <c:pt idx="284" formatCode="_(&quot;$&quot;* #,##0.00_);_(&quot;$&quot;* \(#,##0.00\);_(&quot;$&quot;* &quot;-&quot;??_);_(@_)">
                  <c:v>-8210.7815421414743</c:v>
                </c:pt>
                <c:pt idx="285" formatCode="_(&quot;$&quot;* #,##0.00_);_(&quot;$&quot;* \(#,##0.00\);_(&quot;$&quot;* &quot;-&quot;??_);_(@_)">
                  <c:v>-8430.4978337079028</c:v>
                </c:pt>
                <c:pt idx="286" formatCode="_(&quot;$&quot;* #,##0.00_);_(&quot;$&quot;* \(#,##0.00\);_(&quot;$&quot;* &quot;-&quot;??_);_(@_)">
                  <c:v>-9012.0741079793897</c:v>
                </c:pt>
                <c:pt idx="287" formatCode="_(&quot;$&quot;* #,##0.00_);_(&quot;$&quot;* \(#,##0.00\);_(&quot;$&quot;* &quot;-&quot;??_);_(@_)">
                  <c:v>-9216.6334550946049</c:v>
                </c:pt>
                <c:pt idx="288" formatCode="_(&quot;$&quot;* #,##0.00_);_(&quot;$&quot;* \(#,##0.00\);_(&quot;$&quot;* &quot;-&quot;??_);_(@_)">
                  <c:v>-8754.351388228024</c:v>
                </c:pt>
                <c:pt idx="289" formatCode="_(&quot;$&quot;* #,##0.00_);_(&quot;$&quot;* \(#,##0.00\);_(&quot;$&quot;* &quot;-&quot;??_);_(@_)">
                  <c:v>-8872.8923783734299</c:v>
                </c:pt>
                <c:pt idx="290" formatCode="_(&quot;$&quot;* #,##0.00_);_(&quot;$&quot;* \(#,##0.00\);_(&quot;$&quot;* &quot;-&quot;??_);_(@_)">
                  <c:v>-9038.8035484874181</c:v>
                </c:pt>
                <c:pt idx="291" formatCode="_(&quot;$&quot;* #,##0.00_);_(&quot;$&quot;* \(#,##0.00\);_(&quot;$&quot;* &quot;-&quot;??_);_(@_)">
                  <c:v>-9193.509068469506</c:v>
                </c:pt>
                <c:pt idx="292" formatCode="_(&quot;$&quot;* #,##0.00_);_(&quot;$&quot;* \(#,##0.00\);_(&quot;$&quot;* &quot;-&quot;??_);_(@_)">
                  <c:v>-9229.6108014636156</c:v>
                </c:pt>
                <c:pt idx="293" formatCode="_(&quot;$&quot;* #,##0.00_);_(&quot;$&quot;* \(#,##0.00\);_(&quot;$&quot;* &quot;-&quot;??_);_(@_)">
                  <c:v>-9413.2808304131377</c:v>
                </c:pt>
                <c:pt idx="294" formatCode="_(&quot;$&quot;* #,##0.00_);_(&quot;$&quot;* \(#,##0.00\);_(&quot;$&quot;* &quot;-&quot;??_);_(@_)">
                  <c:v>-9425.8240124191016</c:v>
                </c:pt>
                <c:pt idx="295" formatCode="_(&quot;$&quot;* #,##0.00_);_(&quot;$&quot;* \(#,##0.00\);_(&quot;$&quot;* &quot;-&quot;??_);_(@_)">
                  <c:v>-9364.4364701289942</c:v>
                </c:pt>
                <c:pt idx="296" formatCode="_(&quot;$&quot;* #,##0.00_);_(&quot;$&quot;* \(#,##0.00\);_(&quot;$&quot;* &quot;-&quot;??_);_(@_)">
                  <c:v>-9114.4034842469464</c:v>
                </c:pt>
                <c:pt idx="297" formatCode="_(&quot;$&quot;* #,##0.00_);_(&quot;$&quot;* \(#,##0.00\);_(&quot;$&quot;* &quot;-&quot;??_);_(@_)">
                  <c:v>-8888.374108969856</c:v>
                </c:pt>
                <c:pt idx="298" formatCode="_(&quot;$&quot;* #,##0.00_);_(&quot;$&quot;* \(#,##0.00\);_(&quot;$&quot;* &quot;-&quot;??_);_(@_)">
                  <c:v>-9081.5900169931265</c:v>
                </c:pt>
                <c:pt idx="299" formatCode="_(&quot;$&quot;* #,##0.00_);_(&quot;$&quot;* \(#,##0.00\);_(&quot;$&quot;* &quot;-&quot;??_);_(@_)">
                  <c:v>-9138.5845490631764</c:v>
                </c:pt>
                <c:pt idx="300" formatCode="_(&quot;$&quot;* #,##0.00_);_(&quot;$&quot;* \(#,##0.00\);_(&quot;$&quot;* &quot;-&quot;??_);_(@_)">
                  <c:v>-9134.3722315602117</c:v>
                </c:pt>
                <c:pt idx="301" formatCode="_(&quot;$&quot;* #,##0.00_);_(&quot;$&quot;* \(#,##0.00\);_(&quot;$&quot;* &quot;-&quot;??_);_(@_)">
                  <c:v>-9544.1649271103961</c:v>
                </c:pt>
                <c:pt idx="302" formatCode="_(&quot;$&quot;* #,##0.00_);_(&quot;$&quot;* \(#,##0.00\);_(&quot;$&quot;* &quot;-&quot;??_);_(@_)">
                  <c:v>-9356.6441432937172</c:v>
                </c:pt>
                <c:pt idx="303" formatCode="_(&quot;$&quot;* #,##0.00_);_(&quot;$&quot;* \(#,##0.00\);_(&quot;$&quot;* &quot;-&quot;??_);_(@_)">
                  <c:v>-9602.8950446427662</c:v>
                </c:pt>
                <c:pt idx="304" formatCode="_(&quot;$&quot;* #,##0.00_);_(&quot;$&quot;* \(#,##0.00\);_(&quot;$&quot;* &quot;-&quot;??_);_(@_)">
                  <c:v>-9465.1410400330024</c:v>
                </c:pt>
                <c:pt idx="305" formatCode="_(&quot;$&quot;* #,##0.00_);_(&quot;$&quot;* \(#,##0.00\);_(&quot;$&quot;* &quot;-&quot;??_);_(@_)">
                  <c:v>-9436.3557780871033</c:v>
                </c:pt>
                <c:pt idx="306" formatCode="_(&quot;$&quot;* #,##0.00_);_(&quot;$&quot;* \(#,##0.00\);_(&quot;$&quot;* &quot;-&quot;??_);_(@_)">
                  <c:v>-9447.5078297387754</c:v>
                </c:pt>
                <c:pt idx="307" formatCode="_(&quot;$&quot;* #,##0.00_);_(&quot;$&quot;* \(#,##0.00\);_(&quot;$&quot;* &quot;-&quot;??_);_(@_)">
                  <c:v>-9548.1665910703759</c:v>
                </c:pt>
                <c:pt idx="308" formatCode="_(&quot;$&quot;* #,##0.00_);_(&quot;$&quot;* \(#,##0.00\);_(&quot;$&quot;* &quot;-&quot;??_);_(@_)">
                  <c:v>-9589.8738544390562</c:v>
                </c:pt>
                <c:pt idx="309" formatCode="_(&quot;$&quot;* #,##0.00_);_(&quot;$&quot;* \(#,##0.00\);_(&quot;$&quot;* &quot;-&quot;??_);_(@_)">
                  <c:v>-9765.7336062212271</c:v>
                </c:pt>
                <c:pt idx="310" formatCode="_(&quot;$&quot;* #,##0.00_);_(&quot;$&quot;* \(#,##0.00\);_(&quot;$&quot;* &quot;-&quot;??_);_(@_)">
                  <c:v>-9792.9875252153961</c:v>
                </c:pt>
                <c:pt idx="311" formatCode="_(&quot;$&quot;* #,##0.00_);_(&quot;$&quot;* \(#,##0.00\);_(&quot;$&quot;* &quot;-&quot;??_);_(@_)">
                  <c:v>-9302.5535629138758</c:v>
                </c:pt>
                <c:pt idx="312" formatCode="_(&quot;$&quot;* #,##0.00_);_(&quot;$&quot;* \(#,##0.00\);_(&quot;$&quot;* &quot;-&quot;??_);_(@_)">
                  <c:v>-9435.6174918493853</c:v>
                </c:pt>
                <c:pt idx="313" formatCode="_(&quot;$&quot;* #,##0.00_);_(&quot;$&quot;* \(#,##0.00\);_(&quot;$&quot;* &quot;-&quot;??_);_(@_)">
                  <c:v>-9553.3882211242581</c:v>
                </c:pt>
                <c:pt idx="314" formatCode="_(&quot;$&quot;* #,##0.00_);_(&quot;$&quot;* \(#,##0.00\);_(&quot;$&quot;* &quot;-&quot;??_);_(@_)">
                  <c:v>-9695.0271166113398</c:v>
                </c:pt>
                <c:pt idx="315" formatCode="_(&quot;$&quot;* #,##0.00_);_(&quot;$&quot;* \(#,##0.00\);_(&quot;$&quot;* &quot;-&quot;??_);_(@_)">
                  <c:v>-9666.2999362627925</c:v>
                </c:pt>
                <c:pt idx="316" formatCode="_(&quot;$&quot;* #,##0.00_);_(&quot;$&quot;* \(#,##0.00\);_(&quot;$&quot;* &quot;-&quot;??_);_(@_)">
                  <c:v>-9379.3562553367865</c:v>
                </c:pt>
                <c:pt idx="317" formatCode="_(&quot;$&quot;* #,##0.00_);_(&quot;$&quot;* \(#,##0.00\);_(&quot;$&quot;* &quot;-&quot;??_);_(@_)">
                  <c:v>-9050.8780246192673</c:v>
                </c:pt>
                <c:pt idx="318" formatCode="_(&quot;$&quot;* #,##0.00_);_(&quot;$&quot;* \(#,##0.00\);_(&quot;$&quot;* &quot;-&quot;??_);_(@_)">
                  <c:v>-9251.7767250380166</c:v>
                </c:pt>
                <c:pt idx="319" formatCode="_(&quot;$&quot;* #,##0.00_);_(&quot;$&quot;* \(#,##0.00\);_(&quot;$&quot;* &quot;-&quot;??_);_(@_)">
                  <c:v>-8923.8193122906905</c:v>
                </c:pt>
                <c:pt idx="320" formatCode="_(&quot;$&quot;* #,##0.00_);_(&quot;$&quot;* \(#,##0.00\);_(&quot;$&quot;* &quot;-&quot;??_);_(@_)">
                  <c:v>-9157.2923918152937</c:v>
                </c:pt>
                <c:pt idx="321" formatCode="_(&quot;$&quot;* #,##0.00_);_(&quot;$&quot;* \(#,##0.00\);_(&quot;$&quot;* &quot;-&quot;??_);_(@_)">
                  <c:v>-9202.3873646778811</c:v>
                </c:pt>
                <c:pt idx="322" formatCode="_(&quot;$&quot;* #,##0.00_);_(&quot;$&quot;* \(#,##0.00\);_(&quot;$&quot;* &quot;-&quot;??_);_(@_)">
                  <c:v>-8978.4179519650352</c:v>
                </c:pt>
                <c:pt idx="323" formatCode="_(&quot;$&quot;* #,##0.00_);_(&quot;$&quot;* \(#,##0.00\);_(&quot;$&quot;* &quot;-&quot;??_);_(@_)">
                  <c:v>-9138.2920951748256</c:v>
                </c:pt>
                <c:pt idx="324" formatCode="_(&quot;$&quot;* #,##0.00_);_(&quot;$&quot;* \(#,##0.00\);_(&quot;$&quot;* &quot;-&quot;??_);_(@_)">
                  <c:v>-9076.3910073917432</c:v>
                </c:pt>
                <c:pt idx="325" formatCode="_(&quot;$&quot;* #,##0.00_);_(&quot;$&quot;* \(#,##0.00\);_(&quot;$&quot;* &quot;-&quot;??_);_(@_)">
                  <c:v>-8753.4178049782931</c:v>
                </c:pt>
                <c:pt idx="326" formatCode="_(&quot;$&quot;* #,##0.00_);_(&quot;$&quot;* \(#,##0.00\);_(&quot;$&quot;* &quot;-&quot;??_);_(@_)">
                  <c:v>-8895.7129315337097</c:v>
                </c:pt>
                <c:pt idx="327" formatCode="_(&quot;$&quot;* #,##0.00_);_(&quot;$&quot;* \(#,##0.00\);_(&quot;$&quot;* &quot;-&quot;??_);_(@_)">
                  <c:v>-9056.0012264046454</c:v>
                </c:pt>
                <c:pt idx="328" formatCode="_(&quot;$&quot;* #,##0.00_);_(&quot;$&quot;* \(#,##0.00\);_(&quot;$&quot;* &quot;-&quot;??_);_(@_)">
                  <c:v>-9154.2606312333846</c:v>
                </c:pt>
                <c:pt idx="329" formatCode="_(&quot;$&quot;* #,##0.00_);_(&quot;$&quot;* \(#,##0.00\);_(&quot;$&quot;* &quot;-&quot;??_);_(@_)">
                  <c:v>-9273.03925031787</c:v>
                </c:pt>
                <c:pt idx="330" formatCode="_(&quot;$&quot;* #,##0.00_);_(&quot;$&quot;* \(#,##0.00\);_(&quot;$&quot;* &quot;-&quot;??_);_(@_)">
                  <c:v>-9345.8589626918474</c:v>
                </c:pt>
                <c:pt idx="331" formatCode="_(&quot;$&quot;* #,##0.00_);_(&quot;$&quot;* \(#,##0.00\);_(&quot;$&quot;* &quot;-&quot;??_);_(@_)">
                  <c:v>-9435.624951925427</c:v>
                </c:pt>
                <c:pt idx="332" formatCode="_(&quot;$&quot;* #,##0.00_);_(&quot;$&quot;* \(#,##0.00\);_(&quot;$&quot;* &quot;-&quot;??_);_(@_)">
                  <c:v>-9558.7310664091383</c:v>
                </c:pt>
                <c:pt idx="333" formatCode="_(&quot;$&quot;* #,##0.00_);_(&quot;$&quot;* \(#,##0.00\);_(&quot;$&quot;* &quot;-&quot;??_);_(@_)">
                  <c:v>-9601.4127132492195</c:v>
                </c:pt>
                <c:pt idx="334" formatCode="_(&quot;$&quot;* #,##0.00_);_(&quot;$&quot;* \(#,##0.00\);_(&quot;$&quot;* &quot;-&quot;??_);_(@_)">
                  <c:v>-9683.6938288312722</c:v>
                </c:pt>
                <c:pt idx="335" formatCode="_(&quot;$&quot;* #,##0.00_);_(&quot;$&quot;* \(#,##0.00\);_(&quot;$&quot;* &quot;-&quot;??_);_(@_)">
                  <c:v>-9911.8089184642595</c:v>
                </c:pt>
                <c:pt idx="336" formatCode="_(&quot;$&quot;* #,##0.00_);_(&quot;$&quot;* \(#,##0.00\);_(&quot;$&quot;* &quot;-&quot;??_);_(@_)">
                  <c:v>-9767.3742512590507</c:v>
                </c:pt>
                <c:pt idx="337" formatCode="_(&quot;$&quot;* #,##0.00_);_(&quot;$&quot;* \(#,##0.00\);_(&quot;$&quot;* &quot;-&quot;??_);_(@_)">
                  <c:v>-10031.91033165855</c:v>
                </c:pt>
                <c:pt idx="338" formatCode="_(&quot;$&quot;* #,##0.00_);_(&quot;$&quot;* \(#,##0.00\);_(&quot;$&quot;* &quot;-&quot;??_);_(@_)">
                  <c:v>-10093.162430295344</c:v>
                </c:pt>
                <c:pt idx="339" formatCode="_(&quot;$&quot;* #,##0.00_);_(&quot;$&quot;* \(#,##0.00\);_(&quot;$&quot;* &quot;-&quot;??_);_(@_)">
                  <c:v>-10110.370291792979</c:v>
                </c:pt>
                <c:pt idx="340" formatCode="_(&quot;$&quot;* #,##0.00_);_(&quot;$&quot;* \(#,##0.00\);_(&quot;$&quot;* &quot;-&quot;??_);_(@_)">
                  <c:v>-9746.2701335563361</c:v>
                </c:pt>
                <c:pt idx="341" formatCode="_(&quot;$&quot;* #,##0.00_);_(&quot;$&quot;* \(#,##0.00\);_(&quot;$&quot;* &quot;-&quot;??_);_(@_)">
                  <c:v>-9948.0764393317349</c:v>
                </c:pt>
                <c:pt idx="342" formatCode="_(&quot;$&quot;* #,##0.00_);_(&quot;$&quot;* \(#,##0.00\);_(&quot;$&quot;* &quot;-&quot;??_);_(@_)">
                  <c:v>-10025.571146224487</c:v>
                </c:pt>
                <c:pt idx="343" formatCode="_(&quot;$&quot;* #,##0.00_);_(&quot;$&quot;* \(#,##0.00\);_(&quot;$&quot;* &quot;-&quot;??_);_(@_)">
                  <c:v>-10064.757434837233</c:v>
                </c:pt>
                <c:pt idx="344" formatCode="_(&quot;$&quot;* #,##0.00_);_(&quot;$&quot;* \(#,##0.00\);_(&quot;$&quot;* &quot;-&quot;??_);_(@_)">
                  <c:v>-10586.584943623295</c:v>
                </c:pt>
                <c:pt idx="345" formatCode="_(&quot;$&quot;* #,##0.00_);_(&quot;$&quot;* \(#,##0.00\);_(&quot;$&quot;* &quot;-&quot;??_);_(@_)">
                  <c:v>-10840.493713642678</c:v>
                </c:pt>
                <c:pt idx="346" formatCode="_(&quot;$&quot;* #,##0.00_);_(&quot;$&quot;* \(#,##0.00\);_(&quot;$&quot;* &quot;-&quot;??_);_(@_)">
                  <c:v>-10824.358504133179</c:v>
                </c:pt>
                <c:pt idx="347" formatCode="_(&quot;$&quot;* #,##0.00_);_(&quot;$&quot;* \(#,##0.00\);_(&quot;$&quot;* &quot;-&quot;??_);_(@_)">
                  <c:v>-10875.070754845419</c:v>
                </c:pt>
                <c:pt idx="348" formatCode="_(&quot;$&quot;* #,##0.00_);_(&quot;$&quot;* \(#,##0.00\);_(&quot;$&quot;* &quot;-&quot;??_);_(@_)">
                  <c:v>-11080.49105099285</c:v>
                </c:pt>
                <c:pt idx="349" formatCode="_(&quot;$&quot;* #,##0.00_);_(&quot;$&quot;* \(#,##0.00\);_(&quot;$&quot;* &quot;-&quot;??_);_(@_)">
                  <c:v>-11393.427467013305</c:v>
                </c:pt>
                <c:pt idx="350" formatCode="_(&quot;$&quot;* #,##0.00_);_(&quot;$&quot;* \(#,##0.00\);_(&quot;$&quot;* &quot;-&quot;??_);_(@_)">
                  <c:v>-11402.737294508013</c:v>
                </c:pt>
                <c:pt idx="351" formatCode="_(&quot;$&quot;* #,##0.00_);_(&quot;$&quot;* \(#,##0.00\);_(&quot;$&quot;* &quot;-&quot;??_);_(@_)">
                  <c:v>-11680.967264326027</c:v>
                </c:pt>
                <c:pt idx="352" formatCode="_(&quot;$&quot;* #,##0.00_);_(&quot;$&quot;* \(#,##0.00\);_(&quot;$&quot;* &quot;-&quot;??_);_(@_)">
                  <c:v>-11883.989252753245</c:v>
                </c:pt>
                <c:pt idx="353" formatCode="_(&quot;$&quot;* #,##0.00_);_(&quot;$&quot;* \(#,##0.00\);_(&quot;$&quot;* &quot;-&quot;??_);_(@_)">
                  <c:v>-11742.433884761866</c:v>
                </c:pt>
                <c:pt idx="354" formatCode="_(&quot;$&quot;* #,##0.00_);_(&quot;$&quot;* \(#,##0.00\);_(&quot;$&quot;* &quot;-&quot;??_);_(@_)">
                  <c:v>-11913.397434409593</c:v>
                </c:pt>
                <c:pt idx="355" formatCode="_(&quot;$&quot;* #,##0.00_);_(&quot;$&quot;* \(#,##0.00\);_(&quot;$&quot;* &quot;-&quot;??_);_(@_)">
                  <c:v>-11591.342482678601</c:v>
                </c:pt>
                <c:pt idx="356" formatCode="_(&quot;$&quot;* #,##0.00_);_(&quot;$&quot;* \(#,##0.00\);_(&quot;$&quot;* &quot;-&quot;??_);_(@_)">
                  <c:v>-11885.646201580208</c:v>
                </c:pt>
                <c:pt idx="357" formatCode="_(&quot;$&quot;* #,##0.00_);_(&quot;$&quot;* \(#,##0.00\);_(&quot;$&quot;* &quot;-&quot;??_);_(@_)">
                  <c:v>-12095.50200165975</c:v>
                </c:pt>
                <c:pt idx="358" formatCode="_(&quot;$&quot;* #,##0.00_);_(&quot;$&quot;* \(#,##0.00\);_(&quot;$&quot;* &quot;-&quot;??_);_(@_)">
                  <c:v>-11887.126922877067</c:v>
                </c:pt>
                <c:pt idx="359" formatCode="_(&quot;$&quot;* #,##0.00_);_(&quot;$&quot;* \(#,##0.00\);_(&quot;$&quot;* &quot;-&quot;??_);_(@_)">
                  <c:v>-10950.242571850538</c:v>
                </c:pt>
                <c:pt idx="360" formatCode="_(&quot;$&quot;* #,##0.00_);_(&quot;$&quot;* \(#,##0.00\);_(&quot;$&quot;* &quot;-&quot;??_);_(@_)">
                  <c:v>-11391.031754449599</c:v>
                </c:pt>
                <c:pt idx="361" formatCode="_(&quot;$&quot;* #,##0.00_);_(&quot;$&quot;* \(#,##0.00\);_(&quot;$&quot;* &quot;-&quot;??_);_(@_)">
                  <c:v>-11734.601368449758</c:v>
                </c:pt>
                <c:pt idx="362" formatCode="_(&quot;$&quot;* #,##0.00_);_(&quot;$&quot;* \(#,##0.00\);_(&quot;$&quot;* &quot;-&quot;??_);_(@_)">
                  <c:v>-11796.704107136404</c:v>
                </c:pt>
                <c:pt idx="363" formatCode="_(&quot;$&quot;* #,##0.00_);_(&quot;$&quot;* \(#,##0.00\);_(&quot;$&quot;* &quot;-&quot;??_);_(@_)">
                  <c:v>-11595.561403891079</c:v>
                </c:pt>
                <c:pt idx="364" formatCode="_(&quot;$&quot;* #,##0.00_);_(&quot;$&quot;* \(#,##0.00\);_(&quot;$&quot;* &quot;-&quot;??_);_(@_)">
                  <c:v>-11844.01404053815</c:v>
                </c:pt>
                <c:pt idx="365" formatCode="_(&quot;$&quot;* #,##0.00_);_(&quot;$&quot;* \(#,##0.00\);_(&quot;$&quot;* &quot;-&quot;??_);_(@_)">
                  <c:v>-11587.008753519591</c:v>
                </c:pt>
                <c:pt idx="366" formatCode="_(&quot;$&quot;* #,##0.00_);_(&quot;$&quot;* \(#,##0.00\);_(&quot;$&quot;* &quot;-&quot;??_);_(@_)">
                  <c:v>-11786.478493624163</c:v>
                </c:pt>
                <c:pt idx="367" formatCode="_(&quot;$&quot;* #,##0.00_);_(&quot;$&quot;* \(#,##0.00\);_(&quot;$&quot;* &quot;-&quot;??_);_(@_)">
                  <c:v>-11670.671176514546</c:v>
                </c:pt>
                <c:pt idx="368" formatCode="_(&quot;$&quot;* #,##0.00_);_(&quot;$&quot;* \(#,##0.00\);_(&quot;$&quot;* &quot;-&quot;??_);_(@_)">
                  <c:v>-11589.662054632821</c:v>
                </c:pt>
                <c:pt idx="369" formatCode="_(&quot;$&quot;* #,##0.00_);_(&quot;$&quot;* \(#,##0.00\);_(&quot;$&quot;* &quot;-&quot;??_);_(@_)">
                  <c:v>-11514.712659151677</c:v>
                </c:pt>
                <c:pt idx="370" formatCode="_(&quot;$&quot;* #,##0.00_);_(&quot;$&quot;* \(#,##0.00\);_(&quot;$&quot;* &quot;-&quot;??_);_(@_)">
                  <c:v>-11600.264030129285</c:v>
                </c:pt>
                <c:pt idx="371" formatCode="_(&quot;$&quot;* #,##0.00_);_(&quot;$&quot;* \(#,##0.00\);_(&quot;$&quot;* &quot;-&quot;??_);_(@_)">
                  <c:v>-11386.041671220768</c:v>
                </c:pt>
                <c:pt idx="372" formatCode="_(&quot;$&quot;* #,##0.00_);_(&quot;$&quot;* \(#,##0.00\);_(&quot;$&quot;* &quot;-&quot;??_);_(@_)">
                  <c:v>-11235.786187144366</c:v>
                </c:pt>
                <c:pt idx="373" formatCode="_(&quot;$&quot;* #,##0.00_);_(&quot;$&quot;* \(#,##0.00\);_(&quot;$&quot;* &quot;-&quot;??_);_(@_)">
                  <c:v>-11340.373537003679</c:v>
                </c:pt>
                <c:pt idx="374" formatCode="_(&quot;$&quot;* #,##0.00_);_(&quot;$&quot;* \(#,##0.00\);_(&quot;$&quot;* &quot;-&quot;??_);_(@_)">
                  <c:v>-11285.300438294124</c:v>
                </c:pt>
                <c:pt idx="375" formatCode="_(&quot;$&quot;* #,##0.00_);_(&quot;$&quot;* \(#,##0.00\);_(&quot;$&quot;* &quot;-&quot;??_);_(@_)">
                  <c:v>-11437.019246107651</c:v>
                </c:pt>
                <c:pt idx="376" formatCode="_(&quot;$&quot;* #,##0.00_);_(&quot;$&quot;* \(#,##0.00\);_(&quot;$&quot;* &quot;-&quot;??_);_(@_)">
                  <c:v>-10938.324235588891</c:v>
                </c:pt>
                <c:pt idx="377" formatCode="_(&quot;$&quot;* #,##0.00_);_(&quot;$&quot;* \(#,##0.00\);_(&quot;$&quot;* &quot;-&quot;??_);_(@_)">
                  <c:v>-10777.011296180717</c:v>
                </c:pt>
                <c:pt idx="378" formatCode="_(&quot;$&quot;* #,##0.00_);_(&quot;$&quot;* \(#,##0.00\);_(&quot;$&quot;* &quot;-&quot;??_);_(@_)">
                  <c:v>-11052.808233599573</c:v>
                </c:pt>
                <c:pt idx="379" formatCode="_(&quot;$&quot;* #,##0.00_);_(&quot;$&quot;* \(#,##0.00\);_(&quot;$&quot;* &quot;-&quot;??_);_(@_)">
                  <c:v>-10993.964395828458</c:v>
                </c:pt>
                <c:pt idx="380" formatCode="_(&quot;$&quot;* #,##0.00_);_(&quot;$&quot;* \(#,##0.00\);_(&quot;$&quot;* &quot;-&quot;??_);_(@_)">
                  <c:v>-10981.626385396465</c:v>
                </c:pt>
                <c:pt idx="381" formatCode="_(&quot;$&quot;* #,##0.00_);_(&quot;$&quot;* \(#,##0.00\);_(&quot;$&quot;* &quot;-&quot;??_);_(@_)">
                  <c:v>-11304.094936191994</c:v>
                </c:pt>
                <c:pt idx="382" formatCode="_(&quot;$&quot;* #,##0.00_);_(&quot;$&quot;* \(#,##0.00\);_(&quot;$&quot;* &quot;-&quot;??_);_(@_)">
                  <c:v>-11226.05291725817</c:v>
                </c:pt>
                <c:pt idx="383" formatCode="_(&quot;$&quot;* #,##0.00_);_(&quot;$&quot;* \(#,##0.00\);_(&quot;$&quot;* &quot;-&quot;??_);_(@_)">
                  <c:v>-11462.043387165793</c:v>
                </c:pt>
                <c:pt idx="384" formatCode="_(&quot;$&quot;* #,##0.00_);_(&quot;$&quot;* \(#,##0.00\);_(&quot;$&quot;* &quot;-&quot;??_);_(@_)">
                  <c:v>-11538.631885530682</c:v>
                </c:pt>
                <c:pt idx="385" formatCode="_(&quot;$&quot;* #,##0.00_);_(&quot;$&quot;* \(#,##0.00\);_(&quot;$&quot;* &quot;-&quot;??_);_(@_)">
                  <c:v>-12013.448119095227</c:v>
                </c:pt>
                <c:pt idx="386" formatCode="_(&quot;$&quot;* #,##0.00_);_(&quot;$&quot;* \(#,##0.00\);_(&quot;$&quot;* &quot;-&quot;??_);_(@_)">
                  <c:v>-12564.746506229065</c:v>
                </c:pt>
                <c:pt idx="387" formatCode="_(&quot;$&quot;* #,##0.00_);_(&quot;$&quot;* \(#,##0.00\);_(&quot;$&quot;* &quot;-&quot;??_);_(@_)">
                  <c:v>-12451.853480038755</c:v>
                </c:pt>
                <c:pt idx="388" formatCode="_(&quot;$&quot;* #,##0.00_);_(&quot;$&quot;* \(#,##0.00\);_(&quot;$&quot;* &quot;-&quot;??_);_(@_)">
                  <c:v>-12453.2033259482</c:v>
                </c:pt>
                <c:pt idx="389" formatCode="_(&quot;$&quot;* #,##0.00_);_(&quot;$&quot;* \(#,##0.00\);_(&quot;$&quot;* &quot;-&quot;??_);_(@_)">
                  <c:v>-12691.904764356867</c:v>
                </c:pt>
                <c:pt idx="390" formatCode="_(&quot;$&quot;* #,##0.00_);_(&quot;$&quot;* \(#,##0.00\);_(&quot;$&quot;* &quot;-&quot;??_);_(@_)">
                  <c:v>-12465.797995758861</c:v>
                </c:pt>
                <c:pt idx="391" formatCode="_(&quot;$&quot;* #,##0.00_);_(&quot;$&quot;* \(#,##0.00\);_(&quot;$&quot;* &quot;-&quot;??_);_(@_)">
                  <c:v>-12185.458467295515</c:v>
                </c:pt>
                <c:pt idx="392" formatCode="_(&quot;$&quot;* #,##0.00_);_(&quot;$&quot;* \(#,##0.00\);_(&quot;$&quot;* &quot;-&quot;??_);_(@_)">
                  <c:v>-12098.370415473888</c:v>
                </c:pt>
                <c:pt idx="393" formatCode="_(&quot;$&quot;* #,##0.00_);_(&quot;$&quot;* \(#,##0.00\);_(&quot;$&quot;* &quot;-&quot;??_);_(@_)">
                  <c:v>-12073.807486340098</c:v>
                </c:pt>
                <c:pt idx="394" formatCode="_(&quot;$&quot;* #,##0.00_);_(&quot;$&quot;* \(#,##0.00\);_(&quot;$&quot;* &quot;-&quot;??_);_(@_)">
                  <c:v>-12135.528044987888</c:v>
                </c:pt>
                <c:pt idx="395" formatCode="_(&quot;$&quot;* #,##0.00_);_(&quot;$&quot;* \(#,##0.00\);_(&quot;$&quot;* &quot;-&quot;??_);_(@_)">
                  <c:v>-12293.955174062214</c:v>
                </c:pt>
                <c:pt idx="396" formatCode="_(&quot;$&quot;* #,##0.00_);_(&quot;$&quot;* \(#,##0.00\);_(&quot;$&quot;* &quot;-&quot;??_);_(@_)">
                  <c:v>-12174.00202217369</c:v>
                </c:pt>
                <c:pt idx="397" formatCode="_(&quot;$&quot;* #,##0.00_);_(&quot;$&quot;* \(#,##0.00\);_(&quot;$&quot;* &quot;-&quot;??_);_(@_)">
                  <c:v>-12460.456803240404</c:v>
                </c:pt>
                <c:pt idx="398" formatCode="_(&quot;$&quot;* #,##0.00_);_(&quot;$&quot;* \(#,##0.00\);_(&quot;$&quot;* &quot;-&quot;??_);_(@_)">
                  <c:v>-12642.995369634144</c:v>
                </c:pt>
                <c:pt idx="399" formatCode="_(&quot;$&quot;* #,##0.00_);_(&quot;$&quot;* \(#,##0.00\);_(&quot;$&quot;* &quot;-&quot;??_);_(@_)">
                  <c:v>-12886.02178991152</c:v>
                </c:pt>
                <c:pt idx="400" formatCode="_(&quot;$&quot;* #,##0.00_);_(&quot;$&quot;* \(#,##0.00\);_(&quot;$&quot;* &quot;-&quot;??_);_(@_)">
                  <c:v>-12806.776466857205</c:v>
                </c:pt>
                <c:pt idx="401" formatCode="_(&quot;$&quot;* #,##0.00_);_(&quot;$&quot;* \(#,##0.00\);_(&quot;$&quot;* &quot;-&quot;??_);_(@_)">
                  <c:v>-12596.152360048211</c:v>
                </c:pt>
                <c:pt idx="402" formatCode="_(&quot;$&quot;* #,##0.00_);_(&quot;$&quot;* \(#,##0.00\);_(&quot;$&quot;* &quot;-&quot;??_);_(@_)">
                  <c:v>-12684.522112576979</c:v>
                </c:pt>
                <c:pt idx="403" formatCode="_(&quot;$&quot;* #,##0.00_);_(&quot;$&quot;* \(#,##0.00\);_(&quot;$&quot;* &quot;-&quot;??_);_(@_)">
                  <c:v>-13070.883819413169</c:v>
                </c:pt>
                <c:pt idx="404" formatCode="_(&quot;$&quot;* #,##0.00_);_(&quot;$&quot;* \(#,##0.00\);_(&quot;$&quot;* &quot;-&quot;??_);_(@_)">
                  <c:v>-12984.881725038029</c:v>
                </c:pt>
                <c:pt idx="405" formatCode="_(&quot;$&quot;* #,##0.00_);_(&quot;$&quot;* \(#,##0.00\);_(&quot;$&quot;* &quot;-&quot;??_);_(@_)">
                  <c:v>-13116.564402489808</c:v>
                </c:pt>
                <c:pt idx="406" formatCode="_(&quot;$&quot;* #,##0.00_);_(&quot;$&quot;* \(#,##0.00\);_(&quot;$&quot;* &quot;-&quot;??_);_(@_)">
                  <c:v>-13446.241609917448</c:v>
                </c:pt>
                <c:pt idx="407" formatCode="_(&quot;$&quot;* #,##0.00_);_(&quot;$&quot;* \(#,##0.00\);_(&quot;$&quot;* &quot;-&quot;??_);_(@_)">
                  <c:v>-13350.604248184547</c:v>
                </c:pt>
                <c:pt idx="408" formatCode="_(&quot;$&quot;* #,##0.00_);_(&quot;$&quot;* \(#,##0.00\);_(&quot;$&quot;* &quot;-&quot;??_);_(@_)">
                  <c:v>-13658.052757614647</c:v>
                </c:pt>
                <c:pt idx="409" formatCode="_(&quot;$&quot;* #,##0.00_);_(&quot;$&quot;* \(#,##0.00\);_(&quot;$&quot;* &quot;-&quot;??_);_(@_)">
                  <c:v>-13558.203844051284</c:v>
                </c:pt>
                <c:pt idx="410" formatCode="_(&quot;$&quot;* #,##0.00_);_(&quot;$&quot;* \(#,##0.00\);_(&quot;$&quot;* &quot;-&quot;??_);_(@_)">
                  <c:v>-13650.247667196863</c:v>
                </c:pt>
                <c:pt idx="411" formatCode="_(&quot;$&quot;* #,##0.00_);_(&quot;$&quot;* \(#,##0.00\);_(&quot;$&quot;* &quot;-&quot;??_);_(@_)">
                  <c:v>-13294.984625615889</c:v>
                </c:pt>
                <c:pt idx="412" formatCode="_(&quot;$&quot;* #,##0.00_);_(&quot;$&quot;* \(#,##0.00\);_(&quot;$&quot;* &quot;-&quot;??_);_(@_)">
                  <c:v>-13637.120152200303</c:v>
                </c:pt>
                <c:pt idx="413" formatCode="_(&quot;$&quot;* #,##0.00_);_(&quot;$&quot;* \(#,##0.00\);_(&quot;$&quot;* &quot;-&quot;??_);_(@_)">
                  <c:v>-13556.417412367682</c:v>
                </c:pt>
                <c:pt idx="414" formatCode="_(&quot;$&quot;* #,##0.00_);_(&quot;$&quot;* \(#,##0.00\);_(&quot;$&quot;* &quot;-&quot;??_);_(@_)">
                  <c:v>-13503.114847386074</c:v>
                </c:pt>
                <c:pt idx="415" formatCode="_(&quot;$&quot;* #,##0.00_);_(&quot;$&quot;* \(#,##0.00\);_(&quot;$&quot;* &quot;-&quot;??_);_(@_)">
                  <c:v>-13403.111221566816</c:v>
                </c:pt>
                <c:pt idx="416" formatCode="_(&quot;$&quot;* #,##0.00_);_(&quot;$&quot;* \(#,##0.00\);_(&quot;$&quot;* &quot;-&quot;??_);_(@_)">
                  <c:v>-13454.201996372984</c:v>
                </c:pt>
                <c:pt idx="417" formatCode="_(&quot;$&quot;* #,##0.00_);_(&quot;$&quot;* \(#,##0.00\);_(&quot;$&quot;* &quot;-&quot;??_);_(@_)">
                  <c:v>-13569.509209493217</c:v>
                </c:pt>
                <c:pt idx="418" formatCode="_(&quot;$&quot;* #,##0.00_);_(&quot;$&quot;* \(#,##0.00\);_(&quot;$&quot;* &quot;-&quot;??_);_(@_)">
                  <c:v>-13494.037511380015</c:v>
                </c:pt>
                <c:pt idx="419" formatCode="_(&quot;$&quot;* #,##0.00_);_(&quot;$&quot;* \(#,##0.00\);_(&quot;$&quot;* &quot;-&quot;??_);_(@_)">
                  <c:v>-13412.978703820289</c:v>
                </c:pt>
                <c:pt idx="420" formatCode="_(&quot;$&quot;* #,##0.00_);_(&quot;$&quot;* \(#,##0.00\);_(&quot;$&quot;* &quot;-&quot;??_);_(@_)">
                  <c:v>-13315.084069365459</c:v>
                </c:pt>
                <c:pt idx="421" formatCode="_(&quot;$&quot;* #,##0.00_);_(&quot;$&quot;* \(#,##0.00\);_(&quot;$&quot;* &quot;-&quot;??_);_(@_)">
                  <c:v>-13398.917542116837</c:v>
                </c:pt>
                <c:pt idx="422" formatCode="_(&quot;$&quot;* #,##0.00_);_(&quot;$&quot;* \(#,##0.00\);_(&quot;$&quot;* &quot;-&quot;??_);_(@_)">
                  <c:v>-13379.098293662732</c:v>
                </c:pt>
                <c:pt idx="423" formatCode="_(&quot;$&quot;* #,##0.00_);_(&quot;$&quot;* \(#,##0.00\);_(&quot;$&quot;* &quot;-&quot;??_);_(@_)">
                  <c:v>-13262.536970719071</c:v>
                </c:pt>
                <c:pt idx="424" formatCode="_(&quot;$&quot;* #,##0.00_);_(&quot;$&quot;* \(#,##0.00\);_(&quot;$&quot;* &quot;-&quot;??_);_(@_)">
                  <c:v>-13385.975380426724</c:v>
                </c:pt>
                <c:pt idx="425" formatCode="_(&quot;$&quot;* #,##0.00_);_(&quot;$&quot;* \(#,##0.00\);_(&quot;$&quot;* &quot;-&quot;??_);_(@_)">
                  <c:v>-13494.74012659787</c:v>
                </c:pt>
                <c:pt idx="426" formatCode="_(&quot;$&quot;* #,##0.00_);_(&quot;$&quot;* \(#,##0.00\);_(&quot;$&quot;* &quot;-&quot;??_);_(@_)">
                  <c:v>-13460.452446670846</c:v>
                </c:pt>
                <c:pt idx="427" formatCode="_(&quot;$&quot;* #,##0.00_);_(&quot;$&quot;* \(#,##0.00\);_(&quot;$&quot;* &quot;-&quot;??_);_(@_)">
                  <c:v>-13690.752960816877</c:v>
                </c:pt>
                <c:pt idx="428" formatCode="_(&quot;$&quot;* #,##0.00_);_(&quot;$&quot;* \(#,##0.00\);_(&quot;$&quot;* &quot;-&quot;??_);_(@_)">
                  <c:v>-13794.614214936639</c:v>
                </c:pt>
                <c:pt idx="429" formatCode="_(&quot;$&quot;* #,##0.00_);_(&quot;$&quot;* \(#,##0.00\);_(&quot;$&quot;* &quot;-&quot;??_);_(@_)">
                  <c:v>-14044.126925457633</c:v>
                </c:pt>
                <c:pt idx="430" formatCode="_(&quot;$&quot;* #,##0.00_);_(&quot;$&quot;* \(#,##0.00\);_(&quot;$&quot;* &quot;-&quot;??_);_(@_)">
                  <c:v>-14196.171868770984</c:v>
                </c:pt>
                <c:pt idx="431" formatCode="_(&quot;$&quot;* #,##0.00_);_(&quot;$&quot;* \(#,##0.00\);_(&quot;$&quot;* &quot;-&quot;??_);_(@_)">
                  <c:v>-14292.938501668075</c:v>
                </c:pt>
                <c:pt idx="432" formatCode="_(&quot;$&quot;* #,##0.00_);_(&quot;$&quot;* \(#,##0.00\);_(&quot;$&quot;* &quot;-&quot;??_);_(@_)">
                  <c:v>-14131.099891190217</c:v>
                </c:pt>
                <c:pt idx="433" formatCode="_(&quot;$&quot;* #,##0.00_);_(&quot;$&quot;* \(#,##0.00\);_(&quot;$&quot;* &quot;-&quot;??_);_(@_)">
                  <c:v>-14367.218872839319</c:v>
                </c:pt>
                <c:pt idx="434" formatCode="_(&quot;$&quot;* #,##0.00_);_(&quot;$&quot;* \(#,##0.00\);_(&quot;$&quot;* &quot;-&quot;??_);_(@_)">
                  <c:v>-14294.895142118889</c:v>
                </c:pt>
                <c:pt idx="435" formatCode="_(&quot;$&quot;* #,##0.00_);_(&quot;$&quot;* \(#,##0.00\);_(&quot;$&quot;* &quot;-&quot;??_);_(@_)">
                  <c:v>-14286.554747038814</c:v>
                </c:pt>
                <c:pt idx="436" formatCode="_(&quot;$&quot;* #,##0.00_);_(&quot;$&quot;* \(#,##0.00\);_(&quot;$&quot;* &quot;-&quot;??_);_(@_)">
                  <c:v>-14230.009652325791</c:v>
                </c:pt>
                <c:pt idx="437" formatCode="_(&quot;$&quot;* #,##0.00_);_(&quot;$&quot;* \(#,##0.00\);_(&quot;$&quot;* &quot;-&quot;??_);_(@_)">
                  <c:v>-14117.978383768186</c:v>
                </c:pt>
                <c:pt idx="438" formatCode="_(&quot;$&quot;* #,##0.00_);_(&quot;$&quot;* \(#,##0.00\);_(&quot;$&quot;* &quot;-&quot;??_);_(@_)">
                  <c:v>-14322.844086390722</c:v>
                </c:pt>
                <c:pt idx="439" formatCode="_(&quot;$&quot;* #,##0.00_);_(&quot;$&quot;* \(#,##0.00\);_(&quot;$&quot;* &quot;-&quot;??_);_(@_)">
                  <c:v>-14057.290723665459</c:v>
                </c:pt>
                <c:pt idx="440" formatCode="_(&quot;$&quot;* #,##0.00_);_(&quot;$&quot;* \(#,##0.00\);_(&quot;$&quot;* &quot;-&quot;??_);_(@_)">
                  <c:v>-14094.483158282716</c:v>
                </c:pt>
                <c:pt idx="441" formatCode="_(&quot;$&quot;* #,##0.00_);_(&quot;$&quot;* \(#,##0.00\);_(&quot;$&quot;* &quot;-&quot;??_);_(@_)">
                  <c:v>-13905.914357001027</c:v>
                </c:pt>
                <c:pt idx="442" formatCode="_(&quot;$&quot;* #,##0.00_);_(&quot;$&quot;* \(#,##0.00\);_(&quot;$&quot;* &quot;-&quot;??_);_(@_)">
                  <c:v>-13974.208565106777</c:v>
                </c:pt>
                <c:pt idx="443" formatCode="_(&quot;$&quot;* #,##0.00_);_(&quot;$&quot;* \(#,##0.00\);_(&quot;$&quot;* &quot;-&quot;??_);_(@_)">
                  <c:v>-14069.212741705494</c:v>
                </c:pt>
                <c:pt idx="444" formatCode="_(&quot;$&quot;* #,##0.00_);_(&quot;$&quot;* \(#,##0.00\);_(&quot;$&quot;* &quot;-&quot;??_);_(@_)">
                  <c:v>-14072.603900276852</c:v>
                </c:pt>
                <c:pt idx="445" formatCode="_(&quot;$&quot;* #,##0.00_);_(&quot;$&quot;* \(#,##0.00\);_(&quot;$&quot;* &quot;-&quot;??_);_(@_)">
                  <c:v>-13957.192459218486</c:v>
                </c:pt>
                <c:pt idx="446" formatCode="_(&quot;$&quot;* #,##0.00_);_(&quot;$&quot;* \(#,##0.00\);_(&quot;$&quot;* &quot;-&quot;??_);_(@_)">
                  <c:v>-13748.490843780299</c:v>
                </c:pt>
                <c:pt idx="447" formatCode="_(&quot;$&quot;* #,##0.00_);_(&quot;$&quot;* \(#,##0.00\);_(&quot;$&quot;* &quot;-&quot;??_);_(@_)">
                  <c:v>-13781.539547706601</c:v>
                </c:pt>
                <c:pt idx="448" formatCode="_(&quot;$&quot;* #,##0.00_);_(&quot;$&quot;* \(#,##0.00\);_(&quot;$&quot;* &quot;-&quot;??_);_(@_)">
                  <c:v>-13789.40652256151</c:v>
                </c:pt>
                <c:pt idx="449" formatCode="_(&quot;$&quot;* #,##0.00_);_(&quot;$&quot;* \(#,##0.00\);_(&quot;$&quot;* &quot;-&quot;??_);_(@_)">
                  <c:v>-13716.3720801167</c:v>
                </c:pt>
                <c:pt idx="450" formatCode="_(&quot;$&quot;* #,##0.00_);_(&quot;$&quot;* \(#,##0.00\);_(&quot;$&quot;* &quot;-&quot;??_);_(@_)">
                  <c:v>-13810.499534810288</c:v>
                </c:pt>
                <c:pt idx="451" formatCode="_(&quot;$&quot;* #,##0.00_);_(&quot;$&quot;* \(#,##0.00\);_(&quot;$&quot;* &quot;-&quot;??_);_(@_)">
                  <c:v>-13869.053151094628</c:v>
                </c:pt>
                <c:pt idx="452" formatCode="_(&quot;$&quot;* #,##0.00_);_(&quot;$&quot;* \(#,##0.00\);_(&quot;$&quot;* &quot;-&quot;??_);_(@_)">
                  <c:v>-13861.953597733049</c:v>
                </c:pt>
                <c:pt idx="453" formatCode="_(&quot;$&quot;* #,##0.00_);_(&quot;$&quot;* \(#,##0.00\);_(&quot;$&quot;* &quot;-&quot;??_);_(@_)">
                  <c:v>-13829.244312494913</c:v>
                </c:pt>
                <c:pt idx="454" formatCode="_(&quot;$&quot;* #,##0.00_);_(&quot;$&quot;* \(#,##0.00\);_(&quot;$&quot;* &quot;-&quot;??_);_(@_)">
                  <c:v>-14150.291874574332</c:v>
                </c:pt>
                <c:pt idx="455" formatCode="_(&quot;$&quot;* #,##0.00_);_(&quot;$&quot;* \(#,##0.00\);_(&quot;$&quot;* &quot;-&quot;??_);_(@_)">
                  <c:v>-14223.894761706933</c:v>
                </c:pt>
                <c:pt idx="456" formatCode="_(&quot;$&quot;* #,##0.00_);_(&quot;$&quot;* \(#,##0.00\);_(&quot;$&quot;* &quot;-&quot;??_);_(@_)">
                  <c:v>-14466.80102268144</c:v>
                </c:pt>
                <c:pt idx="457" formatCode="_(&quot;$&quot;* #,##0.00_);_(&quot;$&quot;* \(#,##0.00\);_(&quot;$&quot;* &quot;-&quot;??_);_(@_)">
                  <c:v>-14286.522034304542</c:v>
                </c:pt>
                <c:pt idx="458" formatCode="_(&quot;$&quot;* #,##0.00_);_(&quot;$&quot;* \(#,##0.00\);_(&quot;$&quot;* &quot;-&quot;??_);_(@_)">
                  <c:v>-14286.216196340714</c:v>
                </c:pt>
                <c:pt idx="459" formatCode="_(&quot;$&quot;* #,##0.00_);_(&quot;$&quot;* \(#,##0.00\);_(&quot;$&quot;* &quot;-&quot;??_);_(@_)">
                  <c:v>-14247.682996534955</c:v>
                </c:pt>
                <c:pt idx="460" formatCode="_(&quot;$&quot;* #,##0.00_);_(&quot;$&quot;* \(#,##0.00\);_(&quot;$&quot;* &quot;-&quot;??_);_(@_)">
                  <c:v>-14136.904931553336</c:v>
                </c:pt>
                <c:pt idx="461" formatCode="_(&quot;$&quot;* #,##0.00_);_(&quot;$&quot;* \(#,##0.00\);_(&quot;$&quot;* &quot;-&quot;??_);_(@_)">
                  <c:v>-14451.011192683327</c:v>
                </c:pt>
                <c:pt idx="462" formatCode="_(&quot;$&quot;* #,##0.00_);_(&quot;$&quot;* \(#,##0.00\);_(&quot;$&quot;* &quot;-&quot;??_);_(@_)">
                  <c:v>-14477.175278072154</c:v>
                </c:pt>
                <c:pt idx="463" formatCode="_(&quot;$&quot;* #,##0.00_);_(&quot;$&quot;* \(#,##0.00\);_(&quot;$&quot;* &quot;-&quot;??_);_(@_)">
                  <c:v>-14425.751803241104</c:v>
                </c:pt>
                <c:pt idx="464" formatCode="_(&quot;$&quot;* #,##0.00_);_(&quot;$&quot;* \(#,##0.00\);_(&quot;$&quot;* &quot;-&quot;??_);_(@_)">
                  <c:v>-14353.912246245047</c:v>
                </c:pt>
                <c:pt idx="465" formatCode="_(&quot;$&quot;* #,##0.00_);_(&quot;$&quot;* \(#,##0.00\);_(&quot;$&quot;* &quot;-&quot;??_);_(@_)">
                  <c:v>-14228.31938283176</c:v>
                </c:pt>
                <c:pt idx="466" formatCode="_(&quot;$&quot;* #,##0.00_);_(&quot;$&quot;* \(#,##0.00\);_(&quot;$&quot;* &quot;-&quot;??_);_(@_)">
                  <c:v>-14394.085194413296</c:v>
                </c:pt>
                <c:pt idx="467" formatCode="_(&quot;$&quot;* #,##0.00_);_(&quot;$&quot;* \(#,##0.00\);_(&quot;$&quot;* &quot;-&quot;??_);_(@_)">
                  <c:v>-14368.740488091345</c:v>
                </c:pt>
                <c:pt idx="468" formatCode="_(&quot;$&quot;* #,##0.00_);_(&quot;$&quot;* \(#,##0.00\);_(&quot;$&quot;* &quot;-&quot;??_);_(@_)">
                  <c:v>-14095.007209621122</c:v>
                </c:pt>
                <c:pt idx="469" formatCode="_(&quot;$&quot;* #,##0.00_);_(&quot;$&quot;* \(#,##0.00\);_(&quot;$&quot;* &quot;-&quot;??_);_(@_)">
                  <c:v>-14306.659740950361</c:v>
                </c:pt>
                <c:pt idx="470" formatCode="_(&quot;$&quot;* #,##0.00_);_(&quot;$&quot;* \(#,##0.00\);_(&quot;$&quot;* &quot;-&quot;??_);_(@_)">
                  <c:v>-14533.783261075301</c:v>
                </c:pt>
                <c:pt idx="471" formatCode="_(&quot;$&quot;* #,##0.00_);_(&quot;$&quot;* \(#,##0.00\);_(&quot;$&quot;* &quot;-&quot;??_);_(@_)">
                  <c:v>-14570.28556494222</c:v>
                </c:pt>
                <c:pt idx="472" formatCode="_(&quot;$&quot;* #,##0.00_);_(&quot;$&quot;* \(#,##0.00\);_(&quot;$&quot;* &quot;-&quot;??_);_(@_)">
                  <c:v>-14436.685030540071</c:v>
                </c:pt>
                <c:pt idx="473" formatCode="_(&quot;$&quot;* #,##0.00_);_(&quot;$&quot;* \(#,##0.00\);_(&quot;$&quot;* &quot;-&quot;??_);_(@_)">
                  <c:v>-14458.986082915837</c:v>
                </c:pt>
                <c:pt idx="474" formatCode="_(&quot;$&quot;* #,##0.00_);_(&quot;$&quot;* \(#,##0.00\);_(&quot;$&quot;* &quot;-&quot;??_);_(@_)">
                  <c:v>-14519.876032412543</c:v>
                </c:pt>
                <c:pt idx="475" formatCode="_(&quot;$&quot;* #,##0.00_);_(&quot;$&quot;* \(#,##0.00\);_(&quot;$&quot;* &quot;-&quot;??_);_(@_)">
                  <c:v>-14444.921474908951</c:v>
                </c:pt>
                <c:pt idx="476" formatCode="_(&quot;$&quot;* #,##0.00_);_(&quot;$&quot;* \(#,##0.00\);_(&quot;$&quot;* &quot;-&quot;??_);_(@_)">
                  <c:v>-14244.226371347873</c:v>
                </c:pt>
                <c:pt idx="477" formatCode="_(&quot;$&quot;* #,##0.00_);_(&quot;$&quot;* \(#,##0.00\);_(&quot;$&quot;* &quot;-&quot;??_);_(@_)">
                  <c:v>-14383.899961441213</c:v>
                </c:pt>
                <c:pt idx="478" formatCode="_(&quot;$&quot;* #,##0.00_);_(&quot;$&quot;* \(#,##0.00\);_(&quot;$&quot;* &quot;-&quot;??_);_(@_)">
                  <c:v>-14257.030258394507</c:v>
                </c:pt>
                <c:pt idx="479" formatCode="_(&quot;$&quot;* #,##0.00_);_(&quot;$&quot;* \(#,##0.00\);_(&quot;$&quot;* &quot;-&quot;??_);_(@_)">
                  <c:v>-14644.575713094662</c:v>
                </c:pt>
                <c:pt idx="480" formatCode="_(&quot;$&quot;* #,##0.00_);_(&quot;$&quot;* \(#,##0.00\);_(&quot;$&quot;* &quot;-&quot;??_);_(@_)">
                  <c:v>-14999.665228183172</c:v>
                </c:pt>
                <c:pt idx="481" formatCode="_(&quot;$&quot;* #,##0.00_);_(&quot;$&quot;* \(#,##0.00\);_(&quot;$&quot;* &quot;-&quot;??_);_(@_)">
                  <c:v>-15018.920072496094</c:v>
                </c:pt>
                <c:pt idx="482" formatCode="_(&quot;$&quot;* #,##0.00_);_(&quot;$&quot;* \(#,##0.00\);_(&quot;$&quot;* &quot;-&quot;??_);_(@_)">
                  <c:v>-15033.124093401926</c:v>
                </c:pt>
                <c:pt idx="483" formatCode="_(&quot;$&quot;* #,##0.00_);_(&quot;$&quot;* \(#,##0.00\);_(&quot;$&quot;* &quot;-&quot;??_);_(@_)">
                  <c:v>-15051.95707231312</c:v>
                </c:pt>
                <c:pt idx="484" formatCode="_(&quot;$&quot;* #,##0.00_);_(&quot;$&quot;* \(#,##0.00\);_(&quot;$&quot;* &quot;-&quot;??_);_(@_)">
                  <c:v>-15096.435210303636</c:v>
                </c:pt>
                <c:pt idx="485" formatCode="_(&quot;$&quot;* #,##0.00_);_(&quot;$&quot;* \(#,##0.00\);_(&quot;$&quot;* &quot;-&quot;??_);_(@_)">
                  <c:v>-15202.456825637035</c:v>
                </c:pt>
                <c:pt idx="486" formatCode="_(&quot;$&quot;* #,##0.00_);_(&quot;$&quot;* \(#,##0.00\);_(&quot;$&quot;* &quot;-&quot;??_);_(@_)">
                  <c:v>-15396.405467796276</c:v>
                </c:pt>
                <c:pt idx="487" formatCode="_(&quot;$&quot;* #,##0.00_);_(&quot;$&quot;* \(#,##0.00\);_(&quot;$&quot;* &quot;-&quot;??_);_(@_)">
                  <c:v>-15486.555718213636</c:v>
                </c:pt>
                <c:pt idx="488" formatCode="_(&quot;$&quot;* #,##0.00_);_(&quot;$&quot;* \(#,##0.00\);_(&quot;$&quot;* &quot;-&quot;??_);_(@_)">
                  <c:v>-15570.460969359978</c:v>
                </c:pt>
                <c:pt idx="489" formatCode="_(&quot;$&quot;* #,##0.00_);_(&quot;$&quot;* \(#,##0.00\);_(&quot;$&quot;* &quot;-&quot;??_);_(@_)">
                  <c:v>-15759.944765064782</c:v>
                </c:pt>
                <c:pt idx="490" formatCode="_(&quot;$&quot;* #,##0.00_);_(&quot;$&quot;* \(#,##0.00\);_(&quot;$&quot;* &quot;-&quot;??_);_(@_)">
                  <c:v>-15733.245156342264</c:v>
                </c:pt>
                <c:pt idx="491" formatCode="_(&quot;$&quot;* #,##0.00_);_(&quot;$&quot;* \(#,##0.00\);_(&quot;$&quot;* &quot;-&quot;??_);_(@_)">
                  <c:v>-15707.445362740618</c:v>
                </c:pt>
                <c:pt idx="492" formatCode="_(&quot;$&quot;* #,##0.00_);_(&quot;$&quot;* \(#,##0.00\);_(&quot;$&quot;* &quot;-&quot;??_);_(@_)">
                  <c:v>-15743.875548787322</c:v>
                </c:pt>
                <c:pt idx="493" formatCode="_(&quot;$&quot;* #,##0.00_);_(&quot;$&quot;* \(#,##0.00\);_(&quot;$&quot;* &quot;-&quot;??_);_(@_)">
                  <c:v>-15816.668499909711</c:v>
                </c:pt>
                <c:pt idx="494" formatCode="_(&quot;$&quot;* #,##0.00_);_(&quot;$&quot;* \(#,##0.00\);_(&quot;$&quot;* &quot;-&quot;??_);_(@_)">
                  <c:v>-15764.761379431286</c:v>
                </c:pt>
                <c:pt idx="495" formatCode="_(&quot;$&quot;* #,##0.00_);_(&quot;$&quot;* \(#,##0.00\);_(&quot;$&quot;* &quot;-&quot;??_);_(@_)">
                  <c:v>-15768.730717296779</c:v>
                </c:pt>
                <c:pt idx="496" formatCode="_(&quot;$&quot;* #,##0.00_);_(&quot;$&quot;* \(#,##0.00\);_(&quot;$&quot;* &quot;-&quot;??_);_(@_)">
                  <c:v>-16141.871745866429</c:v>
                </c:pt>
                <c:pt idx="497" formatCode="_(&quot;$&quot;* #,##0.00_);_(&quot;$&quot;* \(#,##0.00\);_(&quot;$&quot;* &quot;-&quot;??_);_(@_)">
                  <c:v>-16309.941768612596</c:v>
                </c:pt>
                <c:pt idx="498" formatCode="_(&quot;$&quot;* #,##0.00_);_(&quot;$&quot;* \(#,##0.00\);_(&quot;$&quot;* &quot;-&quot;??_);_(@_)">
                  <c:v>-16457.366523372431</c:v>
                </c:pt>
                <c:pt idx="499" formatCode="_(&quot;$&quot;* #,##0.00_);_(&quot;$&quot;* \(#,##0.00\);_(&quot;$&quot;* &quot;-&quot;??_);_(@_)">
                  <c:v>-16780.496343884457</c:v>
                </c:pt>
                <c:pt idx="500" formatCode="_(&quot;$&quot;* #,##0.00_);_(&quot;$&quot;* \(#,##0.00\);_(&quot;$&quot;* &quot;-&quot;??_);_(@_)">
                  <c:v>-16955.910009013267</c:v>
                </c:pt>
                <c:pt idx="501" formatCode="_(&quot;$&quot;* #,##0.00_);_(&quot;$&quot;* \(#,##0.00\);_(&quot;$&quot;* &quot;-&quot;??_);_(@_)">
                  <c:v>-17216.749033823213</c:v>
                </c:pt>
                <c:pt idx="502" formatCode="_(&quot;$&quot;* #,##0.00_);_(&quot;$&quot;* \(#,##0.00\);_(&quot;$&quot;* &quot;-&quot;??_);_(@_)">
                  <c:v>-17622.009124846256</c:v>
                </c:pt>
                <c:pt idx="503" formatCode="_(&quot;$&quot;* #,##0.00_);_(&quot;$&quot;* \(#,##0.00\);_(&quot;$&quot;* &quot;-&quot;??_);_(@_)">
                  <c:v>-17732.805085975702</c:v>
                </c:pt>
                <c:pt idx="504" formatCode="_(&quot;$&quot;* #,##0.00_);_(&quot;$&quot;* \(#,##0.00\);_(&quot;$&quot;* &quot;-&quot;??_);_(@_)">
                  <c:v>-17677.877282550151</c:v>
                </c:pt>
                <c:pt idx="505" formatCode="_(&quot;$&quot;* #,##0.00_);_(&quot;$&quot;* \(#,##0.00\);_(&quot;$&quot;* &quot;-&quot;??_);_(@_)">
                  <c:v>-17952.476726720972</c:v>
                </c:pt>
                <c:pt idx="506" formatCode="_(&quot;$&quot;* #,##0.00_);_(&quot;$&quot;* \(#,##0.00\);_(&quot;$&quot;* &quot;-&quot;??_);_(@_)">
                  <c:v>-17948.03888533968</c:v>
                </c:pt>
                <c:pt idx="507" formatCode="_(&quot;$&quot;* #,##0.00_);_(&quot;$&quot;* \(#,##0.00\);_(&quot;$&quot;* &quot;-&quot;??_);_(@_)">
                  <c:v>-18104.132745467399</c:v>
                </c:pt>
                <c:pt idx="508" formatCode="_(&quot;$&quot;* #,##0.00_);_(&quot;$&quot;* \(#,##0.00\);_(&quot;$&quot;* &quot;-&quot;??_);_(@_)">
                  <c:v>-18291.328823312364</c:v>
                </c:pt>
                <c:pt idx="509" formatCode="_(&quot;$&quot;* #,##0.00_);_(&quot;$&quot;* \(#,##0.00\);_(&quot;$&quot;* &quot;-&quot;??_);_(@_)">
                  <c:v>-18396.038431578578</c:v>
                </c:pt>
                <c:pt idx="510" formatCode="_(&quot;$&quot;* #,##0.00_);_(&quot;$&quot;* \(#,##0.00\);_(&quot;$&quot;* &quot;-&quot;??_);_(@_)">
                  <c:v>-18276.872211048441</c:v>
                </c:pt>
                <c:pt idx="511" formatCode="_(&quot;$&quot;* #,##0.00_);_(&quot;$&quot;* \(#,##0.00\);_(&quot;$&quot;* &quot;-&quot;??_);_(@_)">
                  <c:v>-18387.905540709111</c:v>
                </c:pt>
                <c:pt idx="512" formatCode="_(&quot;$&quot;* #,##0.00_);_(&quot;$&quot;* \(#,##0.00\);_(&quot;$&quot;* &quot;-&quot;??_);_(@_)">
                  <c:v>-19145.305999000502</c:v>
                </c:pt>
                <c:pt idx="513" formatCode="_(&quot;$&quot;* #,##0.00_);_(&quot;$&quot;* \(#,##0.00\);_(&quot;$&quot;* &quot;-&quot;??_);_(@_)">
                  <c:v>-19574.651107679998</c:v>
                </c:pt>
                <c:pt idx="514" formatCode="_(&quot;$&quot;* #,##0.00_);_(&quot;$&quot;* \(#,##0.00\);_(&quot;$&quot;* &quot;-&quot;??_);_(@_)">
                  <c:v>-19868.543542490032</c:v>
                </c:pt>
                <c:pt idx="515" formatCode="_(&quot;$&quot;* #,##0.00_);_(&quot;$&quot;* \(#,##0.00\);_(&quot;$&quot;* &quot;-&quot;??_);_(@_)">
                  <c:v>-19897.992359453281</c:v>
                </c:pt>
                <c:pt idx="516" formatCode="_(&quot;$&quot;* #,##0.00_);_(&quot;$&quot;* \(#,##0.00\);_(&quot;$&quot;* &quot;-&quot;??_);_(@_)">
                  <c:v>-19798.379759986437</c:v>
                </c:pt>
                <c:pt idx="517" formatCode="_(&quot;$&quot;* #,##0.00_);_(&quot;$&quot;* \(#,##0.00\);_(&quot;$&quot;* &quot;-&quot;??_);_(@_)">
                  <c:v>-19608.878245326709</c:v>
                </c:pt>
                <c:pt idx="518" formatCode="_(&quot;$&quot;* #,##0.00_);_(&quot;$&quot;* \(#,##0.00\);_(&quot;$&quot;* &quot;-&quot;??_);_(@_)">
                  <c:v>-19744.238937034366</c:v>
                </c:pt>
                <c:pt idx="519" formatCode="_(&quot;$&quot;* #,##0.00_);_(&quot;$&quot;* \(#,##0.00\);_(&quot;$&quot;* &quot;-&quot;??_);_(@_)">
                  <c:v>-19621.138476079599</c:v>
                </c:pt>
                <c:pt idx="520" formatCode="_(&quot;$&quot;* #,##0.00_);_(&quot;$&quot;* \(#,##0.00\);_(&quot;$&quot;* &quot;-&quot;??_);_(@_)">
                  <c:v>-19867.554173083532</c:v>
                </c:pt>
                <c:pt idx="521" formatCode="_(&quot;$&quot;* #,##0.00_);_(&quot;$&quot;* \(#,##0.00\);_(&quot;$&quot;* &quot;-&quot;??_);_(@_)">
                  <c:v>-19676.001369280726</c:v>
                </c:pt>
                <c:pt idx="522" formatCode="_(&quot;$&quot;* #,##0.00_);_(&quot;$&quot;* \(#,##0.00\);_(&quot;$&quot;* &quot;-&quot;??_);_(@_)">
                  <c:v>-19879.654220795044</c:v>
                </c:pt>
                <c:pt idx="523" formatCode="_(&quot;$&quot;* #,##0.00_);_(&quot;$&quot;* \(#,##0.00\);_(&quot;$&quot;* &quot;-&quot;??_);_(@_)">
                  <c:v>-19840.232257173167</c:v>
                </c:pt>
                <c:pt idx="524" formatCode="_(&quot;$&quot;* #,##0.00_);_(&quot;$&quot;* \(#,##0.00\);_(&quot;$&quot;* &quot;-&quot;??_);_(@_)">
                  <c:v>-19865.580056358143</c:v>
                </c:pt>
                <c:pt idx="525" formatCode="_(&quot;$&quot;* #,##0.00_);_(&quot;$&quot;* \(#,##0.00\);_(&quot;$&quot;* &quot;-&quot;??_);_(@_)">
                  <c:v>-19890.830047624051</c:v>
                </c:pt>
                <c:pt idx="526" formatCode="_(&quot;$&quot;* #,##0.00_);_(&quot;$&quot;* \(#,##0.00\);_(&quot;$&quot;* &quot;-&quot;??_);_(@_)">
                  <c:v>-19799.405847944436</c:v>
                </c:pt>
                <c:pt idx="527" formatCode="_(&quot;$&quot;* #,##0.00_);_(&quot;$&quot;* \(#,##0.00\);_(&quot;$&quot;* &quot;-&quot;??_);_(@_)">
                  <c:v>-19958.38066980827</c:v>
                </c:pt>
                <c:pt idx="528" formatCode="_(&quot;$&quot;* #,##0.00_);_(&quot;$&quot;* \(#,##0.00\);_(&quot;$&quot;* &quot;-&quot;??_);_(@_)">
                  <c:v>-19861.172572925687</c:v>
                </c:pt>
                <c:pt idx="529" formatCode="_(&quot;$&quot;* #,##0.00_);_(&quot;$&quot;* \(#,##0.00\);_(&quot;$&quot;* &quot;-&quot;??_);_(@_)">
                  <c:v>-20040.370389523188</c:v>
                </c:pt>
                <c:pt idx="530" formatCode="_(&quot;$&quot;* #,##0.00_);_(&quot;$&quot;* \(#,##0.00\);_(&quot;$&quot;* &quot;-&quot;??_);_(@_)">
                  <c:v>-19813.468900452077</c:v>
                </c:pt>
                <c:pt idx="531" formatCode="_(&quot;$&quot;* #,##0.00_);_(&quot;$&quot;* \(#,##0.00\);_(&quot;$&quot;* &quot;-&quot;??_);_(@_)">
                  <c:v>-20194.27420213581</c:v>
                </c:pt>
                <c:pt idx="532" formatCode="_(&quot;$&quot;* #,##0.00_);_(&quot;$&quot;* \(#,##0.00\);_(&quot;$&quot;* &quot;-&quot;??_);_(@_)">
                  <c:v>-20388.723028953929</c:v>
                </c:pt>
                <c:pt idx="533" formatCode="_(&quot;$&quot;* #,##0.00_);_(&quot;$&quot;* \(#,##0.00\);_(&quot;$&quot;* &quot;-&quot;??_);_(@_)">
                  <c:v>-20510.310904812119</c:v>
                </c:pt>
                <c:pt idx="534" formatCode="_(&quot;$&quot;* #,##0.00_);_(&quot;$&quot;* \(#,##0.00\);_(&quot;$&quot;* &quot;-&quot;??_);_(@_)">
                  <c:v>-20670.640982491823</c:v>
                </c:pt>
                <c:pt idx="535" formatCode="_(&quot;$&quot;* #,##0.00_);_(&quot;$&quot;* \(#,##0.00\);_(&quot;$&quot;* &quot;-&quot;??_);_(@_)">
                  <c:v>-20770.184052371722</c:v>
                </c:pt>
                <c:pt idx="536" formatCode="_(&quot;$&quot;* #,##0.00_);_(&quot;$&quot;* \(#,##0.00\);_(&quot;$&quot;* &quot;-&quot;??_);_(@_)">
                  <c:v>-20844.899349778789</c:v>
                </c:pt>
                <c:pt idx="537" formatCode="_(&quot;$&quot;* #,##0.00_);_(&quot;$&quot;* \(#,##0.00\);_(&quot;$&quot;* &quot;-&quot;??_);_(@_)">
                  <c:v>-20852.327287934961</c:v>
                </c:pt>
                <c:pt idx="538" formatCode="_(&quot;$&quot;* #,##0.00_);_(&quot;$&quot;* \(#,##0.00\);_(&quot;$&quot;* &quot;-&quot;??_);_(@_)">
                  <c:v>-20601.348667335467</c:v>
                </c:pt>
                <c:pt idx="539" formatCode="_(&quot;$&quot;* #,##0.00_);_(&quot;$&quot;* \(#,##0.00\);_(&quot;$&quot;* &quot;-&quot;??_);_(@_)">
                  <c:v>-20522.653332785078</c:v>
                </c:pt>
                <c:pt idx="540" formatCode="_(&quot;$&quot;* #,##0.00_);_(&quot;$&quot;* \(#,##0.00\);_(&quot;$&quot;* &quot;-&quot;??_);_(@_)">
                  <c:v>-20365.165552949555</c:v>
                </c:pt>
                <c:pt idx="541" formatCode="_(&quot;$&quot;* #,##0.00_);_(&quot;$&quot;* \(#,##0.00\);_(&quot;$&quot;* &quot;-&quot;??_);_(@_)">
                  <c:v>-20370.499181770359</c:v>
                </c:pt>
                <c:pt idx="542" formatCode="_(&quot;$&quot;* #,##0.00_);_(&quot;$&quot;* \(#,##0.00\);_(&quot;$&quot;* &quot;-&quot;??_);_(@_)">
                  <c:v>-20373.134190729594</c:v>
                </c:pt>
                <c:pt idx="543" formatCode="_(&quot;$&quot;* #,##0.00_);_(&quot;$&quot;* \(#,##0.00\);_(&quot;$&quot;* &quot;-&quot;??_);_(@_)">
                  <c:v>-20758.793587958709</c:v>
                </c:pt>
                <c:pt idx="544" formatCode="_(&quot;$&quot;* #,##0.00_);_(&quot;$&quot;* \(#,##0.00\);_(&quot;$&quot;* &quot;-&quot;??_);_(@_)">
                  <c:v>-20748.025405035663</c:v>
                </c:pt>
                <c:pt idx="545" formatCode="_(&quot;$&quot;* #,##0.00_);_(&quot;$&quot;* \(#,##0.00\);_(&quot;$&quot;* &quot;-&quot;??_);_(@_)">
                  <c:v>-20983.170620127559</c:v>
                </c:pt>
                <c:pt idx="546" formatCode="_(&quot;$&quot;* #,##0.00_);_(&quot;$&quot;* \(#,##0.00\);_(&quot;$&quot;* &quot;-&quot;??_);_(@_)">
                  <c:v>-21285.260102033728</c:v>
                </c:pt>
                <c:pt idx="547" formatCode="_(&quot;$&quot;* #,##0.00_);_(&quot;$&quot;* \(#,##0.00\);_(&quot;$&quot;* &quot;-&quot;??_);_(@_)">
                  <c:v>-21368.077707733253</c:v>
                </c:pt>
                <c:pt idx="548" formatCode="_(&quot;$&quot;* #,##0.00_);_(&quot;$&quot;* \(#,##0.00\);_(&quot;$&quot;* &quot;-&quot;??_);_(@_)">
                  <c:v>-21489.629783938377</c:v>
                </c:pt>
                <c:pt idx="549" formatCode="_(&quot;$&quot;* #,##0.00_);_(&quot;$&quot;* \(#,##0.00\);_(&quot;$&quot;* &quot;-&quot;??_);_(@_)">
                  <c:v>-21341.592036316633</c:v>
                </c:pt>
                <c:pt idx="550" formatCode="_(&quot;$&quot;* #,##0.00_);_(&quot;$&quot;* \(#,##0.00\);_(&quot;$&quot;* &quot;-&quot;??_);_(@_)">
                  <c:v>-21348.761974519748</c:v>
                </c:pt>
                <c:pt idx="551" formatCode="_(&quot;$&quot;* #,##0.00_);_(&quot;$&quot;* \(#,##0.00\);_(&quot;$&quot;* &quot;-&quot;??_);_(@_)">
                  <c:v>-21523.593093840391</c:v>
                </c:pt>
                <c:pt idx="552" formatCode="_(&quot;$&quot;* #,##0.00_);_(&quot;$&quot;* \(#,##0.00\);_(&quot;$&quot;* &quot;-&quot;??_);_(@_)">
                  <c:v>-21535.090429825494</c:v>
                </c:pt>
                <c:pt idx="553" formatCode="_(&quot;$&quot;* #,##0.00_);_(&quot;$&quot;* \(#,##0.00\);_(&quot;$&quot;* &quot;-&quot;??_);_(@_)">
                  <c:v>-21373.612424998526</c:v>
                </c:pt>
                <c:pt idx="554" formatCode="_(&quot;$&quot;* #,##0.00_);_(&quot;$&quot;* \(#,##0.00\);_(&quot;$&quot;* &quot;-&quot;??_);_(@_)">
                  <c:v>-21439.895116464573</c:v>
                </c:pt>
                <c:pt idx="555" formatCode="_(&quot;$&quot;* #,##0.00_);_(&quot;$&quot;* \(#,##0.00\);_(&quot;$&quot;* &quot;-&quot;??_);_(@_)">
                  <c:v>-21365.303809818455</c:v>
                </c:pt>
                <c:pt idx="556" formatCode="_(&quot;$&quot;* #,##0.00_);_(&quot;$&quot;* \(#,##0.00\);_(&quot;$&quot;* &quot;-&quot;??_);_(@_)">
                  <c:v>-21544.666709052108</c:v>
                </c:pt>
                <c:pt idx="557" formatCode="_(&quot;$&quot;* #,##0.00_);_(&quot;$&quot;* \(#,##0.00\);_(&quot;$&quot;* &quot;-&quot;??_);_(@_)">
                  <c:v>-21268.169738028762</c:v>
                </c:pt>
                <c:pt idx="558" formatCode="_(&quot;$&quot;* #,##0.00_);_(&quot;$&quot;* \(#,##0.00\);_(&quot;$&quot;* &quot;-&quot;??_);_(@_)">
                  <c:v>-21505.392362714927</c:v>
                </c:pt>
                <c:pt idx="559" formatCode="_(&quot;$&quot;* #,##0.00_);_(&quot;$&quot;* \(#,##0.00\);_(&quot;$&quot;* &quot;-&quot;??_);_(@_)">
                  <c:v>-21437.119761778646</c:v>
                </c:pt>
                <c:pt idx="560" formatCode="_(&quot;$&quot;* #,##0.00_);_(&quot;$&quot;* \(#,##0.00\);_(&quot;$&quot;* &quot;-&quot;??_);_(@_)">
                  <c:v>-21492.685666502974</c:v>
                </c:pt>
                <c:pt idx="561" formatCode="_(&quot;$&quot;* #,##0.00_);_(&quot;$&quot;* \(#,##0.00\);_(&quot;$&quot;* &quot;-&quot;??_);_(@_)">
                  <c:v>-21545.014626739718</c:v>
                </c:pt>
                <c:pt idx="562" formatCode="_(&quot;$&quot;* #,##0.00_);_(&quot;$&quot;* \(#,##0.00\);_(&quot;$&quot;* &quot;-&quot;??_);_(@_)">
                  <c:v>-21768.510774780872</c:v>
                </c:pt>
                <c:pt idx="563" formatCode="_(&quot;$&quot;* #,##0.00_);_(&quot;$&quot;* \(#,##0.00\);_(&quot;$&quot;* &quot;-&quot;??_);_(@_)">
                  <c:v>-21785.050087506861</c:v>
                </c:pt>
                <c:pt idx="564" formatCode="_(&quot;$&quot;* #,##0.00_);_(&quot;$&quot;* \(#,##0.00\);_(&quot;$&quot;* &quot;-&quot;??_);_(@_)">
                  <c:v>-21695.874506222477</c:v>
                </c:pt>
                <c:pt idx="565" formatCode="_(&quot;$&quot;* #,##0.00_);_(&quot;$&quot;* \(#,##0.00\);_(&quot;$&quot;* &quot;-&quot;??_);_(@_)">
                  <c:v>-21627.735729479093</c:v>
                </c:pt>
                <c:pt idx="566" formatCode="_(&quot;$&quot;* #,##0.00_);_(&quot;$&quot;* \(#,##0.00\);_(&quot;$&quot;* &quot;-&quot;??_);_(@_)">
                  <c:v>-22103.331912496044</c:v>
                </c:pt>
                <c:pt idx="567" formatCode="_(&quot;$&quot;* #,##0.00_);_(&quot;$&quot;* \(#,##0.00\);_(&quot;$&quot;* &quot;-&quot;??_);_(@_)">
                  <c:v>-22400.291190645989</c:v>
                </c:pt>
                <c:pt idx="568" formatCode="_(&quot;$&quot;* #,##0.00_);_(&quot;$&quot;* \(#,##0.00\);_(&quot;$&quot;* &quot;-&quot;??_);_(@_)">
                  <c:v>-22384.310182537127</c:v>
                </c:pt>
                <c:pt idx="569" formatCode="_(&quot;$&quot;* #,##0.00_);_(&quot;$&quot;* \(#,##0.00\);_(&quot;$&quot;* &quot;-&quot;??_);_(@_)">
                  <c:v>-22394.34252509103</c:v>
                </c:pt>
                <c:pt idx="570" formatCode="_(&quot;$&quot;* #,##0.00_);_(&quot;$&quot;* \(#,##0.00\);_(&quot;$&quot;* &quot;-&quot;??_);_(@_)">
                  <c:v>-22346.201371937565</c:v>
                </c:pt>
                <c:pt idx="571" formatCode="_(&quot;$&quot;* #,##0.00_);_(&quot;$&quot;* \(#,##0.00\);_(&quot;$&quot;* &quot;-&quot;??_);_(@_)">
                  <c:v>-22228.957952892928</c:v>
                </c:pt>
                <c:pt idx="572" formatCode="_(&quot;$&quot;* #,##0.00_);_(&quot;$&quot;* \(#,##0.00\);_(&quot;$&quot;* &quot;-&quot;??_);_(@_)">
                  <c:v>-22378.61093960108</c:v>
                </c:pt>
                <c:pt idx="573" formatCode="_(&quot;$&quot;* #,##0.00_);_(&quot;$&quot;* \(#,##0.00\);_(&quot;$&quot;* &quot;-&quot;??_);_(@_)">
                  <c:v>-22428.007064492478</c:v>
                </c:pt>
                <c:pt idx="574" formatCode="_(&quot;$&quot;* #,##0.00_);_(&quot;$&quot;* \(#,##0.00\);_(&quot;$&quot;* &quot;-&quot;??_);_(@_)">
                  <c:v>-22352.280757007702</c:v>
                </c:pt>
                <c:pt idx="575" formatCode="_(&quot;$&quot;* #,##0.00_);_(&quot;$&quot;* \(#,##0.00\);_(&quot;$&quot;* &quot;-&quot;??_);_(@_)">
                  <c:v>-22306.986087104797</c:v>
                </c:pt>
                <c:pt idx="576" formatCode="_(&quot;$&quot;* #,##0.00_);_(&quot;$&quot;* \(#,##0.00\);_(&quot;$&quot;* &quot;-&quot;??_);_(@_)">
                  <c:v>-22327.347341285946</c:v>
                </c:pt>
                <c:pt idx="577" formatCode="_(&quot;$&quot;* #,##0.00_);_(&quot;$&quot;* \(#,##0.00\);_(&quot;$&quot;* &quot;-&quot;??_);_(@_)">
                  <c:v>-22310.278589034162</c:v>
                </c:pt>
                <c:pt idx="578" formatCode="_(&quot;$&quot;* #,##0.00_);_(&quot;$&quot;* \(#,##0.00\);_(&quot;$&quot;* &quot;-&quot;??_);_(@_)">
                  <c:v>-22252.522265870815</c:v>
                </c:pt>
                <c:pt idx="579" formatCode="_(&quot;$&quot;* #,##0.00_);_(&quot;$&quot;* \(#,##0.00\);_(&quot;$&quot;* &quot;-&quot;??_);_(@_)">
                  <c:v>-22361.040985349922</c:v>
                </c:pt>
                <c:pt idx="580" formatCode="_(&quot;$&quot;* #,##0.00_);_(&quot;$&quot;* \(#,##0.00\);_(&quot;$&quot;* &quot;-&quot;??_);_(@_)">
                  <c:v>-22351.002958518617</c:v>
                </c:pt>
                <c:pt idx="581" formatCode="_(&quot;$&quot;* #,##0.00_);_(&quot;$&quot;* \(#,##0.00\);_(&quot;$&quot;* &quot;-&quot;??_);_(@_)">
                  <c:v>-22431.617746412106</c:v>
                </c:pt>
                <c:pt idx="582" formatCode="_(&quot;$&quot;* #,##0.00_);_(&quot;$&quot;* \(#,##0.00\);_(&quot;$&quot;* &quot;-&quot;??_);_(@_)">
                  <c:v>-22299.826854627088</c:v>
                </c:pt>
                <c:pt idx="583" formatCode="_(&quot;$&quot;* #,##0.00_);_(&quot;$&quot;* \(#,##0.00\);_(&quot;$&quot;* &quot;-&quot;??_);_(@_)">
                  <c:v>-22399.105194253792</c:v>
                </c:pt>
                <c:pt idx="584" formatCode="_(&quot;$&quot;* #,##0.00_);_(&quot;$&quot;* \(#,##0.00\);_(&quot;$&quot;* &quot;-&quot;??_);_(@_)">
                  <c:v>-22202.174608405283</c:v>
                </c:pt>
                <c:pt idx="585" formatCode="_(&quot;$&quot;* #,##0.00_);_(&quot;$&quot;* \(#,##0.00\);_(&quot;$&quot;* &quot;-&quot;??_);_(@_)">
                  <c:v>-22302.842005813574</c:v>
                </c:pt>
                <c:pt idx="586" formatCode="_(&quot;$&quot;* #,##0.00_);_(&quot;$&quot;* \(#,##0.00\);_(&quot;$&quot;* &quot;-&quot;??_);_(@_)">
                  <c:v>-22214.626596216654</c:v>
                </c:pt>
                <c:pt idx="587" formatCode="_(&quot;$&quot;* #,##0.00_);_(&quot;$&quot;* \(#,##0.00\);_(&quot;$&quot;* &quot;-&quot;??_);_(@_)">
                  <c:v>-22239.627031057258</c:v>
                </c:pt>
                <c:pt idx="588" formatCode="_(&quot;$&quot;* #,##0.00_);_(&quot;$&quot;* \(#,##0.00\);_(&quot;$&quot;* &quot;-&quot;??_);_(@_)">
                  <c:v>-22406.266162915334</c:v>
                </c:pt>
                <c:pt idx="589" formatCode="_(&quot;$&quot;* #,##0.00_);_(&quot;$&quot;* \(#,##0.00\);_(&quot;$&quot;* &quot;-&quot;??_);_(@_)">
                  <c:v>-22335.995584972225</c:v>
                </c:pt>
                <c:pt idx="590" formatCode="_(&quot;$&quot;* #,##0.00_);_(&quot;$&quot;* \(#,##0.00\);_(&quot;$&quot;* &quot;-&quot;??_);_(@_)">
                  <c:v>-22164.763953952304</c:v>
                </c:pt>
                <c:pt idx="591" formatCode="_(&quot;$&quot;* #,##0.00_);_(&quot;$&quot;* \(#,##0.00\);_(&quot;$&quot;* &quot;-&quot;??_);_(@_)">
                  <c:v>-22477.153884430805</c:v>
                </c:pt>
                <c:pt idx="592" formatCode="_(&quot;$&quot;* #,##0.00_);_(&quot;$&quot;* \(#,##0.00\);_(&quot;$&quot;* &quot;-&quot;??_);_(@_)">
                  <c:v>-22162.992187920965</c:v>
                </c:pt>
                <c:pt idx="593" formatCode="_(&quot;$&quot;* #,##0.00_);_(&quot;$&quot;* \(#,##0.00\);_(&quot;$&quot;* &quot;-&quot;??_);_(@_)">
                  <c:v>-22162.992187920965</c:v>
                </c:pt>
                <c:pt idx="594" formatCode="_(&quot;$&quot;* #,##0.00_);_(&quot;$&quot;* \(#,##0.00\);_(&quot;$&quot;* &quot;-&quot;??_);_(@_)">
                  <c:v>-22389.917710289908</c:v>
                </c:pt>
                <c:pt idx="595" formatCode="_(&quot;$&quot;* #,##0.00_);_(&quot;$&quot;* \(#,##0.00\);_(&quot;$&quot;* &quot;-&quot;??_);_(@_)">
                  <c:v>-22482.160197907157</c:v>
                </c:pt>
                <c:pt idx="596" formatCode="_(&quot;$&quot;* #,##0.00_);_(&quot;$&quot;* \(#,##0.00\);_(&quot;$&quot;* &quot;-&quot;??_);_(@_)">
                  <c:v>-22578.455880134388</c:v>
                </c:pt>
                <c:pt idx="597" formatCode="_(&quot;$&quot;* #,##0.00_);_(&quot;$&quot;* \(#,##0.00\);_(&quot;$&quot;* &quot;-&quot;??_);_(@_)">
                  <c:v>-22696.202256702341</c:v>
                </c:pt>
                <c:pt idx="598" formatCode="_(&quot;$&quot;* #,##0.00_);_(&quot;$&quot;* \(#,##0.00\);_(&quot;$&quot;* &quot;-&quot;??_);_(@_)">
                  <c:v>-22552.802573875237</c:v>
                </c:pt>
                <c:pt idx="599" formatCode="_(&quot;$&quot;* #,##0.00_);_(&quot;$&quot;* \(#,##0.00\);_(&quot;$&quot;* &quot;-&quot;??_);_(@_)">
                  <c:v>-22738.15695614411</c:v>
                </c:pt>
                <c:pt idx="600" formatCode="_(&quot;$&quot;* #,##0.00_);_(&quot;$&quot;* \(#,##0.00\);_(&quot;$&quot;* &quot;-&quot;??_);_(@_)">
                  <c:v>-22723.078673549895</c:v>
                </c:pt>
                <c:pt idx="601" formatCode="_(&quot;$&quot;* #,##0.00_);_(&quot;$&quot;* \(#,##0.00\);_(&quot;$&quot;* &quot;-&quot;??_);_(@_)">
                  <c:v>-22732.405033542287</c:v>
                </c:pt>
                <c:pt idx="602" formatCode="_(&quot;$&quot;* #,##0.00_);_(&quot;$&quot;* \(#,##0.00\);_(&quot;$&quot;* &quot;-&quot;??_);_(@_)">
                  <c:v>-22623.87783550486</c:v>
                </c:pt>
                <c:pt idx="603" formatCode="_(&quot;$&quot;* #,##0.00_);_(&quot;$&quot;* \(#,##0.00\);_(&quot;$&quot;* &quot;-&quot;??_);_(@_)">
                  <c:v>-22785.905436137888</c:v>
                </c:pt>
                <c:pt idx="604" formatCode="_(&quot;$&quot;* #,##0.00_);_(&quot;$&quot;* \(#,##0.00\);_(&quot;$&quot;* &quot;-&quot;??_);_(@_)">
                  <c:v>-22883.064622628222</c:v>
                </c:pt>
                <c:pt idx="605" formatCode="_(&quot;$&quot;* #,##0.00_);_(&quot;$&quot;* \(#,##0.00\);_(&quot;$&quot;* &quot;-&quot;??_);_(@_)">
                  <c:v>-22874.211619345802</c:v>
                </c:pt>
                <c:pt idx="606" formatCode="_(&quot;$&quot;* #,##0.00_);_(&quot;$&quot;* \(#,##0.00\);_(&quot;$&quot;* &quot;-&quot;??_);_(@_)">
                  <c:v>-23238.091404486535</c:v>
                </c:pt>
                <c:pt idx="607" formatCode="_(&quot;$&quot;* #,##0.00_);_(&quot;$&quot;* \(#,##0.00\);_(&quot;$&quot;* &quot;-&quot;??_);_(@_)">
                  <c:v>-23317.657885842087</c:v>
                </c:pt>
                <c:pt idx="608" formatCode="_(&quot;$&quot;* #,##0.00_);_(&quot;$&quot;* \(#,##0.00\);_(&quot;$&quot;* &quot;-&quot;??_);_(@_)">
                  <c:v>-23427.819303237055</c:v>
                </c:pt>
                <c:pt idx="609" formatCode="_(&quot;$&quot;* #,##0.00_);_(&quot;$&quot;* \(#,##0.00\);_(&quot;$&quot;* &quot;-&quot;??_);_(@_)">
                  <c:v>-23426.760803676545</c:v>
                </c:pt>
                <c:pt idx="610" formatCode="_(&quot;$&quot;* #,##0.00_);_(&quot;$&quot;* \(#,##0.00\);_(&quot;$&quot;* &quot;-&quot;??_);_(@_)">
                  <c:v>-23455.902028000342</c:v>
                </c:pt>
                <c:pt idx="611" formatCode="_(&quot;$&quot;* #,##0.00_);_(&quot;$&quot;* \(#,##0.00\);_(&quot;$&quot;* &quot;-&quot;??_);_(@_)">
                  <c:v>-23335.932763210658</c:v>
                </c:pt>
                <c:pt idx="612" formatCode="_(&quot;$&quot;* #,##0.00_);_(&quot;$&quot;* \(#,##0.00\);_(&quot;$&quot;* &quot;-&quot;??_);_(@_)">
                  <c:v>-23569.328348667754</c:v>
                </c:pt>
                <c:pt idx="613" formatCode="_(&quot;$&quot;* #,##0.00_);_(&quot;$&quot;* \(#,##0.00\);_(&quot;$&quot;* &quot;-&quot;??_);_(@_)">
                  <c:v>-23606.979084144205</c:v>
                </c:pt>
                <c:pt idx="614" formatCode="_(&quot;$&quot;* #,##0.00_);_(&quot;$&quot;* \(#,##0.00\);_(&quot;$&quot;* &quot;-&quot;??_);_(@_)">
                  <c:v>-23448.171317777782</c:v>
                </c:pt>
                <c:pt idx="615" formatCode="_(&quot;$&quot;* #,##0.00_);_(&quot;$&quot;* \(#,##0.00\);_(&quot;$&quot;* &quot;-&quot;??_);_(@_)">
                  <c:v>-23592.606499561749</c:v>
                </c:pt>
                <c:pt idx="616" formatCode="_(&quot;$&quot;* #,##0.00_);_(&quot;$&quot;* \(#,##0.00\);_(&quot;$&quot;* &quot;-&quot;??_);_(@_)">
                  <c:v>-23615.682664702272</c:v>
                </c:pt>
                <c:pt idx="617" formatCode="_(&quot;$&quot;* #,##0.00_);_(&quot;$&quot;* \(#,##0.00\);_(&quot;$&quot;* &quot;-&quot;??_);_(@_)">
                  <c:v>-23412.777916233237</c:v>
                </c:pt>
                <c:pt idx="618" formatCode="_(&quot;$&quot;* #,##0.00_);_(&quot;$&quot;* \(#,##0.00\);_(&quot;$&quot;* &quot;-&quot;??_);_(@_)">
                  <c:v>-23533.221238809121</c:v>
                </c:pt>
                <c:pt idx="619" formatCode="_(&quot;$&quot;* #,##0.00_);_(&quot;$&quot;* \(#,##0.00\);_(&quot;$&quot;* &quot;-&quot;??_);_(@_)">
                  <c:v>-23595.060287187986</c:v>
                </c:pt>
                <c:pt idx="620" formatCode="_(&quot;$&quot;* #,##0.00_);_(&quot;$&quot;* \(#,##0.00\);_(&quot;$&quot;* &quot;-&quot;??_);_(@_)">
                  <c:v>-23799.594610256616</c:v>
                </c:pt>
                <c:pt idx="621" formatCode="_(&quot;$&quot;* #,##0.00_);_(&quot;$&quot;* \(#,##0.00\);_(&quot;$&quot;* &quot;-&quot;??_);_(@_)">
                  <c:v>-23819.052037056354</c:v>
                </c:pt>
                <c:pt idx="622" formatCode="_(&quot;$&quot;* #,##0.00_);_(&quot;$&quot;* \(#,##0.00\);_(&quot;$&quot;* &quot;-&quot;??_);_(@_)">
                  <c:v>-23864.560132879589</c:v>
                </c:pt>
                <c:pt idx="623" formatCode="_(&quot;$&quot;* #,##0.00_);_(&quot;$&quot;* \(#,##0.00\);_(&quot;$&quot;* &quot;-&quot;??_);_(@_)">
                  <c:v>-23863.045501106993</c:v>
                </c:pt>
                <c:pt idx="624" formatCode="_(&quot;$&quot;* #,##0.00_);_(&quot;$&quot;* \(#,##0.00\);_(&quot;$&quot;* &quot;-&quot;??_);_(@_)">
                  <c:v>-24306.89257179794</c:v>
                </c:pt>
                <c:pt idx="625" formatCode="_(&quot;$&quot;* #,##0.00_);_(&quot;$&quot;* \(#,##0.00\);_(&quot;$&quot;* &quot;-&quot;??_);_(@_)">
                  <c:v>-24445.621418054925</c:v>
                </c:pt>
                <c:pt idx="626" formatCode="_(&quot;$&quot;* #,##0.00_);_(&quot;$&quot;* \(#,##0.00\);_(&quot;$&quot;* &quot;-&quot;??_);_(@_)">
                  <c:v>-24691.183976838558</c:v>
                </c:pt>
                <c:pt idx="627" formatCode="_(&quot;$&quot;* #,##0.00_);_(&quot;$&quot;* \(#,##0.00\);_(&quot;$&quot;* &quot;-&quot;??_);_(@_)">
                  <c:v>-24777.192218339067</c:v>
                </c:pt>
                <c:pt idx="628" formatCode="_(&quot;$&quot;* #,##0.00_);_(&quot;$&quot;* \(#,##0.00\);_(&quot;$&quot;* &quot;-&quot;??_);_(@_)">
                  <c:v>-24696.936067020019</c:v>
                </c:pt>
                <c:pt idx="629" formatCode="_(&quot;$&quot;* #,##0.00_);_(&quot;$&quot;* \(#,##0.00\);_(&quot;$&quot;* &quot;-&quot;??_);_(@_)">
                  <c:v>-24800.330674656398</c:v>
                </c:pt>
                <c:pt idx="630" formatCode="_(&quot;$&quot;* #,##0.00_);_(&quot;$&quot;* \(#,##0.00\);_(&quot;$&quot;* &quot;-&quot;??_);_(@_)">
                  <c:v>-24857.128957802834</c:v>
                </c:pt>
                <c:pt idx="631" formatCode="_(&quot;$&quot;* #,##0.00_);_(&quot;$&quot;* \(#,##0.00\);_(&quot;$&quot;* &quot;-&quot;??_);_(@_)">
                  <c:v>-24768.857284345202</c:v>
                </c:pt>
                <c:pt idx="632" formatCode="_(&quot;$&quot;* #,##0.00_);_(&quot;$&quot;* \(#,##0.00\);_(&quot;$&quot;* &quot;-&quot;??_);_(@_)">
                  <c:v>-24789.62180751768</c:v>
                </c:pt>
                <c:pt idx="633" formatCode="_(&quot;$&quot;* #,##0.00_);_(&quot;$&quot;* \(#,##0.00\);_(&quot;$&quot;* &quot;-&quot;??_);_(@_)">
                  <c:v>-24877.463867895949</c:v>
                </c:pt>
                <c:pt idx="634" formatCode="_(&quot;$&quot;* #,##0.00_);_(&quot;$&quot;* \(#,##0.00\);_(&quot;$&quot;* &quot;-&quot;??_);_(@_)">
                  <c:v>-24865.195131798428</c:v>
                </c:pt>
                <c:pt idx="635" formatCode="_(&quot;$&quot;* #,##0.00_);_(&quot;$&quot;* \(#,##0.00\);_(&quot;$&quot;* &quot;-&quot;??_);_(@_)">
                  <c:v>-24818.603093419748</c:v>
                </c:pt>
                <c:pt idx="636" formatCode="_(&quot;$&quot;* #,##0.00_);_(&quot;$&quot;* \(#,##0.00\);_(&quot;$&quot;* &quot;-&quot;??_);_(@_)">
                  <c:v>-24794.896921277366</c:v>
                </c:pt>
                <c:pt idx="637" formatCode="_(&quot;$&quot;* #,##0.00_);_(&quot;$&quot;* \(#,##0.00\);_(&quot;$&quot;* &quot;-&quot;??_);_(@_)">
                  <c:v>-24789.556682524639</c:v>
                </c:pt>
                <c:pt idx="638" formatCode="_(&quot;$&quot;* #,##0.00_);_(&quot;$&quot;* \(#,##0.00\);_(&quot;$&quot;* &quot;-&quot;??_);_(@_)">
                  <c:v>-24733.915903410318</c:v>
                </c:pt>
                <c:pt idx="639" formatCode="_(&quot;$&quot;* #,##0.00_);_(&quot;$&quot;* \(#,##0.00\);_(&quot;$&quot;* &quot;-&quot;??_);_(@_)">
                  <c:v>-24795.047291927822</c:v>
                </c:pt>
                <c:pt idx="640" formatCode="_(&quot;$&quot;* #,##0.00_);_(&quot;$&quot;* \(#,##0.00\);_(&quot;$&quot;* &quot;-&quot;??_);_(@_)">
                  <c:v>-24729.948613981705</c:v>
                </c:pt>
                <c:pt idx="641" formatCode="_(&quot;$&quot;* #,##0.00_);_(&quot;$&quot;* \(#,##0.00\);_(&quot;$&quot;* &quot;-&quot;??_);_(@_)">
                  <c:v>-24648.721539633836</c:v>
                </c:pt>
                <c:pt idx="642" formatCode="_(&quot;$&quot;* #,##0.00_);_(&quot;$&quot;* \(#,##0.00\);_(&quot;$&quot;* &quot;-&quot;??_);_(@_)">
                  <c:v>-24705.763290317718</c:v>
                </c:pt>
                <c:pt idx="643" formatCode="_(&quot;$&quot;* #,##0.00_);_(&quot;$&quot;* \(#,##0.00\);_(&quot;$&quot;* &quot;-&quot;??_);_(@_)">
                  <c:v>-24702.165819750415</c:v>
                </c:pt>
                <c:pt idx="644" formatCode="_(&quot;$&quot;* #,##0.00_);_(&quot;$&quot;* \(#,##0.00\);_(&quot;$&quot;* &quot;-&quot;??_);_(@_)">
                  <c:v>-24620.621717724604</c:v>
                </c:pt>
                <c:pt idx="645" formatCode="_(&quot;$&quot;* #,##0.00_);_(&quot;$&quot;* \(#,##0.00\);_(&quot;$&quot;* &quot;-&quot;??_);_(@_)">
                  <c:v>-24562.787661929891</c:v>
                </c:pt>
                <c:pt idx="646" formatCode="_(&quot;$&quot;* #,##0.00_);_(&quot;$&quot;* \(#,##0.00\);_(&quot;$&quot;* &quot;-&quot;??_);_(@_)">
                  <c:v>-24519.158826046394</c:v>
                </c:pt>
                <c:pt idx="647" formatCode="_(&quot;$&quot;* #,##0.00_);_(&quot;$&quot;* \(#,##0.00\);_(&quot;$&quot;* &quot;-&quot;??_);_(@_)">
                  <c:v>-24699.013250485332</c:v>
                </c:pt>
                <c:pt idx="648" formatCode="_(&quot;$&quot;* #,##0.00_);_(&quot;$&quot;* \(#,##0.00\);_(&quot;$&quot;* &quot;-&quot;??_);_(@_)">
                  <c:v>-24613.093780519725</c:v>
                </c:pt>
                <c:pt idx="649" formatCode="_(&quot;$&quot;* #,##0.00_);_(&quot;$&quot;* \(#,##0.00\);_(&quot;$&quot;* &quot;-&quot;??_);_(@_)">
                  <c:v>-24609.845369625375</c:v>
                </c:pt>
                <c:pt idx="650" formatCode="_(&quot;$&quot;* #,##0.00_);_(&quot;$&quot;* \(#,##0.00\);_(&quot;$&quot;* &quot;-&quot;??_);_(@_)">
                  <c:v>-24533.577414877691</c:v>
                </c:pt>
                <c:pt idx="651" formatCode="_(&quot;$&quot;* #,##0.00_);_(&quot;$&quot;* \(#,##0.00\);_(&quot;$&quot;* &quot;-&quot;??_);_(@_)">
                  <c:v>-24418.554303835794</c:v>
                </c:pt>
                <c:pt idx="652" formatCode="_(&quot;$&quot;* #,##0.00_);_(&quot;$&quot;* \(#,##0.00\);_(&quot;$&quot;* &quot;-&quot;??_);_(@_)">
                  <c:v>-24487.418208557843</c:v>
                </c:pt>
                <c:pt idx="653" formatCode="_(&quot;$&quot;* #,##0.00_);_(&quot;$&quot;* \(#,##0.00\);_(&quot;$&quot;* &quot;-&quot;??_);_(@_)">
                  <c:v>-24851.832706206373</c:v>
                </c:pt>
                <c:pt idx="654" formatCode="_(&quot;$&quot;* #,##0.00_);_(&quot;$&quot;* \(#,##0.00\);_(&quot;$&quot;* &quot;-&quot;??_);_(@_)">
                  <c:v>-24770.478506722837</c:v>
                </c:pt>
                <c:pt idx="655" formatCode="_(&quot;$&quot;* #,##0.00_);_(&quot;$&quot;* \(#,##0.00\);_(&quot;$&quot;* &quot;-&quot;??_);_(@_)">
                  <c:v>-24747.058600867233</c:v>
                </c:pt>
                <c:pt idx="656" formatCode="_(&quot;$&quot;* #,##0.00_);_(&quot;$&quot;* \(#,##0.00\);_(&quot;$&quot;* &quot;-&quot;??_);_(@_)">
                  <c:v>-24712.024798154915</c:v>
                </c:pt>
                <c:pt idx="657" formatCode="_(&quot;$&quot;* #,##0.00_);_(&quot;$&quot;* \(#,##0.00\);_(&quot;$&quot;* &quot;-&quot;??_);_(@_)">
                  <c:v>-24752.746528296175</c:v>
                </c:pt>
                <c:pt idx="658" formatCode="_(&quot;$&quot;* #,##0.00_);_(&quot;$&quot;* \(#,##0.00\);_(&quot;$&quot;* &quot;-&quot;??_);_(@_)">
                  <c:v>-24780.251573949819</c:v>
                </c:pt>
                <c:pt idx="659" formatCode="_(&quot;$&quot;* #,##0.00_);_(&quot;$&quot;* \(#,##0.00\);_(&quot;$&quot;* &quot;-&quot;??_);_(@_)">
                  <c:v>-24682.415656995585</c:v>
                </c:pt>
                <c:pt idx="660" formatCode="_(&quot;$&quot;* #,##0.00_);_(&quot;$&quot;* \(#,##0.00\);_(&quot;$&quot;* &quot;-&quot;??_);_(@_)">
                  <c:v>-24833.951980119367</c:v>
                </c:pt>
                <c:pt idx="661" formatCode="_(&quot;$&quot;* #,##0.00_);_(&quot;$&quot;* \(#,##0.00\);_(&quot;$&quot;* &quot;-&quot;??_);_(@_)">
                  <c:v>-24720.744432949552</c:v>
                </c:pt>
                <c:pt idx="662" formatCode="_(&quot;$&quot;* #,##0.00_);_(&quot;$&quot;* \(#,##0.00\);_(&quot;$&quot;* &quot;-&quot;??_);_(@_)">
                  <c:v>-24693.636976245918</c:v>
                </c:pt>
                <c:pt idx="663" formatCode="_(&quot;$&quot;* #,##0.00_);_(&quot;$&quot;* \(#,##0.00\);_(&quot;$&quot;* &quot;-&quot;??_);_(@_)">
                  <c:v>-24789.612411996248</c:v>
                </c:pt>
                <c:pt idx="664" formatCode="_(&quot;$&quot;* #,##0.00_);_(&quot;$&quot;* \(#,##0.00\);_(&quot;$&quot;* &quot;-&quot;??_);_(@_)">
                  <c:v>-24844.942886296867</c:v>
                </c:pt>
                <c:pt idx="665" formatCode="_(&quot;$&quot;* #,##0.00_);_(&quot;$&quot;* \(#,##0.00\);_(&quot;$&quot;* &quot;-&quot;??_);_(@_)">
                  <c:v>-24977.785700774664</c:v>
                </c:pt>
                <c:pt idx="666" formatCode="_(&quot;$&quot;* #,##0.00_);_(&quot;$&quot;* \(#,##0.00\);_(&quot;$&quot;* &quot;-&quot;??_);_(@_)">
                  <c:v>-25059.553214041036</c:v>
                </c:pt>
                <c:pt idx="667" formatCode="_(&quot;$&quot;* #,##0.00_);_(&quot;$&quot;* \(#,##0.00\);_(&quot;$&quot;* &quot;-&quot;??_);_(@_)">
                  <c:v>-25006.247633765772</c:v>
                </c:pt>
                <c:pt idx="668" formatCode="_(&quot;$&quot;* #,##0.00_);_(&quot;$&quot;* \(#,##0.00\);_(&quot;$&quot;* &quot;-&quot;??_);_(@_)">
                  <c:v>-24996.842982819373</c:v>
                </c:pt>
                <c:pt idx="669" formatCode="_(&quot;$&quot;* #,##0.00_);_(&quot;$&quot;* \(#,##0.00\);_(&quot;$&quot;* &quot;-&quot;??_);_(@_)">
                  <c:v>-24953.634754013838</c:v>
                </c:pt>
                <c:pt idx="670" formatCode="_(&quot;$&quot;* #,##0.00_);_(&quot;$&quot;* \(#,##0.00\);_(&quot;$&quot;* &quot;-&quot;??_);_(@_)">
                  <c:v>-25026.021961974373</c:v>
                </c:pt>
                <c:pt idx="671" formatCode="_(&quot;$&quot;* #,##0.00_);_(&quot;$&quot;* \(#,##0.00\);_(&quot;$&quot;* &quot;-&quot;??_);_(@_)">
                  <c:v>-24893.852545971298</c:v>
                </c:pt>
                <c:pt idx="672" formatCode="_(&quot;$&quot;* #,##0.00_);_(&quot;$&quot;* \(#,##0.00\);_(&quot;$&quot;* &quot;-&quot;??_);_(@_)">
                  <c:v>-24966.754826271979</c:v>
                </c:pt>
                <c:pt idx="673" formatCode="_(&quot;$&quot;* #,##0.00_);_(&quot;$&quot;* \(#,##0.00\);_(&quot;$&quot;* &quot;-&quot;??_);_(@_)">
                  <c:v>-25068.39670177313</c:v>
                </c:pt>
                <c:pt idx="674" formatCode="_(&quot;$&quot;* #,##0.00_);_(&quot;$&quot;* \(#,##0.00\);_(&quot;$&quot;* &quot;-&quot;??_);_(@_)">
                  <c:v>-25067.433581175814</c:v>
                </c:pt>
                <c:pt idx="675" formatCode="_(&quot;$&quot;* #,##0.00_);_(&quot;$&quot;* \(#,##0.00\);_(&quot;$&quot;* &quot;-&quot;??_);_(@_)">
                  <c:v>-25002.78441182293</c:v>
                </c:pt>
                <c:pt idx="676" formatCode="_(&quot;$&quot;* #,##0.00_);_(&quot;$&quot;* \(#,##0.00\);_(&quot;$&quot;* &quot;-&quot;??_);_(@_)">
                  <c:v>-24947.784921751976</c:v>
                </c:pt>
                <c:pt idx="677" formatCode="_(&quot;$&quot;* #,##0.00_);_(&quot;$&quot;* \(#,##0.00\);_(&quot;$&quot;* &quot;-&quot;??_);_(@_)">
                  <c:v>-25077.066896646782</c:v>
                </c:pt>
                <c:pt idx="678" formatCode="_(&quot;$&quot;* #,##0.00_);_(&quot;$&quot;* \(#,##0.00\);_(&quot;$&quot;* &quot;-&quot;??_);_(@_)">
                  <c:v>-25002.305427557778</c:v>
                </c:pt>
                <c:pt idx="679" formatCode="_(&quot;$&quot;* #,##0.00_);_(&quot;$&quot;* \(#,##0.00\);_(&quot;$&quot;* &quot;-&quot;??_);_(@_)">
                  <c:v>-25039.697985055478</c:v>
                </c:pt>
                <c:pt idx="680" formatCode="_(&quot;$&quot;* #,##0.00_);_(&quot;$&quot;* \(#,##0.00\);_(&quot;$&quot;* &quot;-&quot;??_);_(@_)">
                  <c:v>-25088.370699628023</c:v>
                </c:pt>
                <c:pt idx="681" formatCode="_(&quot;$&quot;* #,##0.00_);_(&quot;$&quot;* \(#,##0.00\);_(&quot;$&quot;* &quot;-&quot;??_);_(@_)">
                  <c:v>-25139.197148403146</c:v>
                </c:pt>
                <c:pt idx="682" formatCode="_(&quot;$&quot;* #,##0.00_);_(&quot;$&quot;* \(#,##0.00\);_(&quot;$&quot;* &quot;-&quot;??_);_(@_)">
                  <c:v>-25089.101405329544</c:v>
                </c:pt>
                <c:pt idx="683" formatCode="_(&quot;$&quot;* #,##0.00_);_(&quot;$&quot;* \(#,##0.00\);_(&quot;$&quot;* &quot;-&quot;??_);_(@_)">
                  <c:v>-25164.634450092213</c:v>
                </c:pt>
                <c:pt idx="684" formatCode="_(&quot;$&quot;* #,##0.00_);_(&quot;$&quot;* \(#,##0.00\);_(&quot;$&quot;* &quot;-&quot;??_);_(@_)">
                  <c:v>-25179.334084215963</c:v>
                </c:pt>
                <c:pt idx="685" formatCode="_(&quot;$&quot;* #,##0.00_);_(&quot;$&quot;* \(#,##0.00\);_(&quot;$&quot;* &quot;-&quot;??_);_(@_)">
                  <c:v>-25466.287113069171</c:v>
                </c:pt>
                <c:pt idx="686" formatCode="_(&quot;$&quot;* #,##0.00_);_(&quot;$&quot;* \(#,##0.00\);_(&quot;$&quot;* &quot;-&quot;??_);_(@_)">
                  <c:v>-25494.863659638962</c:v>
                </c:pt>
                <c:pt idx="687" formatCode="_(&quot;$&quot;* #,##0.00_);_(&quot;$&quot;* \(#,##0.00\);_(&quot;$&quot;* &quot;-&quot;??_);_(@_)">
                  <c:v>-25700.483538823533</c:v>
                </c:pt>
                <c:pt idx="688" formatCode="_(&quot;$&quot;* #,##0.00_);_(&quot;$&quot;* \(#,##0.00\);_(&quot;$&quot;* &quot;-&quot;??_);_(@_)">
                  <c:v>-25689.798891749113</c:v>
                </c:pt>
                <c:pt idx="689" formatCode="_(&quot;$&quot;* #,##0.00_);_(&quot;$&quot;* \(#,##0.00\);_(&quot;$&quot;* &quot;-&quot;??_);_(@_)">
                  <c:v>-25497.101603597745</c:v>
                </c:pt>
                <c:pt idx="690" formatCode="_(&quot;$&quot;* #,##0.00_);_(&quot;$&quot;* \(#,##0.00\);_(&quot;$&quot;* &quot;-&quot;??_);_(@_)">
                  <c:v>-25710.607642023424</c:v>
                </c:pt>
                <c:pt idx="691" formatCode="_(&quot;$&quot;* #,##0.00_);_(&quot;$&quot;* \(#,##0.00\);_(&quot;$&quot;* &quot;-&quot;??_);_(@_)">
                  <c:v>-25554.97136190148</c:v>
                </c:pt>
                <c:pt idx="692" formatCode="_(&quot;$&quot;* #,##0.00_);_(&quot;$&quot;* \(#,##0.00\);_(&quot;$&quot;* &quot;-&quot;??_);_(@_)">
                  <c:v>-25935.566583049953</c:v>
                </c:pt>
                <c:pt idx="693" formatCode="_(&quot;$&quot;* #,##0.00_);_(&quot;$&quot;* \(#,##0.00\);_(&quot;$&quot;* &quot;-&quot;??_);_(@_)">
                  <c:v>-26090.279403893102</c:v>
                </c:pt>
                <c:pt idx="694" formatCode="_(&quot;$&quot;* #,##0.00_);_(&quot;$&quot;* \(#,##0.00\);_(&quot;$&quot;* &quot;-&quot;??_);_(@_)">
                  <c:v>-26036.35125719765</c:v>
                </c:pt>
                <c:pt idx="695" formatCode="_(&quot;$&quot;* #,##0.00_);_(&quot;$&quot;* \(#,##0.00\);_(&quot;$&quot;* &quot;-&quot;??_);_(@_)">
                  <c:v>-25877.179348232687</c:v>
                </c:pt>
                <c:pt idx="696" formatCode="_(&quot;$&quot;* #,##0.00_);_(&quot;$&quot;* \(#,##0.00\);_(&quot;$&quot;* &quot;-&quot;??_);_(@_)">
                  <c:v>-26003.120254421003</c:v>
                </c:pt>
                <c:pt idx="697" formatCode="_(&quot;$&quot;* #,##0.00_);_(&quot;$&quot;* \(#,##0.00\);_(&quot;$&quot;* &quot;-&quot;??_);_(@_)">
                  <c:v>-25954.27830239636</c:v>
                </c:pt>
                <c:pt idx="698" formatCode="_(&quot;$&quot;* #,##0.00_);_(&quot;$&quot;* \(#,##0.00\);_(&quot;$&quot;* &quot;-&quot;??_);_(@_)">
                  <c:v>-26062.320628219939</c:v>
                </c:pt>
                <c:pt idx="699" formatCode="_(&quot;$&quot;* #,##0.00_);_(&quot;$&quot;* \(#,##0.00\);_(&quot;$&quot;* &quot;-&quot;??_);_(@_)">
                  <c:v>-26217.088132290424</c:v>
                </c:pt>
                <c:pt idx="700" formatCode="_(&quot;$&quot;* #,##0.00_);_(&quot;$&quot;* \(#,##0.00\);_(&quot;$&quot;* &quot;-&quot;??_);_(@_)">
                  <c:v>-26293.8780824284</c:v>
                </c:pt>
                <c:pt idx="701" formatCode="_(&quot;$&quot;* #,##0.00_);_(&quot;$&quot;* \(#,##0.00\);_(&quot;$&quot;* &quot;-&quot;??_);_(@_)">
                  <c:v>-26310.161402602582</c:v>
                </c:pt>
                <c:pt idx="702" formatCode="_(&quot;$&quot;* #,##0.00_);_(&quot;$&quot;* \(#,##0.00\);_(&quot;$&quot;* &quot;-&quot;??_);_(@_)">
                  <c:v>-26331.890132842032</c:v>
                </c:pt>
                <c:pt idx="703" formatCode="_(&quot;$&quot;* #,##0.00_);_(&quot;$&quot;* \(#,##0.00\);_(&quot;$&quot;* &quot;-&quot;??_);_(@_)">
                  <c:v>-26212.825616885129</c:v>
                </c:pt>
                <c:pt idx="704" formatCode="_(&quot;$&quot;* #,##0.00_);_(&quot;$&quot;* \(#,##0.00\);_(&quot;$&quot;* &quot;-&quot;??_);_(@_)">
                  <c:v>-26312.068227595722</c:v>
                </c:pt>
                <c:pt idx="705" formatCode="_(&quot;$&quot;* #,##0.00_);_(&quot;$&quot;* \(#,##0.00\);_(&quot;$&quot;* &quot;-&quot;??_);_(@_)">
                  <c:v>-26083.171536601767</c:v>
                </c:pt>
                <c:pt idx="706" formatCode="_(&quot;$&quot;* #,##0.00_);_(&quot;$&quot;* \(#,##0.00\);_(&quot;$&quot;* &quot;-&quot;??_);_(@_)">
                  <c:v>-26230.807076328045</c:v>
                </c:pt>
                <c:pt idx="707" formatCode="_(&quot;$&quot;* #,##0.00_);_(&quot;$&quot;* \(#,##0.00\);_(&quot;$&quot;* &quot;-&quot;??_);_(@_)">
                  <c:v>-26271.822652019728</c:v>
                </c:pt>
                <c:pt idx="708" formatCode="_(&quot;$&quot;* #,##0.00_);_(&quot;$&quot;* \(#,##0.00\);_(&quot;$&quot;* &quot;-&quot;??_);_(@_)">
                  <c:v>-26106.748211242269</c:v>
                </c:pt>
                <c:pt idx="709" formatCode="_(&quot;$&quot;* #,##0.00_);_(&quot;$&quot;* \(#,##0.00\);_(&quot;$&quot;* &quot;-&quot;??_);_(@_)">
                  <c:v>-26301.902350039287</c:v>
                </c:pt>
                <c:pt idx="710" formatCode="_(&quot;$&quot;* #,##0.00_);_(&quot;$&quot;* \(#,##0.00\);_(&quot;$&quot;* &quot;-&quot;??_);_(@_)">
                  <c:v>-26066.031555434245</c:v>
                </c:pt>
                <c:pt idx="711" formatCode="_(&quot;$&quot;* #,##0.00_);_(&quot;$&quot;* \(#,##0.00\);_(&quot;$&quot;* &quot;-&quot;??_);_(@_)">
                  <c:v>-26182.902793738383</c:v>
                </c:pt>
                <c:pt idx="712" formatCode="_(&quot;$&quot;* #,##0.00_);_(&quot;$&quot;* \(#,##0.00\);_(&quot;$&quot;* &quot;-&quot;??_);_(@_)">
                  <c:v>-25913.696651212791</c:v>
                </c:pt>
                <c:pt idx="713" formatCode="_(&quot;$&quot;* #,##0.00_);_(&quot;$&quot;* \(#,##0.00\);_(&quot;$&quot;* &quot;-&quot;??_);_(@_)">
                  <c:v>-25958.639633120947</c:v>
                </c:pt>
                <c:pt idx="714" formatCode="_(&quot;$&quot;* #,##0.00_);_(&quot;$&quot;* \(#,##0.00\);_(&quot;$&quot;* &quot;-&quot;??_);_(@_)">
                  <c:v>-26236.803749949879</c:v>
                </c:pt>
                <c:pt idx="715" formatCode="_(&quot;$&quot;* #,##0.00_);_(&quot;$&quot;* \(#,##0.00\);_(&quot;$&quot;* &quot;-&quot;??_);_(@_)">
                  <c:v>-26116.806067023583</c:v>
                </c:pt>
                <c:pt idx="716" formatCode="_(&quot;$&quot;* #,##0.00_);_(&quot;$&quot;* \(#,##0.00\);_(&quot;$&quot;* &quot;-&quot;??_);_(@_)">
                  <c:v>-26122.162032456119</c:v>
                </c:pt>
                <c:pt idx="717" formatCode="_(&quot;$&quot;* #,##0.00_);_(&quot;$&quot;* \(#,##0.00\);_(&quot;$&quot;* &quot;-&quot;??_);_(@_)">
                  <c:v>-26103.210546185412</c:v>
                </c:pt>
                <c:pt idx="718" formatCode="_(&quot;$&quot;* #,##0.00_);_(&quot;$&quot;* \(#,##0.00\);_(&quot;$&quot;* &quot;-&quot;??_);_(@_)">
                  <c:v>-26384.289379774887</c:v>
                </c:pt>
                <c:pt idx="719" formatCode="_(&quot;$&quot;* #,##0.00_);_(&quot;$&quot;* \(#,##0.00\);_(&quot;$&quot;* &quot;-&quot;??_);_(@_)">
                  <c:v>-26569.598765389768</c:v>
                </c:pt>
                <c:pt idx="720" formatCode="_(&quot;$&quot;* #,##0.00_);_(&quot;$&quot;* \(#,##0.00\);_(&quot;$&quot;* &quot;-&quot;??_);_(@_)">
                  <c:v>-26576.559862381608</c:v>
                </c:pt>
                <c:pt idx="721" formatCode="_(&quot;$&quot;* #,##0.00_);_(&quot;$&quot;* \(#,##0.00\);_(&quot;$&quot;* &quot;-&quot;??_);_(@_)">
                  <c:v>-26647.729229300418</c:v>
                </c:pt>
                <c:pt idx="722" formatCode="_(&quot;$&quot;* #,##0.00_);_(&quot;$&quot;* \(#,##0.00\);_(&quot;$&quot;* &quot;-&quot;??_);_(@_)">
                  <c:v>-26677.975071544199</c:v>
                </c:pt>
                <c:pt idx="723" formatCode="_(&quot;$&quot;* #,##0.00_);_(&quot;$&quot;* \(#,##0.00\);_(&quot;$&quot;* &quot;-&quot;??_);_(@_)">
                  <c:v>-26734.016176953392</c:v>
                </c:pt>
                <c:pt idx="724" formatCode="_(&quot;$&quot;* #,##0.00_);_(&quot;$&quot;* \(#,##0.00\);_(&quot;$&quot;* &quot;-&quot;??_);_(@_)">
                  <c:v>-26729.398810718336</c:v>
                </c:pt>
                <c:pt idx="725" formatCode="_(&quot;$&quot;* #,##0.00_);_(&quot;$&quot;* \(#,##0.00\);_(&quot;$&quot;* &quot;-&quot;??_);_(@_)">
                  <c:v>-26672.68724093775</c:v>
                </c:pt>
                <c:pt idx="726" formatCode="_(&quot;$&quot;* #,##0.00_);_(&quot;$&quot;* \(#,##0.00\);_(&quot;$&quot;* &quot;-&quot;??_);_(@_)">
                  <c:v>-26721.004308895881</c:v>
                </c:pt>
                <c:pt idx="727" formatCode="_(&quot;$&quot;* #,##0.00_);_(&quot;$&quot;* \(#,##0.00\);_(&quot;$&quot;* &quot;-&quot;??_);_(@_)">
                  <c:v>-26880.50088340462</c:v>
                </c:pt>
                <c:pt idx="728" formatCode="_(&quot;$&quot;* #,##0.00_);_(&quot;$&quot;* \(#,##0.00\);_(&quot;$&quot;* &quot;-&quot;??_);_(@_)">
                  <c:v>-26957.307631787553</c:v>
                </c:pt>
                <c:pt idx="729" formatCode="_(&quot;$&quot;* #,##0.00_);_(&quot;$&quot;* \(#,##0.00\);_(&quot;$&quot;* &quot;-&quot;??_);_(@_)">
                  <c:v>-27040.719602177382</c:v>
                </c:pt>
                <c:pt idx="730" formatCode="_(&quot;$&quot;* #,##0.00_);_(&quot;$&quot;* \(#,##0.00\);_(&quot;$&quot;* &quot;-&quot;??_);_(@_)">
                  <c:v>-27108.983754851026</c:v>
                </c:pt>
                <c:pt idx="731" formatCode="_(&quot;$&quot;* #,##0.00_);_(&quot;$&quot;* \(#,##0.00\);_(&quot;$&quot;* &quot;-&quot;??_);_(@_)">
                  <c:v>-27184.102268195664</c:v>
                </c:pt>
                <c:pt idx="732" formatCode="_(&quot;$&quot;* #,##0.00_);_(&quot;$&quot;* \(#,##0.00\);_(&quot;$&quot;* &quot;-&quot;??_);_(@_)">
                  <c:v>-27035.442437358892</c:v>
                </c:pt>
                <c:pt idx="733" formatCode="_(&quot;$&quot;* #,##0.00_);_(&quot;$&quot;* \(#,##0.00\);_(&quot;$&quot;* &quot;-&quot;??_);_(@_)">
                  <c:v>-27207.950035401314</c:v>
                </c:pt>
                <c:pt idx="734" formatCode="_(&quot;$&quot;* #,##0.00_);_(&quot;$&quot;* \(#,##0.00\);_(&quot;$&quot;* &quot;-&quot;??_);_(@_)">
                  <c:v>-27172.210185020736</c:v>
                </c:pt>
                <c:pt idx="735" formatCode="_(&quot;$&quot;* #,##0.00_);_(&quot;$&quot;* \(#,##0.00\);_(&quot;$&quot;* &quot;-&quot;??_);_(@_)">
                  <c:v>-27141.588794448864</c:v>
                </c:pt>
                <c:pt idx="736" formatCode="_(&quot;$&quot;* #,##0.00_);_(&quot;$&quot;* \(#,##0.00\);_(&quot;$&quot;* &quot;-&quot;??_);_(@_)">
                  <c:v>-27278.849476060837</c:v>
                </c:pt>
                <c:pt idx="737" formatCode="_(&quot;$&quot;* #,##0.00_);_(&quot;$&quot;* \(#,##0.00\);_(&quot;$&quot;* &quot;-&quot;??_);_(@_)">
                  <c:v>-27074.897146777897</c:v>
                </c:pt>
                <c:pt idx="738" formatCode="_(&quot;$&quot;* #,##0.00_);_(&quot;$&quot;* \(#,##0.00\);_(&quot;$&quot;* &quot;-&quot;??_);_(@_)">
                  <c:v>-26970.469849287456</c:v>
                </c:pt>
                <c:pt idx="739" formatCode="_(&quot;$&quot;* #,##0.00_);_(&quot;$&quot;* \(#,##0.00\);_(&quot;$&quot;* &quot;-&quot;??_);_(@_)">
                  <c:v>-27349.33155530291</c:v>
                </c:pt>
                <c:pt idx="740" formatCode="_(&quot;$&quot;* #,##0.00_);_(&quot;$&quot;* \(#,##0.00\);_(&quot;$&quot;* &quot;-&quot;??_);_(@_)">
                  <c:v>-27393.779973735604</c:v>
                </c:pt>
                <c:pt idx="741" formatCode="_(&quot;$&quot;* #,##0.00_);_(&quot;$&quot;* \(#,##0.00\);_(&quot;$&quot;* &quot;-&quot;??_);_(@_)">
                  <c:v>-27517.57517064835</c:v>
                </c:pt>
                <c:pt idx="742" formatCode="_(&quot;$&quot;* #,##0.00_);_(&quot;$&quot;* \(#,##0.00\);_(&quot;$&quot;* &quot;-&quot;??_);_(@_)">
                  <c:v>-27715.584408118302</c:v>
                </c:pt>
                <c:pt idx="743" formatCode="_(&quot;$&quot;* #,##0.00_);_(&quot;$&quot;* \(#,##0.00\);_(&quot;$&quot;* &quot;-&quot;??_);_(@_)">
                  <c:v>-28217.357501838975</c:v>
                </c:pt>
                <c:pt idx="744" formatCode="_(&quot;$&quot;* #,##0.00_);_(&quot;$&quot;* \(#,##0.00\);_(&quot;$&quot;* &quot;-&quot;??_);_(@_)">
                  <c:v>-28657.694592912685</c:v>
                </c:pt>
                <c:pt idx="745" formatCode="_(&quot;$&quot;* #,##0.00_);_(&quot;$&quot;* \(#,##0.00\);_(&quot;$&quot;* &quot;-&quot;??_);_(@_)">
                  <c:v>-28735.44400354211</c:v>
                </c:pt>
                <c:pt idx="746" formatCode="_(&quot;$&quot;* #,##0.00_);_(&quot;$&quot;* \(#,##0.00\);_(&quot;$&quot;* &quot;-&quot;??_);_(@_)">
                  <c:v>-28945.168891169127</c:v>
                </c:pt>
                <c:pt idx="747" formatCode="_(&quot;$&quot;* #,##0.00_);_(&quot;$&quot;* \(#,##0.00\);_(&quot;$&quot;* &quot;-&quot;??_);_(@_)">
                  <c:v>-28972.061322266822</c:v>
                </c:pt>
                <c:pt idx="748" formatCode="_(&quot;$&quot;* #,##0.00_);_(&quot;$&quot;* \(#,##0.00\);_(&quot;$&quot;* &quot;-&quot;??_);_(@_)">
                  <c:v>-29193.189429390633</c:v>
                </c:pt>
                <c:pt idx="749" formatCode="_(&quot;$&quot;* #,##0.00_);_(&quot;$&quot;* \(#,##0.00\);_(&quot;$&quot;* &quot;-&quot;??_);_(@_)">
                  <c:v>-29271.143193868324</c:v>
                </c:pt>
                <c:pt idx="750" formatCode="_(&quot;$&quot;* #,##0.00_);_(&quot;$&quot;* \(#,##0.00\);_(&quot;$&quot;* &quot;-&quot;??_);_(@_)">
                  <c:v>-29027.867580750371</c:v>
                </c:pt>
                <c:pt idx="751" formatCode="_(&quot;$&quot;* #,##0.00_);_(&quot;$&quot;* \(#,##0.00\);_(&quot;$&quot;* &quot;-&quot;??_);_(@_)">
                  <c:v>-28576.496434437973</c:v>
                </c:pt>
                <c:pt idx="752" formatCode="_(&quot;$&quot;* #,##0.00_);_(&quot;$&quot;* \(#,##0.00\);_(&quot;$&quot;* &quot;-&quot;??_);_(@_)">
                  <c:v>-29259.956040895886</c:v>
                </c:pt>
                <c:pt idx="753" formatCode="_(&quot;$&quot;* #,##0.00_);_(&quot;$&quot;* \(#,##0.00\);_(&quot;$&quot;* &quot;-&quot;??_);_(@_)">
                  <c:v>-29846.542396827659</c:v>
                </c:pt>
                <c:pt idx="754" formatCode="_(&quot;$&quot;* #,##0.00_);_(&quot;$&quot;* \(#,##0.00\);_(&quot;$&quot;* &quot;-&quot;??_);_(@_)">
                  <c:v>-30676.180014615951</c:v>
                </c:pt>
                <c:pt idx="755" formatCode="_(&quot;$&quot;* #,##0.00_);_(&quot;$&quot;* \(#,##0.00\);_(&quot;$&quot;* &quot;-&quot;??_);_(@_)">
                  <c:v>-30711.132975949844</c:v>
                </c:pt>
                <c:pt idx="756" formatCode="_(&quot;$&quot;* #,##0.00_);_(&quot;$&quot;* \(#,##0.00\);_(&quot;$&quot;* &quot;-&quot;??_);_(@_)">
                  <c:v>-30729.971252971758</c:v>
                </c:pt>
                <c:pt idx="757" formatCode="_(&quot;$&quot;* #,##0.00_);_(&quot;$&quot;* \(#,##0.00\);_(&quot;$&quot;* &quot;-&quot;??_);_(@_)">
                  <c:v>-31008.61271227118</c:v>
                </c:pt>
                <c:pt idx="758" formatCode="_(&quot;$&quot;* #,##0.00_);_(&quot;$&quot;* \(#,##0.00\);_(&quot;$&quot;* &quot;-&quot;??_);_(@_)">
                  <c:v>-31404.279644725211</c:v>
                </c:pt>
                <c:pt idx="759" formatCode="_(&quot;$&quot;* #,##0.00_);_(&quot;$&quot;* \(#,##0.00\);_(&quot;$&quot;* &quot;-&quot;??_);_(@_)">
                  <c:v>-31450.219120003479</c:v>
                </c:pt>
                <c:pt idx="760" formatCode="_(&quot;$&quot;* #,##0.00_);_(&quot;$&quot;* \(#,##0.00\);_(&quot;$&quot;* &quot;-&quot;??_);_(@_)">
                  <c:v>-31387.535208380257</c:v>
                </c:pt>
                <c:pt idx="761" formatCode="_(&quot;$&quot;* #,##0.00_);_(&quot;$&quot;* \(#,##0.00\);_(&quot;$&quot;* &quot;-&quot;??_);_(@_)">
                  <c:v>-31293.244726749053</c:v>
                </c:pt>
                <c:pt idx="762" formatCode="_(&quot;$&quot;* #,##0.00_);_(&quot;$&quot;* \(#,##0.00\);_(&quot;$&quot;* &quot;-&quot;??_);_(@_)">
                  <c:v>-31564.295385712736</c:v>
                </c:pt>
                <c:pt idx="763" formatCode="_(&quot;$&quot;* #,##0.00_);_(&quot;$&quot;* \(#,##0.00\);_(&quot;$&quot;* &quot;-&quot;??_);_(@_)">
                  <c:v>-31492.635346919757</c:v>
                </c:pt>
                <c:pt idx="764" formatCode="_(&quot;$&quot;* #,##0.00_);_(&quot;$&quot;* \(#,##0.00\);_(&quot;$&quot;* &quot;-&quot;??_);_(@_)">
                  <c:v>-31654.548683596011</c:v>
                </c:pt>
                <c:pt idx="765" formatCode="_(&quot;$&quot;* #,##0.00_);_(&quot;$&quot;* \(#,##0.00\);_(&quot;$&quot;* &quot;-&quot;??_);_(@_)">
                  <c:v>-31784.362623538804</c:v>
                </c:pt>
                <c:pt idx="766" formatCode="_(&quot;$&quot;* #,##0.00_);_(&quot;$&quot;* \(#,##0.00\);_(&quot;$&quot;* &quot;-&quot;??_);_(@_)">
                  <c:v>-31837.766313766693</c:v>
                </c:pt>
                <c:pt idx="767" formatCode="_(&quot;$&quot;* #,##0.00_);_(&quot;$&quot;* \(#,##0.00\);_(&quot;$&quot;* &quot;-&quot;??_);_(@_)">
                  <c:v>-32000.00007007999</c:v>
                </c:pt>
                <c:pt idx="768" formatCode="_(&quot;$&quot;* #,##0.00_);_(&quot;$&quot;* \(#,##0.00\);_(&quot;$&quot;* &quot;-&quot;??_);_(@_)">
                  <c:v>-32123.256956773439</c:v>
                </c:pt>
                <c:pt idx="769" formatCode="_(&quot;$&quot;* #,##0.00_);_(&quot;$&quot;* \(#,##0.00\);_(&quot;$&quot;* &quot;-&quot;??_);_(@_)">
                  <c:v>-32224.667620133994</c:v>
                </c:pt>
                <c:pt idx="770" formatCode="_(&quot;$&quot;* #,##0.00_);_(&quot;$&quot;* \(#,##0.00\);_(&quot;$&quot;* &quot;-&quot;??_);_(@_)">
                  <c:v>-32377.457277297901</c:v>
                </c:pt>
                <c:pt idx="771" formatCode="_(&quot;$&quot;* #,##0.00_);_(&quot;$&quot;* \(#,##0.00\);_(&quot;$&quot;* &quot;-&quot;??_);_(@_)">
                  <c:v>-32235.745873482509</c:v>
                </c:pt>
                <c:pt idx="772" formatCode="_(&quot;$&quot;* #,##0.00_);_(&quot;$&quot;* \(#,##0.00\);_(&quot;$&quot;* &quot;-&quot;??_);_(@_)">
                  <c:v>-32206.42288715157</c:v>
                </c:pt>
                <c:pt idx="773" formatCode="_(&quot;$&quot;* #,##0.00_);_(&quot;$&quot;* \(#,##0.00\);_(&quot;$&quot;* &quot;-&quot;??_);_(@_)">
                  <c:v>-32423.295653788813</c:v>
                </c:pt>
                <c:pt idx="774" formatCode="_(&quot;$&quot;* #,##0.00_);_(&quot;$&quot;* \(#,##0.00\);_(&quot;$&quot;* &quot;-&quot;??_);_(@_)">
                  <c:v>-32489.44493867024</c:v>
                </c:pt>
                <c:pt idx="775" formatCode="_(&quot;$&quot;* #,##0.00_);_(&quot;$&quot;* \(#,##0.00\);_(&quot;$&quot;* &quot;-&quot;??_);_(@_)">
                  <c:v>-32399.63460261545</c:v>
                </c:pt>
                <c:pt idx="776" formatCode="_(&quot;$&quot;* #,##0.00_);_(&quot;$&quot;* \(#,##0.00\);_(&quot;$&quot;* &quot;-&quot;??_);_(@_)">
                  <c:v>-32616.714373852781</c:v>
                </c:pt>
                <c:pt idx="777" formatCode="_(&quot;$&quot;* #,##0.00_);_(&quot;$&quot;* \(#,##0.00\);_(&quot;$&quot;* &quot;-&quot;??_);_(@_)">
                  <c:v>-32913.189501520326</c:v>
                </c:pt>
                <c:pt idx="778" formatCode="_(&quot;$&quot;* #,##0.00_);_(&quot;$&quot;* \(#,##0.00\);_(&quot;$&quot;* &quot;-&quot;??_);_(@_)">
                  <c:v>-32999.830397088706</c:v>
                </c:pt>
                <c:pt idx="779" formatCode="_(&quot;$&quot;* #,##0.00_);_(&quot;$&quot;* \(#,##0.00\);_(&quot;$&quot;* &quot;-&quot;??_);_(@_)">
                  <c:v>-32914.008292214399</c:v>
                </c:pt>
                <c:pt idx="780" formatCode="_(&quot;$&quot;* #,##0.00_);_(&quot;$&quot;* \(#,##0.00\);_(&quot;$&quot;* &quot;-&quot;??_);_(@_)">
                  <c:v>-32885.670421517047</c:v>
                </c:pt>
                <c:pt idx="781" formatCode="_(&quot;$&quot;* #,##0.00_);_(&quot;$&quot;* \(#,##0.00\);_(&quot;$&quot;* &quot;-&quot;??_);_(@_)">
                  <c:v>-33030.440478237913</c:v>
                </c:pt>
                <c:pt idx="782" formatCode="_(&quot;$&quot;* #,##0.00_);_(&quot;$&quot;* \(#,##0.00\);_(&quot;$&quot;* &quot;-&quot;??_);_(@_)">
                  <c:v>-33060.25901742946</c:v>
                </c:pt>
                <c:pt idx="783" formatCode="_(&quot;$&quot;* #,##0.00_);_(&quot;$&quot;* \(#,##0.00\);_(&quot;$&quot;* &quot;-&quot;??_);_(@_)">
                  <c:v>-33156.386498103791</c:v>
                </c:pt>
                <c:pt idx="784" formatCode="_(&quot;$&quot;* #,##0.00_);_(&quot;$&quot;* \(#,##0.00\);_(&quot;$&quot;* &quot;-&quot;??_);_(@_)">
                  <c:v>-33073.409578933548</c:v>
                </c:pt>
                <c:pt idx="785" formatCode="_(&quot;$&quot;* #,##0.00_);_(&quot;$&quot;* \(#,##0.00\);_(&quot;$&quot;* &quot;-&quot;??_);_(@_)">
                  <c:v>-33187.074402994454</c:v>
                </c:pt>
                <c:pt idx="786" formatCode="_(&quot;$&quot;* #,##0.00_);_(&quot;$&quot;* \(#,##0.00\);_(&quot;$&quot;* &quot;-&quot;??_);_(@_)">
                  <c:v>-33278.579176866391</c:v>
                </c:pt>
                <c:pt idx="787" formatCode="_(&quot;$&quot;* #,##0.00_);_(&quot;$&quot;* \(#,##0.00\);_(&quot;$&quot;* &quot;-&quot;??_);_(@_)">
                  <c:v>-33113.78337103549</c:v>
                </c:pt>
                <c:pt idx="788" formatCode="_(&quot;$&quot;* #,##0.00_);_(&quot;$&quot;* \(#,##0.00\);_(&quot;$&quot;* &quot;-&quot;??_);_(@_)">
                  <c:v>-33191.867419924733</c:v>
                </c:pt>
                <c:pt idx="789" formatCode="_(&quot;$&quot;* #,##0.00_);_(&quot;$&quot;* \(#,##0.00\);_(&quot;$&quot;* &quot;-&quot;??_);_(@_)">
                  <c:v>-33053.778781583445</c:v>
                </c:pt>
                <c:pt idx="790" formatCode="_(&quot;$&quot;* #,##0.00_);_(&quot;$&quot;* \(#,##0.00\);_(&quot;$&quot;* &quot;-&quot;??_);_(@_)">
                  <c:v>-33245.372602682713</c:v>
                </c:pt>
                <c:pt idx="791" formatCode="_(&quot;$&quot;* #,##0.00_);_(&quot;$&quot;* \(#,##0.00\);_(&quot;$&quot;* &quot;-&quot;??_);_(@_)">
                  <c:v>-33033.958794374266</c:v>
                </c:pt>
                <c:pt idx="792" formatCode="_(&quot;$&quot;* #,##0.00_);_(&quot;$&quot;* \(#,##0.00\);_(&quot;$&quot;* &quot;-&quot;??_);_(@_)">
                  <c:v>-33055.929465684523</c:v>
                </c:pt>
                <c:pt idx="793" formatCode="_(&quot;$&quot;* #,##0.00_);_(&quot;$&quot;* \(#,##0.00\);_(&quot;$&quot;* &quot;-&quot;??_);_(@_)">
                  <c:v>-33048.126852017551</c:v>
                </c:pt>
                <c:pt idx="794" formatCode="_(&quot;$&quot;* #,##0.00_);_(&quot;$&quot;* \(#,##0.00\);_(&quot;$&quot;* &quot;-&quot;??_);_(@_)">
                  <c:v>-33059.410291722896</c:v>
                </c:pt>
                <c:pt idx="795" formatCode="_(&quot;$&quot;* #,##0.00_);_(&quot;$&quot;* \(#,##0.00\);_(&quot;$&quot;* &quot;-&quot;??_);_(@_)">
                  <c:v>-33197.359527565153</c:v>
                </c:pt>
                <c:pt idx="796" formatCode="_(&quot;$&quot;* #,##0.00_);_(&quot;$&quot;* \(#,##0.00\);_(&quot;$&quot;* &quot;-&quot;??_);_(@_)">
                  <c:v>-33147.193847069495</c:v>
                </c:pt>
                <c:pt idx="797" formatCode="_(&quot;$&quot;* #,##0.00_);_(&quot;$&quot;* \(#,##0.00\);_(&quot;$&quot;* &quot;-&quot;??_);_(@_)">
                  <c:v>-33315.427474981749</c:v>
                </c:pt>
                <c:pt idx="798" formatCode="_(&quot;$&quot;* #,##0.00_);_(&quot;$&quot;* \(#,##0.00\);_(&quot;$&quot;* &quot;-&quot;??_);_(@_)">
                  <c:v>-33385.096436096217</c:v>
                </c:pt>
                <c:pt idx="799" formatCode="_(&quot;$&quot;* #,##0.00_);_(&quot;$&quot;* \(#,##0.00\);_(&quot;$&quot;* &quot;-&quot;??_);_(@_)">
                  <c:v>-33597.627823905888</c:v>
                </c:pt>
                <c:pt idx="800" formatCode="_(&quot;$&quot;* #,##0.00_);_(&quot;$&quot;* \(#,##0.00\);_(&quot;$&quot;* &quot;-&quot;??_);_(@_)">
                  <c:v>-33675.334419323022</c:v>
                </c:pt>
                <c:pt idx="801" formatCode="_(&quot;$&quot;* #,##0.00_);_(&quot;$&quot;* \(#,##0.00\);_(&quot;$&quot;* &quot;-&quot;??_);_(@_)">
                  <c:v>-33672.013522803158</c:v>
                </c:pt>
                <c:pt idx="802" formatCode="_(&quot;$&quot;* #,##0.00_);_(&quot;$&quot;* \(#,##0.00\);_(&quot;$&quot;* &quot;-&quot;??_);_(@_)">
                  <c:v>-33748.710758353373</c:v>
                </c:pt>
                <c:pt idx="803" formatCode="_(&quot;$&quot;* #,##0.00_);_(&quot;$&quot;* \(#,##0.00\);_(&quot;$&quot;* &quot;-&quot;??_);_(@_)">
                  <c:v>-33735.868186401494</c:v>
                </c:pt>
                <c:pt idx="804" formatCode="_(&quot;$&quot;* #,##0.00_);_(&quot;$&quot;* \(#,##0.00\);_(&quot;$&quot;* &quot;-&quot;??_);_(@_)">
                  <c:v>-33748.780977545881</c:v>
                </c:pt>
                <c:pt idx="805" formatCode="_(&quot;$&quot;* #,##0.00_);_(&quot;$&quot;* \(#,##0.00\);_(&quot;$&quot;* &quot;-&quot;??_);_(@_)">
                  <c:v>-33761.605432848221</c:v>
                </c:pt>
                <c:pt idx="806" formatCode="_(&quot;$&quot;* #,##0.00_);_(&quot;$&quot;* \(#,##0.00\);_(&quot;$&quot;* &quot;-&quot;??_);_(@_)">
                  <c:v>-33822.920635467213</c:v>
                </c:pt>
                <c:pt idx="807" formatCode="_(&quot;$&quot;* #,##0.00_);_(&quot;$&quot;* \(#,##0.00\);_(&quot;$&quot;* &quot;-&quot;??_);_(@_)">
                  <c:v>-33896.780055744312</c:v>
                </c:pt>
                <c:pt idx="808" formatCode="_(&quot;$&quot;* #,##0.00_);_(&quot;$&quot;* \(#,##0.00\);_(&quot;$&quot;* &quot;-&quot;??_);_(@_)">
                  <c:v>-33940.091305300215</c:v>
                </c:pt>
                <c:pt idx="809" formatCode="_(&quot;$&quot;* #,##0.00_);_(&quot;$&quot;* \(#,##0.00\);_(&quot;$&quot;* &quot;-&quot;??_);_(@_)">
                  <c:v>-33700.771185609017</c:v>
                </c:pt>
                <c:pt idx="810" formatCode="_(&quot;$&quot;* #,##0.00_);_(&quot;$&quot;* \(#,##0.00\);_(&quot;$&quot;* &quot;-&quot;??_);_(@_)">
                  <c:v>-33624.497434544661</c:v>
                </c:pt>
                <c:pt idx="811" formatCode="_(&quot;$&quot;* #,##0.00_);_(&quot;$&quot;* \(#,##0.00\);_(&quot;$&quot;* &quot;-&quot;??_);_(@_)">
                  <c:v>-33690.287587095707</c:v>
                </c:pt>
                <c:pt idx="812" formatCode="_(&quot;$&quot;* #,##0.00_);_(&quot;$&quot;* \(#,##0.00\);_(&quot;$&quot;* &quot;-&quot;??_);_(@_)">
                  <c:v>-33829.373589451949</c:v>
                </c:pt>
                <c:pt idx="813" formatCode="_(&quot;$&quot;* #,##0.00_);_(&quot;$&quot;* \(#,##0.00\);_(&quot;$&quot;* &quot;-&quot;??_);_(@_)">
                  <c:v>-33668.451228518948</c:v>
                </c:pt>
                <c:pt idx="814" formatCode="_(&quot;$&quot;* #,##0.00_);_(&quot;$&quot;* \(#,##0.00\);_(&quot;$&quot;* &quot;-&quot;??_);_(@_)">
                  <c:v>-33804.693681883335</c:v>
                </c:pt>
                <c:pt idx="815" formatCode="_(&quot;$&quot;* #,##0.00_);_(&quot;$&quot;* \(#,##0.00\);_(&quot;$&quot;* &quot;-&quot;??_);_(@_)">
                  <c:v>-33687.237739996708</c:v>
                </c:pt>
                <c:pt idx="816" formatCode="_(&quot;$&quot;* #,##0.00_);_(&quot;$&quot;* \(#,##0.00\);_(&quot;$&quot;* &quot;-&quot;??_);_(@_)">
                  <c:v>-33927.888367213694</c:v>
                </c:pt>
                <c:pt idx="817" formatCode="_(&quot;$&quot;* #,##0.00_);_(&quot;$&quot;* \(#,##0.00\);_(&quot;$&quot;* &quot;-&quot;??_);_(@_)">
                  <c:v>-33526.392041700994</c:v>
                </c:pt>
                <c:pt idx="818" formatCode="_(&quot;$&quot;* #,##0.00_);_(&quot;$&quot;* \(#,##0.00\);_(&quot;$&quot;* &quot;-&quot;??_);_(@_)">
                  <c:v>-33663.976270254439</c:v>
                </c:pt>
                <c:pt idx="819" formatCode="_(&quot;$&quot;* #,##0.00_);_(&quot;$&quot;* \(#,##0.00\);_(&quot;$&quot;* &quot;-&quot;??_);_(@_)">
                  <c:v>-34024.722111587209</c:v>
                </c:pt>
                <c:pt idx="820" formatCode="_(&quot;$&quot;* #,##0.00_);_(&quot;$&quot;* \(#,##0.00\);_(&quot;$&quot;* &quot;-&quot;??_);_(@_)">
                  <c:v>-33949.278659102158</c:v>
                </c:pt>
                <c:pt idx="821" formatCode="_(&quot;$&quot;* #,##0.00_);_(&quot;$&quot;* \(#,##0.00\);_(&quot;$&quot;* &quot;-&quot;??_);_(@_)">
                  <c:v>-34128.737035119113</c:v>
                </c:pt>
                <c:pt idx="822" formatCode="_(&quot;$&quot;* #,##0.00_);_(&quot;$&quot;* \(#,##0.00\);_(&quot;$&quot;* &quot;-&quot;??_);_(@_)">
                  <c:v>-34195.261611916314</c:v>
                </c:pt>
                <c:pt idx="823" formatCode="_(&quot;$&quot;* #,##0.00_);_(&quot;$&quot;* \(#,##0.00\);_(&quot;$&quot;* &quot;-&quot;??_);_(@_)">
                  <c:v>-34324.226441955281</c:v>
                </c:pt>
                <c:pt idx="824" formatCode="_(&quot;$&quot;* #,##0.00_);_(&quot;$&quot;* \(#,##0.00\);_(&quot;$&quot;* &quot;-&quot;??_);_(@_)">
                  <c:v>-34451.325897227565</c:v>
                </c:pt>
                <c:pt idx="825" formatCode="_(&quot;$&quot;* #,##0.00_);_(&quot;$&quot;* \(#,##0.00\);_(&quot;$&quot;* &quot;-&quot;??_);_(@_)">
                  <c:v>-34400.682258050932</c:v>
                </c:pt>
                <c:pt idx="826" formatCode="_(&quot;$&quot;* #,##0.00_);_(&quot;$&quot;* \(#,##0.00\);_(&quot;$&quot;* &quot;-&quot;??_);_(@_)">
                  <c:v>-34443.83466246364</c:v>
                </c:pt>
                <c:pt idx="827" formatCode="_(&quot;$&quot;* #,##0.00_);_(&quot;$&quot;* \(#,##0.00\);_(&quot;$&quot;* &quot;-&quot;??_);_(@_)">
                  <c:v>-34357.686881736205</c:v>
                </c:pt>
                <c:pt idx="828" formatCode="_(&quot;$&quot;* #,##0.00_);_(&quot;$&quot;* \(#,##0.00\);_(&quot;$&quot;* &quot;-&quot;??_);_(@_)">
                  <c:v>-34350.166331833592</c:v>
                </c:pt>
                <c:pt idx="829" formatCode="_(&quot;$&quot;* #,##0.00_);_(&quot;$&quot;* \(#,##0.00\);_(&quot;$&quot;* &quot;-&quot;??_);_(@_)">
                  <c:v>-34371.429814044415</c:v>
                </c:pt>
                <c:pt idx="830" formatCode="_(&quot;$&quot;* #,##0.00_);_(&quot;$&quot;* \(#,##0.00\);_(&quot;$&quot;* &quot;-&quot;??_);_(@_)">
                  <c:v>-34219.006608961878</c:v>
                </c:pt>
                <c:pt idx="831" formatCode="_(&quot;$&quot;* #,##0.00_);_(&quot;$&quot;* \(#,##0.00\);_(&quot;$&quot;* &quot;-&quot;??_);_(@_)">
                  <c:v>-34241.217532524635</c:v>
                </c:pt>
                <c:pt idx="832" formatCode="_(&quot;$&quot;* #,##0.00_);_(&quot;$&quot;* \(#,##0.00\);_(&quot;$&quot;* &quot;-&quot;??_);_(@_)">
                  <c:v>-34393.175242228157</c:v>
                </c:pt>
                <c:pt idx="833" formatCode="_(&quot;$&quot;* #,##0.00_);_(&quot;$&quot;* \(#,##0.00\);_(&quot;$&quot;* &quot;-&quot;??_);_(@_)">
                  <c:v>-34525.232989183729</c:v>
                </c:pt>
                <c:pt idx="834" formatCode="_(&quot;$&quot;* #,##0.00_);_(&quot;$&quot;* \(#,##0.00\);_(&quot;$&quot;* &quot;-&quot;??_);_(@_)">
                  <c:v>-33702.602867120266</c:v>
                </c:pt>
                <c:pt idx="835" formatCode="_(&quot;$&quot;* #,##0.00_);_(&quot;$&quot;* \(#,##0.00\);_(&quot;$&quot;* &quot;-&quot;??_);_(@_)">
                  <c:v>-34598.296817796298</c:v>
                </c:pt>
                <c:pt idx="836" formatCode="_(&quot;$&quot;* #,##0.00_);_(&quot;$&quot;* \(#,##0.00\);_(&quot;$&quot;* &quot;-&quot;??_);_(@_)">
                  <c:v>-34385.443979328767</c:v>
                </c:pt>
                <c:pt idx="837" formatCode="_(&quot;$&quot;* #,##0.00_);_(&quot;$&quot;* \(#,##0.00\);_(&quot;$&quot;* &quot;-&quot;??_);_(@_)">
                  <c:v>-34611.841464697303</c:v>
                </c:pt>
                <c:pt idx="838" formatCode="_(&quot;$&quot;* #,##0.00_);_(&quot;$&quot;* \(#,##0.00\);_(&quot;$&quot;* &quot;-&quot;??_);_(@_)">
                  <c:v>-34634.502783640753</c:v>
                </c:pt>
                <c:pt idx="839" formatCode="_(&quot;$&quot;* #,##0.00_);_(&quot;$&quot;* \(#,##0.00\);_(&quot;$&quot;* &quot;-&quot;??_);_(@_)">
                  <c:v>-34732.233026299706</c:v>
                </c:pt>
                <c:pt idx="840" formatCode="_(&quot;$&quot;* #,##0.00_);_(&quot;$&quot;* \(#,##0.00\);_(&quot;$&quot;* &quot;-&quot;??_);_(@_)">
                  <c:v>-35164.7086958414</c:v>
                </c:pt>
                <c:pt idx="841" formatCode="_(&quot;$&quot;* #,##0.00_);_(&quot;$&quot;* \(#,##0.00\);_(&quot;$&quot;* &quot;-&quot;??_);_(@_)">
                  <c:v>-35459.039069354651</c:v>
                </c:pt>
                <c:pt idx="842" formatCode="_(&quot;$&quot;* #,##0.00_);_(&quot;$&quot;* \(#,##0.00\);_(&quot;$&quot;* &quot;-&quot;??_);_(@_)">
                  <c:v>-35659.888363437371</c:v>
                </c:pt>
                <c:pt idx="843" formatCode="_(&quot;$&quot;* #,##0.00_);_(&quot;$&quot;* \(#,##0.00\);_(&quot;$&quot;* &quot;-&quot;??_);_(@_)">
                  <c:v>-35715.281210935384</c:v>
                </c:pt>
                <c:pt idx="844" formatCode="_(&quot;$&quot;* #,##0.00_);_(&quot;$&quot;* \(#,##0.00\);_(&quot;$&quot;* &quot;-&quot;??_);_(@_)">
                  <c:v>-35741.218463172321</c:v>
                </c:pt>
                <c:pt idx="845" formatCode="_(&quot;$&quot;* #,##0.00_);_(&quot;$&quot;* \(#,##0.00\);_(&quot;$&quot;* &quot;-&quot;??_);_(@_)">
                  <c:v>-35727.570093159768</c:v>
                </c:pt>
                <c:pt idx="846" formatCode="_(&quot;$&quot;* #,##0.00_);_(&quot;$&quot;* \(#,##0.00\);_(&quot;$&quot;* &quot;-&quot;??_);_(@_)">
                  <c:v>-35652.562343713536</c:v>
                </c:pt>
                <c:pt idx="847" formatCode="_(&quot;$&quot;* #,##0.00_);_(&quot;$&quot;* \(#,##0.00\);_(&quot;$&quot;* &quot;-&quot;??_);_(@_)">
                  <c:v>-36070.304514363583</c:v>
                </c:pt>
                <c:pt idx="848" formatCode="_(&quot;$&quot;* #,##0.00_);_(&quot;$&quot;* \(#,##0.00\);_(&quot;$&quot;* &quot;-&quot;??_);_(@_)">
                  <c:v>-36333.186351326709</c:v>
                </c:pt>
                <c:pt idx="849" formatCode="_(&quot;$&quot;* #,##0.00_);_(&quot;$&quot;* \(#,##0.00\);_(&quot;$&quot;* &quot;-&quot;??_);_(@_)">
                  <c:v>-36332.094355482812</c:v>
                </c:pt>
                <c:pt idx="850" formatCode="_(&quot;$&quot;* #,##0.00_);_(&quot;$&quot;* \(#,##0.00\);_(&quot;$&quot;* &quot;-&quot;??_);_(@_)">
                  <c:v>-36214.53744477826</c:v>
                </c:pt>
                <c:pt idx="851" formatCode="_(&quot;$&quot;* #,##0.00_);_(&quot;$&quot;* \(#,##0.00\);_(&quot;$&quot;* &quot;-&quot;??_);_(@_)">
                  <c:v>-36257.849192765229</c:v>
                </c:pt>
                <c:pt idx="852" formatCode="_(&quot;$&quot;* #,##0.00_);_(&quot;$&quot;* \(#,##0.00\);_(&quot;$&quot;* &quot;-&quot;??_);_(@_)">
                  <c:v>-36251.016640270114</c:v>
                </c:pt>
                <c:pt idx="853" formatCode="_(&quot;$&quot;* #,##0.00_);_(&quot;$&quot;* \(#,##0.00\);_(&quot;$&quot;* &quot;-&quot;??_);_(@_)">
                  <c:v>-36111.789930170147</c:v>
                </c:pt>
                <c:pt idx="854" formatCode="_(&quot;$&quot;* #,##0.00_);_(&quot;$&quot;* \(#,##0.00\);_(&quot;$&quot;* &quot;-&quot;??_);_(@_)">
                  <c:v>-36317.222153500938</c:v>
                </c:pt>
                <c:pt idx="855" formatCode="_(&quot;$&quot;* #,##0.00_);_(&quot;$&quot;* \(#,##0.00\);_(&quot;$&quot;* &quot;-&quot;??_);_(@_)">
                  <c:v>-36399.602659724485</c:v>
                </c:pt>
                <c:pt idx="856" formatCode="_(&quot;$&quot;* #,##0.00_);_(&quot;$&quot;* \(#,##0.00\);_(&quot;$&quot;* &quot;-&quot;??_);_(@_)">
                  <c:v>-36585.676524697454</c:v>
                </c:pt>
                <c:pt idx="857" formatCode="_(&quot;$&quot;* #,##0.00_);_(&quot;$&quot;* \(#,##0.00\);_(&quot;$&quot;* &quot;-&quot;??_);_(@_)">
                  <c:v>-36616.874847388361</c:v>
                </c:pt>
                <c:pt idx="858" formatCode="_(&quot;$&quot;* #,##0.00_);_(&quot;$&quot;* \(#,##0.00\);_(&quot;$&quot;* &quot;-&quot;??_);_(@_)">
                  <c:v>-36720.924285730791</c:v>
                </c:pt>
                <c:pt idx="859" formatCode="_(&quot;$&quot;* #,##0.00_);_(&quot;$&quot;* \(#,##0.00\);_(&quot;$&quot;* &quot;-&quot;??_);_(@_)">
                  <c:v>-36725.290011795834</c:v>
                </c:pt>
                <c:pt idx="860" formatCode="_(&quot;$&quot;* #,##0.00_);_(&quot;$&quot;* \(#,##0.00\);_(&quot;$&quot;* &quot;-&quot;??_);_(@_)">
                  <c:v>-36717.115890688037</c:v>
                </c:pt>
                <c:pt idx="861" formatCode="_(&quot;$&quot;* #,##0.00_);_(&quot;$&quot;* \(#,##0.00\);_(&quot;$&quot;* &quot;-&quot;??_);_(@_)">
                  <c:v>-36673.33776341148</c:v>
                </c:pt>
                <c:pt idx="862" formatCode="_(&quot;$&quot;* #,##0.00_);_(&quot;$&quot;* \(#,##0.00\);_(&quot;$&quot;* &quot;-&quot;??_);_(@_)">
                  <c:v>-36613.234178952102</c:v>
                </c:pt>
                <c:pt idx="863" formatCode="_(&quot;$&quot;* #,##0.00_);_(&quot;$&quot;* \(#,##0.00\);_(&quot;$&quot;* &quot;-&quot;??_);_(@_)">
                  <c:v>-36923.76508792775</c:v>
                </c:pt>
                <c:pt idx="864" formatCode="_(&quot;$&quot;* #,##0.00_);_(&quot;$&quot;* \(#,##0.00\);_(&quot;$&quot;* &quot;-&quot;??_);_(@_)">
                  <c:v>-36990.510542599339</c:v>
                </c:pt>
                <c:pt idx="865" formatCode="_(&quot;$&quot;* #,##0.00_);_(&quot;$&quot;* \(#,##0.00\);_(&quot;$&quot;* &quot;-&quot;??_);_(@_)">
                  <c:v>-37018.184005845003</c:v>
                </c:pt>
                <c:pt idx="866" formatCode="_(&quot;$&quot;* #,##0.00_);_(&quot;$&quot;* \(#,##0.00\);_(&quot;$&quot;* &quot;-&quot;??_);_(@_)">
                  <c:v>-37111.073555281793</c:v>
                </c:pt>
                <c:pt idx="867" formatCode="_(&quot;$&quot;* #,##0.00_);_(&quot;$&quot;* \(#,##0.00\);_(&quot;$&quot;* &quot;-&quot;??_);_(@_)">
                  <c:v>-37132.911217746434</c:v>
                </c:pt>
                <c:pt idx="868" formatCode="_(&quot;$&quot;* #,##0.00_);_(&quot;$&quot;* \(#,##0.00\);_(&quot;$&quot;* &quot;-&quot;??_);_(@_)">
                  <c:v>-37107.082793683039</c:v>
                </c:pt>
                <c:pt idx="869" formatCode="_(&quot;$&quot;* #,##0.00_);_(&quot;$&quot;* \(#,##0.00\);_(&quot;$&quot;* &quot;-&quot;??_);_(@_)">
                  <c:v>-37042.898870809157</c:v>
                </c:pt>
                <c:pt idx="870" formatCode="_(&quot;$&quot;* #,##0.00_);_(&quot;$&quot;* \(#,##0.00\);_(&quot;$&quot;* &quot;-&quot;??_);_(@_)">
                  <c:v>-37132.773294599974</c:v>
                </c:pt>
                <c:pt idx="871" formatCode="_(&quot;$&quot;* #,##0.00_);_(&quot;$&quot;* \(#,##0.00\);_(&quot;$&quot;* &quot;-&quot;??_);_(@_)">
                  <c:v>-36958.25221118339</c:v>
                </c:pt>
                <c:pt idx="872" formatCode="_(&quot;$&quot;* #,##0.00_);_(&quot;$&quot;* \(#,##0.00\);_(&quot;$&quot;* &quot;-&quot;??_);_(@_)">
                  <c:v>-37003.992634282309</c:v>
                </c:pt>
                <c:pt idx="873" formatCode="_(&quot;$&quot;* #,##0.00_);_(&quot;$&quot;* \(#,##0.00\);_(&quot;$&quot;* &quot;-&quot;??_);_(@_)">
                  <c:v>-36993.992338273543</c:v>
                </c:pt>
                <c:pt idx="874" formatCode="_(&quot;$&quot;* #,##0.00_);_(&quot;$&quot;* \(#,##0.00\);_(&quot;$&quot;* &quot;-&quot;??_);_(@_)">
                  <c:v>-36898.675412135453</c:v>
                </c:pt>
                <c:pt idx="875" formatCode="_(&quot;$&quot;* #,##0.00_);_(&quot;$&quot;* \(#,##0.00\);_(&quot;$&quot;* &quot;-&quot;??_);_(@_)">
                  <c:v>-36964.300183235995</c:v>
                </c:pt>
                <c:pt idx="876" formatCode="_(&quot;$&quot;* #,##0.00_);_(&quot;$&quot;* \(#,##0.00\);_(&quot;$&quot;* &quot;-&quot;??_);_(@_)">
                  <c:v>-37014.616914542756</c:v>
                </c:pt>
                <c:pt idx="877" formatCode="_(&quot;$&quot;* #,##0.00_);_(&quot;$&quot;* \(#,##0.00\);_(&quot;$&quot;* &quot;-&quot;??_);_(@_)">
                  <c:v>-36916.014350246136</c:v>
                </c:pt>
                <c:pt idx="878" formatCode="_(&quot;$&quot;* #,##0.00_);_(&quot;$&quot;* \(#,##0.00\);_(&quot;$&quot;* &quot;-&quot;??_);_(@_)">
                  <c:v>-36999.137737921934</c:v>
                </c:pt>
                <c:pt idx="879" formatCode="_(&quot;$&quot;* #,##0.00_);_(&quot;$&quot;* \(#,##0.00\);_(&quot;$&quot;* &quot;-&quot;??_);_(@_)">
                  <c:v>-37009.479416806214</c:v>
                </c:pt>
                <c:pt idx="880" formatCode="_(&quot;$&quot;* #,##0.00_);_(&quot;$&quot;* \(#,##0.00\);_(&quot;$&quot;* &quot;-&quot;??_);_(@_)">
                  <c:v>-37268.112409188383</c:v>
                </c:pt>
                <c:pt idx="881" formatCode="_(&quot;$&quot;* #,##0.00_);_(&quot;$&quot;* \(#,##0.00\);_(&quot;$&quot;* &quot;-&quot;??_);_(@_)">
                  <c:v>-37260.444389493598</c:v>
                </c:pt>
                <c:pt idx="882" formatCode="_(&quot;$&quot;* #,##0.00_);_(&quot;$&quot;* \(#,##0.00\);_(&quot;$&quot;* &quot;-&quot;??_);_(@_)">
                  <c:v>-37299.735461836768</c:v>
                </c:pt>
                <c:pt idx="883" formatCode="_(&quot;$&quot;* #,##0.00_);_(&quot;$&quot;* \(#,##0.00\);_(&quot;$&quot;* &quot;-&quot;??_);_(@_)">
                  <c:v>-37373.57899581836</c:v>
                </c:pt>
                <c:pt idx="884" formatCode="_(&quot;$&quot;* #,##0.00_);_(&quot;$&quot;* \(#,##0.00\);_(&quot;$&quot;* &quot;-&quot;??_);_(@_)">
                  <c:v>-37446.050082216098</c:v>
                </c:pt>
                <c:pt idx="885" formatCode="_(&quot;$&quot;* #,##0.00_);_(&quot;$&quot;* \(#,##0.00\);_(&quot;$&quot;* &quot;-&quot;??_);_(@_)">
                  <c:v>-37621.653692111337</c:v>
                </c:pt>
                <c:pt idx="886" formatCode="_(&quot;$&quot;* #,##0.00_);_(&quot;$&quot;* \(#,##0.00\);_(&quot;$&quot;* &quot;-&quot;??_);_(@_)">
                  <c:v>-37809.791339762662</c:v>
                </c:pt>
                <c:pt idx="887" formatCode="_(&quot;$&quot;* #,##0.00_);_(&quot;$&quot;* \(#,##0.00\);_(&quot;$&quot;* &quot;-&quot;??_);_(@_)">
                  <c:v>-38004.979603629225</c:v>
                </c:pt>
                <c:pt idx="888" formatCode="_(&quot;$&quot;* #,##0.00_);_(&quot;$&quot;* \(#,##0.00\);_(&quot;$&quot;* &quot;-&quot;??_);_(@_)">
                  <c:v>-38055.504219254384</c:v>
                </c:pt>
                <c:pt idx="889" formatCode="_(&quot;$&quot;* #,##0.00_);_(&quot;$&quot;* \(#,##0.00\);_(&quot;$&quot;* &quot;-&quot;??_);_(@_)">
                  <c:v>-38120.232800635007</c:v>
                </c:pt>
                <c:pt idx="890" formatCode="_(&quot;$&quot;* #,##0.00_);_(&quot;$&quot;* \(#,##0.00\);_(&quot;$&quot;* &quot;-&quot;??_);_(@_)">
                  <c:v>-38074.379926705224</c:v>
                </c:pt>
                <c:pt idx="891" formatCode="_(&quot;$&quot;* #,##0.00_);_(&quot;$&quot;* \(#,##0.00\);_(&quot;$&quot;* &quot;-&quot;??_);_(@_)">
                  <c:v>-38110.550683841779</c:v>
                </c:pt>
                <c:pt idx="892" formatCode="_(&quot;$&quot;* #,##0.00_);_(&quot;$&quot;* \(#,##0.00\);_(&quot;$&quot;* &quot;-&quot;??_);_(@_)">
                  <c:v>-37943.630017406009</c:v>
                </c:pt>
                <c:pt idx="893" formatCode="_(&quot;$&quot;* #,##0.00_);_(&quot;$&quot;* \(#,##0.00\);_(&quot;$&quot;* &quot;-&quot;??_);_(@_)">
                  <c:v>-37860.93415355793</c:v>
                </c:pt>
                <c:pt idx="894" formatCode="_(&quot;$&quot;* #,##0.00_);_(&quot;$&quot;* \(#,##0.00\);_(&quot;$&quot;* &quot;-&quot;??_);_(@_)">
                  <c:v>-38121.401071394765</c:v>
                </c:pt>
                <c:pt idx="895" formatCode="_(&quot;$&quot;* #,##0.00_);_(&quot;$&quot;* \(#,##0.00\);_(&quot;$&quot;* &quot;-&quot;??_);_(@_)">
                  <c:v>-38069.61404700276</c:v>
                </c:pt>
                <c:pt idx="896" formatCode="_(&quot;$&quot;* #,##0.00_);_(&quot;$&quot;* \(#,##0.00\);_(&quot;$&quot;* &quot;-&quot;??_);_(@_)">
                  <c:v>-38033.918357824805</c:v>
                </c:pt>
                <c:pt idx="897" formatCode="_(&quot;$&quot;* #,##0.00_);_(&quot;$&quot;* \(#,##0.00\);_(&quot;$&quot;* &quot;-&quot;??_);_(@_)">
                  <c:v>-38063.660969656055</c:v>
                </c:pt>
                <c:pt idx="898" formatCode="_(&quot;$&quot;* #,##0.00_);_(&quot;$&quot;* \(#,##0.00\);_(&quot;$&quot;* &quot;-&quot;??_);_(@_)">
                  <c:v>-38143.959842837001</c:v>
                </c:pt>
                <c:pt idx="899" formatCode="_(&quot;$&quot;* #,##0.00_);_(&quot;$&quot;* \(#,##0.00\);_(&quot;$&quot;* &quot;-&quot;??_);_(@_)">
                  <c:v>-37984.86180160752</c:v>
                </c:pt>
                <c:pt idx="900" formatCode="_(&quot;$&quot;* #,##0.00_);_(&quot;$&quot;* \(#,##0.00\);_(&quot;$&quot;* &quot;-&quot;??_);_(@_)">
                  <c:v>-38141.483186693156</c:v>
                </c:pt>
                <c:pt idx="901" formatCode="_(&quot;$&quot;* #,##0.00_);_(&quot;$&quot;* \(#,##0.00\);_(&quot;$&quot;* &quot;-&quot;??_);_(@_)">
                  <c:v>-38150.717576143987</c:v>
                </c:pt>
                <c:pt idx="902" formatCode="_(&quot;$&quot;* #,##0.00_);_(&quot;$&quot;* \(#,##0.00\);_(&quot;$&quot;* &quot;-&quot;??_);_(@_)">
                  <c:v>-37996.186818354508</c:v>
                </c:pt>
                <c:pt idx="903" formatCode="_(&quot;$&quot;* #,##0.00_);_(&quot;$&quot;* \(#,##0.00\);_(&quot;$&quot;* &quot;-&quot;??_);_(@_)">
                  <c:v>-38203.717679109672</c:v>
                </c:pt>
                <c:pt idx="904" formatCode="_(&quot;$&quot;* #,##0.00_);_(&quot;$&quot;* \(#,##0.00\);_(&quot;$&quot;* &quot;-&quot;??_);_(@_)">
                  <c:v>-38333.105601577947</c:v>
                </c:pt>
                <c:pt idx="905" formatCode="_(&quot;$&quot;* #,##0.00_);_(&quot;$&quot;* \(#,##0.00\);_(&quot;$&quot;* &quot;-&quot;??_);_(@_)">
                  <c:v>-38285.647573887014</c:v>
                </c:pt>
                <c:pt idx="906" formatCode="_(&quot;$&quot;* #,##0.00_);_(&quot;$&quot;* \(#,##0.00\);_(&quot;$&quot;* &quot;-&quot;??_);_(@_)">
                  <c:v>-38460.489174874623</c:v>
                </c:pt>
                <c:pt idx="907" formatCode="_(&quot;$&quot;* #,##0.00_);_(&quot;$&quot;* \(#,##0.00\);_(&quot;$&quot;* &quot;-&quot;??_);_(@_)">
                  <c:v>-38504.556153737482</c:v>
                </c:pt>
                <c:pt idx="908" formatCode="_(&quot;$&quot;* #,##0.00_);_(&quot;$&quot;* \(#,##0.00\);_(&quot;$&quot;* &quot;-&quot;??_);_(@_)">
                  <c:v>-38354.804105483119</c:v>
                </c:pt>
                <c:pt idx="909" formatCode="_(&quot;$&quot;* #,##0.00_);_(&quot;$&quot;* \(#,##0.00\);_(&quot;$&quot;* &quot;-&quot;??_);_(@_)">
                  <c:v>-38201.51226017005</c:v>
                </c:pt>
                <c:pt idx="910" formatCode="_(&quot;$&quot;* #,##0.00_);_(&quot;$&quot;* \(#,##0.00\);_(&quot;$&quot;* &quot;-&quot;??_);_(@_)">
                  <c:v>-38291.521642652951</c:v>
                </c:pt>
                <c:pt idx="911" formatCode="_(&quot;$&quot;* #,##0.00_);_(&quot;$&quot;* \(#,##0.00\);_(&quot;$&quot;* &quot;-&quot;??_);_(@_)">
                  <c:v>-38247.996255916274</c:v>
                </c:pt>
                <c:pt idx="912" formatCode="_(&quot;$&quot;* #,##0.00_);_(&quot;$&quot;* \(#,##0.00\);_(&quot;$&quot;* &quot;-&quot;??_);_(@_)">
                  <c:v>-38462.139962769972</c:v>
                </c:pt>
                <c:pt idx="913" formatCode="_(&quot;$&quot;* #,##0.00_);_(&quot;$&quot;* \(#,##0.00\);_(&quot;$&quot;* &quot;-&quot;??_);_(@_)">
                  <c:v>-38567.417446514133</c:v>
                </c:pt>
                <c:pt idx="914" formatCode="_(&quot;$&quot;* #,##0.00_);_(&quot;$&quot;* \(#,##0.00\);_(&quot;$&quot;* &quot;-&quot;??_);_(@_)">
                  <c:v>-38553.516005885816</c:v>
                </c:pt>
                <c:pt idx="915" formatCode="_(&quot;$&quot;* #,##0.00_);_(&quot;$&quot;* \(#,##0.00\);_(&quot;$&quot;* &quot;-&quot;??_);_(@_)">
                  <c:v>-38488.216746178252</c:v>
                </c:pt>
                <c:pt idx="916" formatCode="_(&quot;$&quot;* #,##0.00_);_(&quot;$&quot;* \(#,##0.00\);_(&quot;$&quot;* &quot;-&quot;??_);_(@_)">
                  <c:v>-38412.438871108949</c:v>
                </c:pt>
                <c:pt idx="917" formatCode="_(&quot;$&quot;* #,##0.00_);_(&quot;$&quot;* \(#,##0.00\);_(&quot;$&quot;* &quot;-&quot;??_);_(@_)">
                  <c:v>-38672.558012271023</c:v>
                </c:pt>
                <c:pt idx="918" formatCode="_(&quot;$&quot;* #,##0.00_);_(&quot;$&quot;* \(#,##0.00\);_(&quot;$&quot;* &quot;-&quot;??_);_(@_)">
                  <c:v>-38178.480163528147</c:v>
                </c:pt>
                <c:pt idx="919" formatCode="_(&quot;$&quot;* #,##0.00_);_(&quot;$&quot;* \(#,##0.00\);_(&quot;$&quot;* &quot;-&quot;??_);_(@_)">
                  <c:v>-38376.988530150222</c:v>
                </c:pt>
                <c:pt idx="920" formatCode="_(&quot;$&quot;* #,##0.00_);_(&quot;$&quot;* \(#,##0.00\);_(&quot;$&quot;* &quot;-&quot;??_);_(@_)">
                  <c:v>-38096.255579123135</c:v>
                </c:pt>
                <c:pt idx="921" formatCode="_(&quot;$&quot;* #,##0.00_);_(&quot;$&quot;* \(#,##0.00\);_(&quot;$&quot;* &quot;-&quot;??_);_(@_)">
                  <c:v>-38692.988612185873</c:v>
                </c:pt>
                <c:pt idx="922" formatCode="_(&quot;$&quot;* #,##0.00_);_(&quot;$&quot;* \(#,##0.00\);_(&quot;$&quot;* &quot;-&quot;??_);_(@_)">
                  <c:v>-39723.532177344219</c:v>
                </c:pt>
                <c:pt idx="923" formatCode="_(&quot;$&quot;* #,##0.00_);_(&quot;$&quot;* \(#,##0.00\);_(&quot;$&quot;* &quot;-&quot;??_);_(@_)">
                  <c:v>-40377.271687997934</c:v>
                </c:pt>
                <c:pt idx="924" formatCode="_(&quot;$&quot;* #,##0.00_);_(&quot;$&quot;* \(#,##0.00\);_(&quot;$&quot;* &quot;-&quot;??_);_(@_)">
                  <c:v>-40562.256208121777</c:v>
                </c:pt>
                <c:pt idx="925" formatCode="_(&quot;$&quot;* #,##0.00_);_(&quot;$&quot;* \(#,##0.00\);_(&quot;$&quot;* &quot;-&quot;??_);_(@_)">
                  <c:v>-40609.533417724568</c:v>
                </c:pt>
                <c:pt idx="926" formatCode="_(&quot;$&quot;* #,##0.00_);_(&quot;$&quot;* \(#,##0.00\);_(&quot;$&quot;* &quot;-&quot;??_);_(@_)">
                  <c:v>-40704.063955698388</c:v>
                </c:pt>
                <c:pt idx="927" formatCode="_(&quot;$&quot;* #,##0.00_);_(&quot;$&quot;* \(#,##0.00\);_(&quot;$&quot;* &quot;-&quot;??_);_(@_)">
                  <c:v>-40487.011115288064</c:v>
                </c:pt>
                <c:pt idx="928" formatCode="_(&quot;$&quot;* #,##0.00_);_(&quot;$&quot;* \(#,##0.00\);_(&quot;$&quot;* &quot;-&quot;??_);_(@_)">
                  <c:v>-40740.440461459992</c:v>
                </c:pt>
                <c:pt idx="929" formatCode="_(&quot;$&quot;* #,##0.00_);_(&quot;$&quot;* \(#,##0.00\);_(&quot;$&quot;* &quot;-&quot;??_);_(@_)">
                  <c:v>-41138.311189170417</c:v>
                </c:pt>
                <c:pt idx="930" formatCode="_(&quot;$&quot;* #,##0.00_);_(&quot;$&quot;* \(#,##0.00\);_(&quot;$&quot;* &quot;-&quot;??_);_(@_)">
                  <c:v>-41215.029681117419</c:v>
                </c:pt>
                <c:pt idx="931" formatCode="_(&quot;$&quot;* #,##0.00_);_(&quot;$&quot;* \(#,##0.00\);_(&quot;$&quot;* &quot;-&quot;??_);_(@_)">
                  <c:v>-41043.840892050386</c:v>
                </c:pt>
                <c:pt idx="932" formatCode="_(&quot;$&quot;* #,##0.00_);_(&quot;$&quot;* \(#,##0.00\);_(&quot;$&quot;* &quot;-&quot;??_);_(@_)">
                  <c:v>-40950.982241322781</c:v>
                </c:pt>
                <c:pt idx="933" formatCode="_(&quot;$&quot;* #,##0.00_);_(&quot;$&quot;* \(#,##0.00\);_(&quot;$&quot;* &quot;-&quot;??_);_(@_)">
                  <c:v>-40912.14982569273</c:v>
                </c:pt>
                <c:pt idx="934" formatCode="_(&quot;$&quot;* #,##0.00_);_(&quot;$&quot;* \(#,##0.00\);_(&quot;$&quot;* &quot;-&quot;??_);_(@_)">
                  <c:v>-41157.744588600566</c:v>
                </c:pt>
                <c:pt idx="935" formatCode="_(&quot;$&quot;* #,##0.00_);_(&quot;$&quot;* \(#,##0.00\);_(&quot;$&quot;* &quot;-&quot;??_);_(@_)">
                  <c:v>-41176.369965756501</c:v>
                </c:pt>
                <c:pt idx="936" formatCode="_(&quot;$&quot;* #,##0.00_);_(&quot;$&quot;* \(#,##0.00\);_(&quot;$&quot;* &quot;-&quot;??_);_(@_)">
                  <c:v>-41094.275360900472</c:v>
                </c:pt>
                <c:pt idx="937" formatCode="_(&quot;$&quot;* #,##0.00_);_(&quot;$&quot;* \(#,##0.00\);_(&quot;$&quot;* &quot;-&quot;??_);_(@_)">
                  <c:v>-41256.733988103406</c:v>
                </c:pt>
                <c:pt idx="938" formatCode="_(&quot;$&quot;* #,##0.00_);_(&quot;$&quot;* \(#,##0.00\);_(&quot;$&quot;* &quot;-&quot;??_);_(@_)">
                  <c:v>-41272.619773634142</c:v>
                </c:pt>
                <c:pt idx="939" formatCode="_(&quot;$&quot;* #,##0.00_);_(&quot;$&quot;* \(#,##0.00\);_(&quot;$&quot;* &quot;-&quot;??_);_(@_)">
                  <c:v>-41586.979608687412</c:v>
                </c:pt>
                <c:pt idx="940" formatCode="_(&quot;$&quot;* #,##0.00_);_(&quot;$&quot;* \(#,##0.00\);_(&quot;$&quot;* &quot;-&quot;??_);_(@_)">
                  <c:v>-41569.900886250776</c:v>
                </c:pt>
                <c:pt idx="941" formatCode="_(&quot;$&quot;* #,##0.00_);_(&quot;$&quot;* \(#,##0.00\);_(&quot;$&quot;* &quot;-&quot;??_);_(@_)">
                  <c:v>-41857.326083766202</c:v>
                </c:pt>
                <c:pt idx="942" formatCode="_(&quot;$&quot;* #,##0.00_);_(&quot;$&quot;* \(#,##0.00\);_(&quot;$&quot;* &quot;-&quot;??_);_(@_)">
                  <c:v>-41813.120686581409</c:v>
                </c:pt>
                <c:pt idx="943" formatCode="_(&quot;$&quot;* #,##0.00_);_(&quot;$&quot;* \(#,##0.00\);_(&quot;$&quot;* &quot;-&quot;??_);_(@_)">
                  <c:v>-42100.030586986482</c:v>
                </c:pt>
                <c:pt idx="944" formatCode="_(&quot;$&quot;* #,##0.00_);_(&quot;$&quot;* \(#,##0.00\);_(&quot;$&quot;* &quot;-&quot;??_);_(@_)">
                  <c:v>-42002.102164660275</c:v>
                </c:pt>
                <c:pt idx="945" formatCode="_(&quot;$&quot;* #,##0.00_);_(&quot;$&quot;* \(#,##0.00\);_(&quot;$&quot;* &quot;-&quot;??_);_(@_)">
                  <c:v>-41892.278778286316</c:v>
                </c:pt>
                <c:pt idx="946" formatCode="_(&quot;$&quot;* #,##0.00_);_(&quot;$&quot;* \(#,##0.00\);_(&quot;$&quot;* &quot;-&quot;??_);_(@_)">
                  <c:v>-41761.432190405882</c:v>
                </c:pt>
                <c:pt idx="947" formatCode="_(&quot;$&quot;* #,##0.00_);_(&quot;$&quot;* \(#,##0.00\);_(&quot;$&quot;* &quot;-&quot;??_);_(@_)">
                  <c:v>-41800.621792459984</c:v>
                </c:pt>
                <c:pt idx="948" formatCode="_(&quot;$&quot;* #,##0.00_);_(&quot;$&quot;* \(#,##0.00\);_(&quot;$&quot;* &quot;-&quot;??_);_(@_)">
                  <c:v>-41845.106750772567</c:v>
                </c:pt>
                <c:pt idx="949" formatCode="_(&quot;$&quot;* #,##0.00_);_(&quot;$&quot;* \(#,##0.00\);_(&quot;$&quot;* &quot;-&quot;??_);_(@_)">
                  <c:v>-41680.294683512431</c:v>
                </c:pt>
                <c:pt idx="950" formatCode="_(&quot;$&quot;* #,##0.00_);_(&quot;$&quot;* \(#,##0.00\);_(&quot;$&quot;* &quot;-&quot;??_);_(@_)">
                  <c:v>-41977.48460103706</c:v>
                </c:pt>
                <c:pt idx="951" formatCode="_(&quot;$&quot;* #,##0.00_);_(&quot;$&quot;* \(#,##0.00\);_(&quot;$&quot;* &quot;-&quot;??_);_(@_)">
                  <c:v>-42004.653878508725</c:v>
                </c:pt>
                <c:pt idx="952" formatCode="_(&quot;$&quot;* #,##0.00_);_(&quot;$&quot;* \(#,##0.00\);_(&quot;$&quot;* &quot;-&quot;??_);_(@_)">
                  <c:v>-42064.521568615492</c:v>
                </c:pt>
                <c:pt idx="953" formatCode="_(&quot;$&quot;* #,##0.00_);_(&quot;$&quot;* \(#,##0.00\);_(&quot;$&quot;* &quot;-&quot;??_);_(@_)">
                  <c:v>-41976.121833848025</c:v>
                </c:pt>
                <c:pt idx="954" formatCode="_(&quot;$&quot;* #,##0.00_);_(&quot;$&quot;* \(#,##0.00\);_(&quot;$&quot;* &quot;-&quot;??_);_(@_)">
                  <c:v>-42039.071678683606</c:v>
                </c:pt>
                <c:pt idx="955" formatCode="_(&quot;$&quot;* #,##0.00_);_(&quot;$&quot;* \(#,##0.00\);_(&quot;$&quot;* &quot;-&quot;??_);_(@_)">
                  <c:v>-41961.85848287867</c:v>
                </c:pt>
                <c:pt idx="956" formatCode="_(&quot;$&quot;* #,##0.00_);_(&quot;$&quot;* \(#,##0.00\);_(&quot;$&quot;* &quot;-&quot;??_);_(@_)">
                  <c:v>-41826.848691735315</c:v>
                </c:pt>
                <c:pt idx="957" formatCode="_(&quot;$&quot;* #,##0.00_);_(&quot;$&quot;* \(#,##0.00\);_(&quot;$&quot;* &quot;-&quot;??_);_(@_)">
                  <c:v>-41722.400885911229</c:v>
                </c:pt>
                <c:pt idx="958" formatCode="_(&quot;$&quot;* #,##0.00_);_(&quot;$&quot;* \(#,##0.00\);_(&quot;$&quot;* &quot;-&quot;??_);_(@_)">
                  <c:v>-41828.688527532133</c:v>
                </c:pt>
                <c:pt idx="959" formatCode="_(&quot;$&quot;* #,##0.00_);_(&quot;$&quot;* \(#,##0.00\);_(&quot;$&quot;* &quot;-&quot;??_);_(@_)">
                  <c:v>-41659.686573314328</c:v>
                </c:pt>
                <c:pt idx="960" formatCode="_(&quot;$&quot;* #,##0.00_);_(&quot;$&quot;* \(#,##0.00\);_(&quot;$&quot;* &quot;-&quot;??_);_(@_)">
                  <c:v>-41754.499899588795</c:v>
                </c:pt>
                <c:pt idx="961" formatCode="_(&quot;$&quot;* #,##0.00_);_(&quot;$&quot;* \(#,##0.00\);_(&quot;$&quot;* &quot;-&quot;??_);_(@_)">
                  <c:v>-42160.636178109715</c:v>
                </c:pt>
                <c:pt idx="962" formatCode="_(&quot;$&quot;* #,##0.00_);_(&quot;$&quot;* \(#,##0.00\);_(&quot;$&quot;* &quot;-&quot;??_);_(@_)">
                  <c:v>-42396.123083939994</c:v>
                </c:pt>
                <c:pt idx="963" formatCode="_(&quot;$&quot;* #,##0.00_);_(&quot;$&quot;* \(#,##0.00\);_(&quot;$&quot;* &quot;-&quot;??_);_(@_)">
                  <c:v>-42304.792295717241</c:v>
                </c:pt>
                <c:pt idx="964" formatCode="_(&quot;$&quot;* #,##0.00_);_(&quot;$&quot;* \(#,##0.00\);_(&quot;$&quot;* &quot;-&quot;??_);_(@_)">
                  <c:v>-42276.936850920341</c:v>
                </c:pt>
                <c:pt idx="965" formatCode="_(&quot;$&quot;* #,##0.00_);_(&quot;$&quot;* \(#,##0.00\);_(&quot;$&quot;* &quot;-&quot;??_);_(@_)">
                  <c:v>-42393.256012629121</c:v>
                </c:pt>
                <c:pt idx="966" formatCode="_(&quot;$&quot;* #,##0.00_);_(&quot;$&quot;* \(#,##0.00\);_(&quot;$&quot;* &quot;-&quot;??_);_(@_)">
                  <c:v>-42519.596258027923</c:v>
                </c:pt>
                <c:pt idx="967" formatCode="_(&quot;$&quot;* #,##0.00_);_(&quot;$&quot;* \(#,##0.00\);_(&quot;$&quot;* &quot;-&quot;??_);_(@_)">
                  <c:v>-42594.678149419284</c:v>
                </c:pt>
                <c:pt idx="968" formatCode="_(&quot;$&quot;* #,##0.00_);_(&quot;$&quot;* \(#,##0.00\);_(&quot;$&quot;* &quot;-&quot;??_);_(@_)">
                  <c:v>-42458.779317042499</c:v>
                </c:pt>
                <c:pt idx="969" formatCode="_(&quot;$&quot;* #,##0.00_);_(&quot;$&quot;* \(#,##0.00\);_(&quot;$&quot;* &quot;-&quot;??_);_(@_)">
                  <c:v>-42470.313771679728</c:v>
                </c:pt>
                <c:pt idx="970" formatCode="_(&quot;$&quot;* #,##0.00_);_(&quot;$&quot;* \(#,##0.00\);_(&quot;$&quot;* &quot;-&quot;??_);_(@_)">
                  <c:v>-42453.851235382113</c:v>
                </c:pt>
                <c:pt idx="971" formatCode="_(&quot;$&quot;* #,##0.00_);_(&quot;$&quot;* \(#,##0.00\);_(&quot;$&quot;* &quot;-&quot;??_);_(@_)">
                  <c:v>-42482.118489482367</c:v>
                </c:pt>
                <c:pt idx="972" formatCode="_(&quot;$&quot;* #,##0.00_);_(&quot;$&quot;* \(#,##0.00\);_(&quot;$&quot;* &quot;-&quot;??_);_(@_)">
                  <c:v>-42426.332800165867</c:v>
                </c:pt>
                <c:pt idx="973" formatCode="_(&quot;$&quot;* #,##0.00_);_(&quot;$&quot;* \(#,##0.00\);_(&quot;$&quot;* &quot;-&quot;??_);_(@_)">
                  <c:v>-42332.30793739987</c:v>
                </c:pt>
                <c:pt idx="974" formatCode="_(&quot;$&quot;* #,##0.00_);_(&quot;$&quot;* \(#,##0.00\);_(&quot;$&quot;* &quot;-&quot;??_);_(@_)">
                  <c:v>-42426.818957214608</c:v>
                </c:pt>
                <c:pt idx="975" formatCode="_(&quot;$&quot;* #,##0.00_);_(&quot;$&quot;* \(#,##0.00\);_(&quot;$&quot;* &quot;-&quot;??_);_(@_)">
                  <c:v>-42633.933966961202</c:v>
                </c:pt>
                <c:pt idx="976" formatCode="_(&quot;$&quot;* #,##0.00_);_(&quot;$&quot;* \(#,##0.00\);_(&quot;$&quot;* &quot;-&quot;??_);_(@_)">
                  <c:v>-42614.989800525873</c:v>
                </c:pt>
                <c:pt idx="977" formatCode="_(&quot;$&quot;* #,##0.00_);_(&quot;$&quot;* \(#,##0.00\);_(&quot;$&quot;* &quot;-&quot;??_);_(@_)">
                  <c:v>-42163.605433933713</c:v>
                </c:pt>
                <c:pt idx="978" formatCode="_(&quot;$&quot;* #,##0.00_);_(&quot;$&quot;* \(#,##0.00\);_(&quot;$&quot;* &quot;-&quot;??_);_(@_)">
                  <c:v>-42222.482568944361</c:v>
                </c:pt>
                <c:pt idx="979" formatCode="_(&quot;$&quot;* #,##0.00_);_(&quot;$&quot;* \(#,##0.00\);_(&quot;$&quot;* &quot;-&quot;??_);_(@_)">
                  <c:v>-42265.113191942801</c:v>
                </c:pt>
                <c:pt idx="980" formatCode="_(&quot;$&quot;* #,##0.00_);_(&quot;$&quot;* \(#,##0.00\);_(&quot;$&quot;* &quot;-&quot;??_);_(@_)">
                  <c:v>-42363.667895389422</c:v>
                </c:pt>
                <c:pt idx="981" formatCode="_(&quot;$&quot;* #,##0.00_);_(&quot;$&quot;* \(#,##0.00\);_(&quot;$&quot;* &quot;-&quot;??_);_(@_)">
                  <c:v>-42210.167443989179</c:v>
                </c:pt>
                <c:pt idx="982" formatCode="_(&quot;$&quot;* #,##0.00_);_(&quot;$&quot;* \(#,##0.00\);_(&quot;$&quot;* &quot;-&quot;??_);_(@_)">
                  <c:v>-42197.23967272415</c:v>
                </c:pt>
                <c:pt idx="983" formatCode="_(&quot;$&quot;* #,##0.00_);_(&quot;$&quot;* \(#,##0.00\);_(&quot;$&quot;* &quot;-&quot;??_);_(@_)">
                  <c:v>-42141.212680093609</c:v>
                </c:pt>
                <c:pt idx="984" formatCode="_(&quot;$&quot;* #,##0.00_);_(&quot;$&quot;* \(#,##0.00\);_(&quot;$&quot;* &quot;-&quot;??_);_(@_)">
                  <c:v>-42259.779897822496</c:v>
                </c:pt>
                <c:pt idx="985" formatCode="_(&quot;$&quot;* #,##0.00_);_(&quot;$&quot;* \(#,##0.00\);_(&quot;$&quot;* &quot;-&quot;??_);_(@_)">
                  <c:v>-42245.03400779482</c:v>
                </c:pt>
                <c:pt idx="986" formatCode="_(&quot;$&quot;* #,##0.00_);_(&quot;$&quot;* \(#,##0.00\);_(&quot;$&quot;* &quot;-&quot;??_);_(@_)">
                  <c:v>-42298.757030393739</c:v>
                </c:pt>
                <c:pt idx="987" formatCode="_(&quot;$&quot;* #,##0.00_);_(&quot;$&quot;* \(#,##0.00\);_(&quot;$&quot;* &quot;-&quot;??_);_(@_)">
                  <c:v>-42323.759341531753</c:v>
                </c:pt>
                <c:pt idx="988" formatCode="_(&quot;$&quot;* #,##0.00_);_(&quot;$&quot;* \(#,##0.00\);_(&quot;$&quot;* &quot;-&quot;??_);_(@_)">
                  <c:v>-41742.306169114388</c:v>
                </c:pt>
                <c:pt idx="989" formatCode="_(&quot;$&quot;* #,##0.00_);_(&quot;$&quot;* \(#,##0.00\);_(&quot;$&quot;* &quot;-&quot;??_);_(@_)">
                  <c:v>-42202.211829491745</c:v>
                </c:pt>
                <c:pt idx="990" formatCode="_(&quot;$&quot;* #,##0.00_);_(&quot;$&quot;* \(#,##0.00\);_(&quot;$&quot;* &quot;-&quot;??_);_(@_)">
                  <c:v>-41910.640473200896</c:v>
                </c:pt>
                <c:pt idx="991" formatCode="_(&quot;$&quot;* #,##0.00_);_(&quot;$&quot;* \(#,##0.00\);_(&quot;$&quot;* &quot;-&quot;??_);_(@_)">
                  <c:v>-42125.423626349286</c:v>
                </c:pt>
                <c:pt idx="992" formatCode="_(&quot;$&quot;* #,##0.00_);_(&quot;$&quot;* \(#,##0.00\);_(&quot;$&quot;* &quot;-&quot;??_);_(@_)">
                  <c:v>-42071.260309990845</c:v>
                </c:pt>
                <c:pt idx="993" formatCode="_(&quot;$&quot;* #,##0.00_);_(&quot;$&quot;* \(#,##0.00\);_(&quot;$&quot;* &quot;-&quot;??_);_(@_)">
                  <c:v>-42115.458245663256</c:v>
                </c:pt>
                <c:pt idx="994" formatCode="_(&quot;$&quot;* #,##0.00_);_(&quot;$&quot;* \(#,##0.00\);_(&quot;$&quot;* &quot;-&quot;??_);_(@_)">
                  <c:v>-42131.950372860469</c:v>
                </c:pt>
                <c:pt idx="995" formatCode="_(&quot;$&quot;* #,##0.00_);_(&quot;$&quot;* \(#,##0.00\);_(&quot;$&quot;* &quot;-&quot;??_);_(@_)">
                  <c:v>-42295.676855980164</c:v>
                </c:pt>
                <c:pt idx="996" formatCode="_(&quot;$&quot;* #,##0.00_);_(&quot;$&quot;* \(#,##0.00\);_(&quot;$&quot;* &quot;-&quot;??_);_(@_)">
                  <c:v>-42190.288791263032</c:v>
                </c:pt>
                <c:pt idx="997" formatCode="_(&quot;$&quot;* #,##0.00_);_(&quot;$&quot;* \(#,##0.00\);_(&quot;$&quot;* &quot;-&quot;??_);_(@_)">
                  <c:v>-42361.81165504823</c:v>
                </c:pt>
                <c:pt idx="998" formatCode="_(&quot;$&quot;* #,##0.00_);_(&quot;$&quot;* \(#,##0.00\);_(&quot;$&quot;* &quot;-&quot;??_);_(@_)">
                  <c:v>-42466.086755809432</c:v>
                </c:pt>
                <c:pt idx="999" formatCode="_(&quot;$&quot;* #,##0.00_);_(&quot;$&quot;* \(#,##0.00\);_(&quot;$&quot;* &quot;-&quot;??_);_(@_)">
                  <c:v>-42520.496215950086</c:v>
                </c:pt>
                <c:pt idx="1000" formatCode="_(&quot;$&quot;* #,##0.00_);_(&quot;$&quot;* \(#,##0.00\);_(&quot;$&quot;* &quot;-&quot;??_);_(@_)">
                  <c:v>-42308.769477684757</c:v>
                </c:pt>
                <c:pt idx="1001" formatCode="_(&quot;$&quot;* #,##0.00_);_(&quot;$&quot;* \(#,##0.00\);_(&quot;$&quot;* &quot;-&quot;??_);_(@_)">
                  <c:v>-42454.199129989312</c:v>
                </c:pt>
                <c:pt idx="1002" formatCode="_(&quot;$&quot;* #,##0.00_);_(&quot;$&quot;* \(#,##0.00\);_(&quot;$&quot;* &quot;-&quot;??_);_(@_)">
                  <c:v>-42529.299014689896</c:v>
                </c:pt>
                <c:pt idx="1003" formatCode="_(&quot;$&quot;* #,##0.00_);_(&quot;$&quot;* \(#,##0.00\);_(&quot;$&quot;* &quot;-&quot;??_);_(@_)">
                  <c:v>-42304.091669293943</c:v>
                </c:pt>
                <c:pt idx="1004" formatCode="_(&quot;$&quot;* #,##0.00_);_(&quot;$&quot;* \(#,##0.00\);_(&quot;$&quot;* &quot;-&quot;??_);_(@_)">
                  <c:v>-42300.403229306059</c:v>
                </c:pt>
                <c:pt idx="1005" formatCode="_(&quot;$&quot;* #,##0.00_);_(&quot;$&quot;* \(#,##0.00\);_(&quot;$&quot;* &quot;-&quot;??_);_(@_)">
                  <c:v>-42455.644797231464</c:v>
                </c:pt>
                <c:pt idx="1006" formatCode="_(&quot;$&quot;* #,##0.00_);_(&quot;$&quot;* \(#,##0.00\);_(&quot;$&quot;* &quot;-&quot;??_);_(@_)">
                  <c:v>-42311.037590514912</c:v>
                </c:pt>
                <c:pt idx="1007" formatCode="_(&quot;$&quot;* #,##0.00_);_(&quot;$&quot;* \(#,##0.00\);_(&quot;$&quot;* &quot;-&quot;??_);_(@_)">
                  <c:v>-42329.108446477709</c:v>
                </c:pt>
                <c:pt idx="1008" formatCode="_(&quot;$&quot;* #,##0.00_);_(&quot;$&quot;* \(#,##0.00\);_(&quot;$&quot;* &quot;-&quot;??_);_(@_)">
                  <c:v>-42286.911674272036</c:v>
                </c:pt>
                <c:pt idx="1009" formatCode="_(&quot;$&quot;* #,##0.00_);_(&quot;$&quot;* \(#,##0.00\);_(&quot;$&quot;* &quot;-&quot;??_);_(@_)">
                  <c:v>-42441.114469152679</c:v>
                </c:pt>
                <c:pt idx="1010" formatCode="_(&quot;$&quot;* #,##0.00_);_(&quot;$&quot;* \(#,##0.00\);_(&quot;$&quot;* &quot;-&quot;??_);_(@_)">
                  <c:v>-42460.233911280106</c:v>
                </c:pt>
                <c:pt idx="1011" formatCode="_(&quot;$&quot;* #,##0.00_);_(&quot;$&quot;* \(#,##0.00\);_(&quot;$&quot;* &quot;-&quot;??_);_(@_)">
                  <c:v>-42331.390724632853</c:v>
                </c:pt>
                <c:pt idx="1012" formatCode="_(&quot;$&quot;* #,##0.00_);_(&quot;$&quot;* \(#,##0.00\);_(&quot;$&quot;* &quot;-&quot;??_);_(@_)">
                  <c:v>-42304.88194382246</c:v>
                </c:pt>
                <c:pt idx="1013" formatCode="_(&quot;$&quot;* #,##0.00_);_(&quot;$&quot;* \(#,##0.00\);_(&quot;$&quot;* &quot;-&quot;??_);_(@_)">
                  <c:v>-42323.590412143225</c:v>
                </c:pt>
                <c:pt idx="1014" formatCode="_(&quot;$&quot;* #,##0.00_);_(&quot;$&quot;* \(#,##0.00\);_(&quot;$&quot;* &quot;-&quot;??_);_(@_)">
                  <c:v>-42184.810067873084</c:v>
                </c:pt>
                <c:pt idx="1015" formatCode="_(&quot;$&quot;* #,##0.00_);_(&quot;$&quot;* \(#,##0.00\);_(&quot;$&quot;* &quot;-&quot;??_);_(@_)">
                  <c:v>-42250.52393308212</c:v>
                </c:pt>
                <c:pt idx="1016" formatCode="_(&quot;$&quot;* #,##0.00_);_(&quot;$&quot;* \(#,##0.00\);_(&quot;$&quot;* &quot;-&quot;??_);_(@_)">
                  <c:v>-42202.924978304924</c:v>
                </c:pt>
                <c:pt idx="1017" formatCode="_(&quot;$&quot;* #,##0.00_);_(&quot;$&quot;* \(#,##0.00\);_(&quot;$&quot;* &quot;-&quot;??_);_(@_)">
                  <c:v>-42377.196901812385</c:v>
                </c:pt>
                <c:pt idx="1018" formatCode="_(&quot;$&quot;* #,##0.00_);_(&quot;$&quot;* \(#,##0.00\);_(&quot;$&quot;* &quot;-&quot;??_);_(@_)">
                  <c:v>-42795.401367535247</c:v>
                </c:pt>
                <c:pt idx="1019" formatCode="_(&quot;$&quot;* #,##0.00_);_(&quot;$&quot;* \(#,##0.00\);_(&quot;$&quot;* &quot;-&quot;??_);_(@_)">
                  <c:v>-42742.130215842306</c:v>
                </c:pt>
                <c:pt idx="1020" formatCode="_(&quot;$&quot;* #,##0.00_);_(&quot;$&quot;* \(#,##0.00\);_(&quot;$&quot;* &quot;-&quot;??_);_(@_)">
                  <c:v>-42655.545682935423</c:v>
                </c:pt>
                <c:pt idx="1021" formatCode="_(&quot;$&quot;* #,##0.00_);_(&quot;$&quot;* \(#,##0.00\);_(&quot;$&quot;* &quot;-&quot;??_);_(@_)">
                  <c:v>-42547.359773124328</c:v>
                </c:pt>
                <c:pt idx="1022" formatCode="_(&quot;$&quot;* #,##0.00_);_(&quot;$&quot;* \(#,##0.00\);_(&quot;$&quot;* &quot;-&quot;??_);_(@_)">
                  <c:v>-42625.166357794071</c:v>
                </c:pt>
                <c:pt idx="1023" formatCode="_(&quot;$&quot;* #,##0.00_);_(&quot;$&quot;* \(#,##0.00\);_(&quot;$&quot;* &quot;-&quot;??_);_(@_)">
                  <c:v>-42453.399791398682</c:v>
                </c:pt>
                <c:pt idx="1024" formatCode="_(&quot;$&quot;* #,##0.00_);_(&quot;$&quot;* \(#,##0.00\);_(&quot;$&quot;* &quot;-&quot;??_);_(@_)">
                  <c:v>-42307.68503219141</c:v>
                </c:pt>
                <c:pt idx="1025" formatCode="_(&quot;$&quot;* #,##0.00_);_(&quot;$&quot;* \(#,##0.00\);_(&quot;$&quot;* &quot;-&quot;??_);_(@_)">
                  <c:v>-42444.575591654822</c:v>
                </c:pt>
                <c:pt idx="1026" formatCode="_(&quot;$&quot;* #,##0.00_);_(&quot;$&quot;* \(#,##0.00\);_(&quot;$&quot;* &quot;-&quot;??_);_(@_)">
                  <c:v>-42343.320154163601</c:v>
                </c:pt>
                <c:pt idx="1027" formatCode="_(&quot;$&quot;* #,##0.00_);_(&quot;$&quot;* \(#,##0.00\);_(&quot;$&quot;* &quot;-&quot;??_);_(@_)">
                  <c:v>-42111.003838761222</c:v>
                </c:pt>
                <c:pt idx="1028" formatCode="_(&quot;$&quot;* #,##0.00_);_(&quot;$&quot;* \(#,##0.00\);_(&quot;$&quot;* &quot;-&quot;??_);_(@_)">
                  <c:v>-42248.688760321354</c:v>
                </c:pt>
                <c:pt idx="1029" formatCode="_(&quot;$&quot;* #,##0.00_);_(&quot;$&quot;* \(#,##0.00\);_(&quot;$&quot;* &quot;-&quot;??_);_(@_)">
                  <c:v>-42200.425879928298</c:v>
                </c:pt>
                <c:pt idx="1030" formatCode="_(&quot;$&quot;* #,##0.00_);_(&quot;$&quot;* \(#,##0.00\);_(&quot;$&quot;* &quot;-&quot;??_);_(@_)">
                  <c:v>-42244.313035594765</c:v>
                </c:pt>
                <c:pt idx="1031" formatCode="_(&quot;$&quot;* #,##0.00_);_(&quot;$&quot;* \(#,##0.00\);_(&quot;$&quot;* &quot;-&quot;??_);_(@_)">
                  <c:v>-42003.538916515769</c:v>
                </c:pt>
                <c:pt idx="1032" formatCode="_(&quot;$&quot;* #,##0.00_);_(&quot;$&quot;* \(#,##0.00\);_(&quot;$&quot;* &quot;-&quot;??_);_(@_)">
                  <c:v>-42084.238378671202</c:v>
                </c:pt>
                <c:pt idx="1033" formatCode="_(&quot;$&quot;* #,##0.00_);_(&quot;$&quot;* \(#,##0.00\);_(&quot;$&quot;* &quot;-&quot;??_);_(@_)">
                  <c:v>-42085.834778409699</c:v>
                </c:pt>
                <c:pt idx="1034" formatCode="_(&quot;$&quot;* #,##0.00_);_(&quot;$&quot;* \(#,##0.00\);_(&quot;$&quot;* &quot;-&quot;??_);_(@_)">
                  <c:v>-41931.922847482085</c:v>
                </c:pt>
                <c:pt idx="1035" formatCode="_(&quot;$&quot;* #,##0.00_);_(&quot;$&quot;* \(#,##0.00\);_(&quot;$&quot;* &quot;-&quot;??_);_(@_)">
                  <c:v>-42077.145837298827</c:v>
                </c:pt>
                <c:pt idx="1036" formatCode="_(&quot;$&quot;* #,##0.00_);_(&quot;$&quot;* \(#,##0.00\);_(&quot;$&quot;* &quot;-&quot;??_);_(@_)">
                  <c:v>-41882.627600651227</c:v>
                </c:pt>
                <c:pt idx="1037" formatCode="_(&quot;$&quot;* #,##0.00_);_(&quot;$&quot;* \(#,##0.00\);_(&quot;$&quot;* &quot;-&quot;??_);_(@_)">
                  <c:v>-41981.601420536477</c:v>
                </c:pt>
                <c:pt idx="1038" formatCode="_(&quot;$&quot;* #,##0.00_);_(&quot;$&quot;* \(#,##0.00\);_(&quot;$&quot;* &quot;-&quot;??_);_(@_)">
                  <c:v>-41985.466137425814</c:v>
                </c:pt>
                <c:pt idx="1039" formatCode="_(&quot;$&quot;* #,##0.00_);_(&quot;$&quot;* \(#,##0.00\);_(&quot;$&quot;* &quot;-&quot;??_);_(@_)">
                  <c:v>-41818.130409366546</c:v>
                </c:pt>
                <c:pt idx="1040" formatCode="_(&quot;$&quot;* #,##0.00_);_(&quot;$&quot;* \(#,##0.00\);_(&quot;$&quot;* &quot;-&quot;??_);_(@_)">
                  <c:v>-41751.240547944188</c:v>
                </c:pt>
                <c:pt idx="1041" formatCode="_(&quot;$&quot;* #,##0.00_);_(&quot;$&quot;* \(#,##0.00\);_(&quot;$&quot;* &quot;-&quot;??_);_(@_)">
                  <c:v>-41887.702703606687</c:v>
                </c:pt>
                <c:pt idx="1042" formatCode="_(&quot;$&quot;* #,##0.00_);_(&quot;$&quot;* \(#,##0.00\);_(&quot;$&quot;* &quot;-&quot;??_);_(@_)">
                  <c:v>-41798.137097772502</c:v>
                </c:pt>
                <c:pt idx="1043" formatCode="_(&quot;$&quot;* #,##0.00_);_(&quot;$&quot;* \(#,##0.00\);_(&quot;$&quot;* &quot;-&quot;??_);_(@_)">
                  <c:v>-41801.729310125629</c:v>
                </c:pt>
                <c:pt idx="1044" formatCode="_(&quot;$&quot;* #,##0.00_);_(&quot;$&quot;* \(#,##0.00\);_(&quot;$&quot;* &quot;-&quot;??_);_(@_)">
                  <c:v>-41927.705982061845</c:v>
                </c:pt>
                <c:pt idx="1045" formatCode="_(&quot;$&quot;* #,##0.00_);_(&quot;$&quot;* \(#,##0.00\);_(&quot;$&quot;* &quot;-&quot;??_);_(@_)">
                  <c:v>-42214.78110728621</c:v>
                </c:pt>
                <c:pt idx="1046" formatCode="_(&quot;$&quot;* #,##0.00_);_(&quot;$&quot;* \(#,##0.00\);_(&quot;$&quot;* &quot;-&quot;??_);_(@_)">
                  <c:v>-42570.671144997737</c:v>
                </c:pt>
                <c:pt idx="1047" formatCode="_(&quot;$&quot;* #,##0.00_);_(&quot;$&quot;* \(#,##0.00\);_(&quot;$&quot;* &quot;-&quot;??_);_(@_)">
                  <c:v>-42680.523026536255</c:v>
                </c:pt>
                <c:pt idx="1048" formatCode="_(&quot;$&quot;* #,##0.00_);_(&quot;$&quot;* \(#,##0.00\);_(&quot;$&quot;* &quot;-&quot;??_);_(@_)">
                  <c:v>-42698.125037651553</c:v>
                </c:pt>
                <c:pt idx="1049" formatCode="_(&quot;$&quot;* #,##0.00_);_(&quot;$&quot;* \(#,##0.00\);_(&quot;$&quot;* &quot;-&quot;??_);_(@_)">
                  <c:v>-42520.220217880873</c:v>
                </c:pt>
                <c:pt idx="1050" formatCode="_(&quot;$&quot;* #,##0.00_);_(&quot;$&quot;* \(#,##0.00\);_(&quot;$&quot;* &quot;-&quot;??_);_(@_)">
                  <c:v>-42870.748797728731</c:v>
                </c:pt>
                <c:pt idx="1051" formatCode="_(&quot;$&quot;* #,##0.00_);_(&quot;$&quot;* \(#,##0.00\);_(&quot;$&quot;* &quot;-&quot;??_);_(@_)">
                  <c:v>-42787.248347255438</c:v>
                </c:pt>
                <c:pt idx="1052" formatCode="_(&quot;$&quot;* #,##0.00_);_(&quot;$&quot;* \(#,##0.00\);_(&quot;$&quot;* &quot;-&quot;??_);_(@_)">
                  <c:v>-42859.753913298009</c:v>
                </c:pt>
                <c:pt idx="1053" formatCode="_(&quot;$&quot;* #,##0.00_);_(&quot;$&quot;* \(#,##0.00\);_(&quot;$&quot;* &quot;-&quot;??_);_(@_)">
                  <c:v>-42898.466229822807</c:v>
                </c:pt>
                <c:pt idx="1054" formatCode="_(&quot;$&quot;* #,##0.00_);_(&quot;$&quot;* \(#,##0.00\);_(&quot;$&quot;* &quot;-&quot;??_);_(@_)">
                  <c:v>-42936.156830301734</c:v>
                </c:pt>
                <c:pt idx="1055" formatCode="_(&quot;$&quot;* #,##0.00_);_(&quot;$&quot;* \(#,##0.00\);_(&quot;$&quot;* &quot;-&quot;??_);_(@_)">
                  <c:v>-42822.099072773432</c:v>
                </c:pt>
                <c:pt idx="1056" formatCode="_(&quot;$&quot;* #,##0.00_);_(&quot;$&quot;* \(#,##0.00\);_(&quot;$&quot;* &quot;-&quot;??_);_(@_)">
                  <c:v>-42958.190430492585</c:v>
                </c:pt>
                <c:pt idx="1057" formatCode="_(&quot;$&quot;* #,##0.00_);_(&quot;$&quot;* \(#,##0.00\);_(&quot;$&quot;* &quot;-&quot;??_);_(@_)">
                  <c:v>-42893.20598255119</c:v>
                </c:pt>
                <c:pt idx="1058" formatCode="_(&quot;$&quot;* #,##0.00_);_(&quot;$&quot;* \(#,##0.00\);_(&quot;$&quot;* &quot;-&quot;??_);_(@_)">
                  <c:v>-43087.473340744815</c:v>
                </c:pt>
                <c:pt idx="1059" formatCode="_(&quot;$&quot;* #,##0.00_);_(&quot;$&quot;* \(#,##0.00\);_(&quot;$&quot;* &quot;-&quot;??_);_(@_)">
                  <c:v>-42952.999480889201</c:v>
                </c:pt>
                <c:pt idx="1060" formatCode="_(&quot;$&quot;* #,##0.00_);_(&quot;$&quot;* \(#,##0.00\);_(&quot;$&quot;* &quot;-&quot;??_);_(@_)">
                  <c:v>-43015.922041294965</c:v>
                </c:pt>
                <c:pt idx="1061" formatCode="_(&quot;$&quot;* #,##0.00_);_(&quot;$&quot;* \(#,##0.00\);_(&quot;$&quot;* &quot;-&quot;??_);_(@_)">
                  <c:v>-42986.283688480158</c:v>
                </c:pt>
                <c:pt idx="1062" formatCode="_(&quot;$&quot;* #,##0.00_);_(&quot;$&quot;* \(#,##0.00\);_(&quot;$&quot;* &quot;-&quot;??_);_(@_)">
                  <c:v>-42802.456956962596</c:v>
                </c:pt>
                <c:pt idx="1063" formatCode="_(&quot;$&quot;* #,##0.00_);_(&quot;$&quot;* \(#,##0.00\);_(&quot;$&quot;* &quot;-&quot;??_);_(@_)">
                  <c:v>-42890.381596931373</c:v>
                </c:pt>
                <c:pt idx="1064" formatCode="_(&quot;$&quot;* #,##0.00_);_(&quot;$&quot;* \(#,##0.00\);_(&quot;$&quot;* &quot;-&quot;??_);_(@_)">
                  <c:v>-42710.468576332074</c:v>
                </c:pt>
                <c:pt idx="1065" formatCode="_(&quot;$&quot;* #,##0.00_);_(&quot;$&quot;* \(#,##0.00\);_(&quot;$&quot;* &quot;-&quot;??_);_(@_)">
                  <c:v>-42876.059098207683</c:v>
                </c:pt>
                <c:pt idx="1066" formatCode="_(&quot;$&quot;* #,##0.00_);_(&quot;$&quot;* \(#,##0.00\);_(&quot;$&quot;* &quot;-&quot;??_);_(@_)">
                  <c:v>-42959.747997077357</c:v>
                </c:pt>
                <c:pt idx="1067" formatCode="_(&quot;$&quot;* #,##0.00_);_(&quot;$&quot;* \(#,##0.00\);_(&quot;$&quot;* &quot;-&quot;??_);_(@_)">
                  <c:v>-42912.636901922226</c:v>
                </c:pt>
                <c:pt idx="1068" formatCode="_(&quot;$&quot;* #,##0.00_);_(&quot;$&quot;* \(#,##0.00\);_(&quot;$&quot;* &quot;-&quot;??_);_(@_)">
                  <c:v>-42899.48534353586</c:v>
                </c:pt>
                <c:pt idx="1069" formatCode="_(&quot;$&quot;* #,##0.00_);_(&quot;$&quot;* \(#,##0.00\);_(&quot;$&quot;* &quot;-&quot;??_);_(@_)">
                  <c:v>-42916.520759821506</c:v>
                </c:pt>
                <c:pt idx="1070" formatCode="_(&quot;$&quot;* #,##0.00_);_(&quot;$&quot;* \(#,##0.00\);_(&quot;$&quot;* &quot;-&quot;??_);_(@_)">
                  <c:v>-43065.838611585234</c:v>
                </c:pt>
                <c:pt idx="1071" formatCode="_(&quot;$&quot;* #,##0.00_);_(&quot;$&quot;* \(#,##0.00\);_(&quot;$&quot;* &quot;-&quot;??_);_(@_)">
                  <c:v>-43079.858853998419</c:v>
                </c:pt>
                <c:pt idx="1072" formatCode="_(&quot;$&quot;* #,##0.00_);_(&quot;$&quot;* \(#,##0.00\);_(&quot;$&quot;* &quot;-&quot;??_);_(@_)">
                  <c:v>-43167.967967378288</c:v>
                </c:pt>
                <c:pt idx="1073" formatCode="_(&quot;$&quot;* #,##0.00_);_(&quot;$&quot;* \(#,##0.00\);_(&quot;$&quot;* &quot;-&quot;??_);_(@_)">
                  <c:v>-43215.894538459659</c:v>
                </c:pt>
                <c:pt idx="1074" formatCode="_(&quot;$&quot;* #,##0.00_);_(&quot;$&quot;* \(#,##0.00\);_(&quot;$&quot;* &quot;-&quot;??_);_(@_)">
                  <c:v>-43222.581656995833</c:v>
                </c:pt>
                <c:pt idx="1075" formatCode="_(&quot;$&quot;* #,##0.00_);_(&quot;$&quot;* \(#,##0.00\);_(&quot;$&quot;* &quot;-&quot;??_);_(@_)">
                  <c:v>-43319.193039352373</c:v>
                </c:pt>
                <c:pt idx="1076" formatCode="_(&quot;$&quot;* #,##0.00_);_(&quot;$&quot;* \(#,##0.00\);_(&quot;$&quot;* &quot;-&quot;??_);_(@_)">
                  <c:v>-43316.227273429089</c:v>
                </c:pt>
                <c:pt idx="1077" formatCode="_(&quot;$&quot;* #,##0.00_);_(&quot;$&quot;* \(#,##0.00\);_(&quot;$&quot;* &quot;-&quot;??_);_(@_)">
                  <c:v>-43357.296658962274</c:v>
                </c:pt>
                <c:pt idx="1078" formatCode="_(&quot;$&quot;* #,##0.00_);_(&quot;$&quot;* \(#,##0.00\);_(&quot;$&quot;* &quot;-&quot;??_);_(@_)">
                  <c:v>-43130.836420869637</c:v>
                </c:pt>
                <c:pt idx="1079" formatCode="_(&quot;$&quot;* #,##0.00_);_(&quot;$&quot;* \(#,##0.00\);_(&quot;$&quot;* &quot;-&quot;??_);_(@_)">
                  <c:v>-43243.160160123618</c:v>
                </c:pt>
                <c:pt idx="1080" formatCode="_(&quot;$&quot;* #,##0.00_);_(&quot;$&quot;* \(#,##0.00\);_(&quot;$&quot;* &quot;-&quot;??_);_(@_)">
                  <c:v>-43499.118188563945</c:v>
                </c:pt>
                <c:pt idx="1081" formatCode="_(&quot;$&quot;* #,##0.00_);_(&quot;$&quot;* \(#,##0.00\);_(&quot;$&quot;* &quot;-&quot;??_);_(@_)">
                  <c:v>-43657.401133206557</c:v>
                </c:pt>
                <c:pt idx="1082" formatCode="_(&quot;$&quot;* #,##0.00_);_(&quot;$&quot;* \(#,##0.00\);_(&quot;$&quot;* &quot;-&quot;??_);_(@_)">
                  <c:v>-43684.289475293583</c:v>
                </c:pt>
                <c:pt idx="1083" formatCode="_(&quot;$&quot;* #,##0.00_);_(&quot;$&quot;* \(#,##0.00\);_(&quot;$&quot;* &quot;-&quot;??_);_(@_)">
                  <c:v>-43909.790384417058</c:v>
                </c:pt>
                <c:pt idx="1084" formatCode="_(&quot;$&quot;* #,##0.00_);_(&quot;$&quot;* \(#,##0.00\);_(&quot;$&quot;* &quot;-&quot;??_);_(@_)">
                  <c:v>-43770.693535644008</c:v>
                </c:pt>
                <c:pt idx="1085" formatCode="_(&quot;$&quot;* #,##0.00_);_(&quot;$&quot;* \(#,##0.00\);_(&quot;$&quot;* &quot;-&quot;??_);_(@_)">
                  <c:v>-43908.818766543547</c:v>
                </c:pt>
                <c:pt idx="1086" formatCode="_(&quot;$&quot;* #,##0.00_);_(&quot;$&quot;* \(#,##0.00\);_(&quot;$&quot;* &quot;-&quot;??_);_(@_)">
                  <c:v>-43967.41538708609</c:v>
                </c:pt>
                <c:pt idx="1087" formatCode="_(&quot;$&quot;* #,##0.00_);_(&quot;$&quot;* \(#,##0.00\);_(&quot;$&quot;* &quot;-&quot;??_);_(@_)">
                  <c:v>-43701.396065254499</c:v>
                </c:pt>
                <c:pt idx="1088" formatCode="_(&quot;$&quot;* #,##0.00_);_(&quot;$&quot;* \(#,##0.00\);_(&quot;$&quot;* &quot;-&quot;??_);_(@_)">
                  <c:v>-43772.1131088287</c:v>
                </c:pt>
                <c:pt idx="1089" formatCode="_(&quot;$&quot;* #,##0.00_);_(&quot;$&quot;* \(#,##0.00\);_(&quot;$&quot;* &quot;-&quot;??_);_(@_)">
                  <c:v>-43765.888293175325</c:v>
                </c:pt>
                <c:pt idx="1090" formatCode="_(&quot;$&quot;* #,##0.00_);_(&quot;$&quot;* \(#,##0.00\);_(&quot;$&quot;* &quot;-&quot;??_);_(@_)">
                  <c:v>-43553.528702612479</c:v>
                </c:pt>
                <c:pt idx="1091" formatCode="_(&quot;$&quot;* #,##0.00_);_(&quot;$&quot;* \(#,##0.00\);_(&quot;$&quot;* &quot;-&quot;??_);_(@_)">
                  <c:v>-43653.677018375805</c:v>
                </c:pt>
                <c:pt idx="1092" formatCode="_(&quot;$&quot;* #,##0.00_);_(&quot;$&quot;* \(#,##0.00\);_(&quot;$&quot;* &quot;-&quot;??_);_(@_)">
                  <c:v>-43661.621043207342</c:v>
                </c:pt>
                <c:pt idx="1093" formatCode="_(&quot;$&quot;* #,##0.00_);_(&quot;$&quot;* \(#,##0.00\);_(&quot;$&quot;* &quot;-&quot;??_);_(@_)">
                  <c:v>-43795.22260226548</c:v>
                </c:pt>
                <c:pt idx="1094" formatCode="_(&quot;$&quot;* #,##0.00_);_(&quot;$&quot;* \(#,##0.00\);_(&quot;$&quot;* &quot;-&quot;??_);_(@_)">
                  <c:v>-43915.627459882468</c:v>
                </c:pt>
                <c:pt idx="1095" formatCode="_(&quot;$&quot;* #,##0.00_);_(&quot;$&quot;* \(#,##0.00\);_(&quot;$&quot;* &quot;-&quot;??_);_(@_)">
                  <c:v>-43976.494635326861</c:v>
                </c:pt>
                <c:pt idx="1096" formatCode="_(&quot;$&quot;* #,##0.00_);_(&quot;$&quot;* \(#,##0.00\);_(&quot;$&quot;* &quot;-&quot;??_);_(@_)">
                  <c:v>-43726.805800261107</c:v>
                </c:pt>
                <c:pt idx="1097" formatCode="_(&quot;$&quot;* #,##0.00_);_(&quot;$&quot;* \(#,##0.00\);_(&quot;$&quot;* &quot;-&quot;??_);_(@_)">
                  <c:v>-44123.52157702257</c:v>
                </c:pt>
                <c:pt idx="1098" formatCode="_(&quot;$&quot;* #,##0.00_);_(&quot;$&quot;* \(#,##0.00\);_(&quot;$&quot;* &quot;-&quot;??_);_(@_)">
                  <c:v>-44086.841259046072</c:v>
                </c:pt>
                <c:pt idx="1099" formatCode="_(&quot;$&quot;* #,##0.00_);_(&quot;$&quot;* \(#,##0.00\);_(&quot;$&quot;* &quot;-&quot;??_);_(@_)">
                  <c:v>-44165.261831171447</c:v>
                </c:pt>
                <c:pt idx="1100" formatCode="_(&quot;$&quot;* #,##0.00_);_(&quot;$&quot;* \(#,##0.00\);_(&quot;$&quot;* &quot;-&quot;??_);_(@_)">
                  <c:v>-44000.724430440692</c:v>
                </c:pt>
                <c:pt idx="1101" formatCode="_(&quot;$&quot;* #,##0.00_);_(&quot;$&quot;* \(#,##0.00\);_(&quot;$&quot;* &quot;-&quot;??_);_(@_)">
                  <c:v>-44133.093998205208</c:v>
                </c:pt>
                <c:pt idx="1102" formatCode="_(&quot;$&quot;* #,##0.00_);_(&quot;$&quot;* \(#,##0.00\);_(&quot;$&quot;* &quot;-&quot;??_);_(@_)">
                  <c:v>-44148.06122534936</c:v>
                </c:pt>
                <c:pt idx="1103" formatCode="_(&quot;$&quot;* #,##0.00_);_(&quot;$&quot;* \(#,##0.00\);_(&quot;$&quot;* &quot;-&quot;??_);_(@_)">
                  <c:v>-44203.277277707748</c:v>
                </c:pt>
                <c:pt idx="1104" formatCode="_(&quot;$&quot;* #,##0.00_);_(&quot;$&quot;* \(#,##0.00\);_(&quot;$&quot;* &quot;-&quot;??_);_(@_)">
                  <c:v>-44076.576304732749</c:v>
                </c:pt>
                <c:pt idx="1105" formatCode="_(&quot;$&quot;* #,##0.00_);_(&quot;$&quot;* \(#,##0.00\);_(&quot;$&quot;* &quot;-&quot;??_);_(@_)">
                  <c:v>-44036.729727145161</c:v>
                </c:pt>
                <c:pt idx="1106" formatCode="_(&quot;$&quot;* #,##0.00_);_(&quot;$&quot;* \(#,##0.00\);_(&quot;$&quot;* &quot;-&quot;??_);_(@_)">
                  <c:v>-44219.274632364926</c:v>
                </c:pt>
                <c:pt idx="1107" formatCode="_(&quot;$&quot;* #,##0.00_);_(&quot;$&quot;* \(#,##0.00\);_(&quot;$&quot;* &quot;-&quot;??_);_(@_)">
                  <c:v>-44248.13655625208</c:v>
                </c:pt>
                <c:pt idx="1108" formatCode="_(&quot;$&quot;* #,##0.00_);_(&quot;$&quot;* \(#,##0.00\);_(&quot;$&quot;* &quot;-&quot;??_);_(@_)">
                  <c:v>-44336.614469853383</c:v>
                </c:pt>
                <c:pt idx="1109" formatCode="_(&quot;$&quot;* #,##0.00_);_(&quot;$&quot;* \(#,##0.00\);_(&quot;$&quot;* &quot;-&quot;??_);_(@_)">
                  <c:v>-44456.759328357351</c:v>
                </c:pt>
                <c:pt idx="1110" formatCode="_(&quot;$&quot;* #,##0.00_);_(&quot;$&quot;* \(#,##0.00\);_(&quot;$&quot;* &quot;-&quot;??_);_(@_)">
                  <c:v>-44389.608049077331</c:v>
                </c:pt>
                <c:pt idx="1111" formatCode="_(&quot;$&quot;* #,##0.00_);_(&quot;$&quot;* \(#,##0.00\);_(&quot;$&quot;* &quot;-&quot;??_);_(@_)">
                  <c:v>-44454.458919786463</c:v>
                </c:pt>
                <c:pt idx="1112" formatCode="_(&quot;$&quot;* #,##0.00_);_(&quot;$&quot;* \(#,##0.00\);_(&quot;$&quot;* &quot;-&quot;??_);_(@_)">
                  <c:v>-44472.56116217636</c:v>
                </c:pt>
                <c:pt idx="1113" formatCode="_(&quot;$&quot;* #,##0.00_);_(&quot;$&quot;* \(#,##0.00\);_(&quot;$&quot;* &quot;-&quot;??_);_(@_)">
                  <c:v>-44241.052065347809</c:v>
                </c:pt>
                <c:pt idx="1114" formatCode="_(&quot;$&quot;* #,##0.00_);_(&quot;$&quot;* \(#,##0.00\);_(&quot;$&quot;* &quot;-&quot;??_);_(@_)">
                  <c:v>-44406.601084927453</c:v>
                </c:pt>
                <c:pt idx="1115" formatCode="_(&quot;$&quot;* #,##0.00_);_(&quot;$&quot;* \(#,##0.00\);_(&quot;$&quot;* &quot;-&quot;??_);_(@_)">
                  <c:v>-44506.098765414186</c:v>
                </c:pt>
                <c:pt idx="1116" formatCode="_(&quot;$&quot;* #,##0.00_);_(&quot;$&quot;* \(#,##0.00\);_(&quot;$&quot;* &quot;-&quot;??_);_(@_)">
                  <c:v>-44361.19717137215</c:v>
                </c:pt>
                <c:pt idx="1117" formatCode="_(&quot;$&quot;* #,##0.00_);_(&quot;$&quot;* \(#,##0.00\);_(&quot;$&quot;* &quot;-&quot;??_);_(@_)">
                  <c:v>-44425.441732728286</c:v>
                </c:pt>
                <c:pt idx="1118" formatCode="_(&quot;$&quot;* #,##0.00_);_(&quot;$&quot;* \(#,##0.00\);_(&quot;$&quot;* &quot;-&quot;??_);_(@_)">
                  <c:v>-44463.413842194313</c:v>
                </c:pt>
                <c:pt idx="1119" formatCode="_(&quot;$&quot;* #,##0.00_);_(&quot;$&quot;* \(#,##0.00\);_(&quot;$&quot;* &quot;-&quot;??_);_(@_)">
                  <c:v>-44257.497645681811</c:v>
                </c:pt>
                <c:pt idx="1120" formatCode="_(&quot;$&quot;* #,##0.00_);_(&quot;$&quot;* \(#,##0.00\);_(&quot;$&quot;* &quot;-&quot;??_);_(@_)">
                  <c:v>-44190.033928212179</c:v>
                </c:pt>
                <c:pt idx="1121" formatCode="_(&quot;$&quot;* #,##0.00_);_(&quot;$&quot;* \(#,##0.00\);_(&quot;$&quot;* &quot;-&quot;??_);_(@_)">
                  <c:v>-44169.154659320222</c:v>
                </c:pt>
                <c:pt idx="1122" formatCode="_(&quot;$&quot;* #,##0.00_);_(&quot;$&quot;* \(#,##0.00\);_(&quot;$&quot;* &quot;-&quot;??_);_(@_)">
                  <c:v>-44166.464391347065</c:v>
                </c:pt>
                <c:pt idx="1123" formatCode="_(&quot;$&quot;* #,##0.00_);_(&quot;$&quot;* \(#,##0.00\);_(&quot;$&quot;* &quot;-&quot;??_);_(@_)">
                  <c:v>-43999.558449959302</c:v>
                </c:pt>
                <c:pt idx="1124" formatCode="_(&quot;$&quot;* #,##0.00_);_(&quot;$&quot;* \(#,##0.00\);_(&quot;$&quot;* &quot;-&quot;??_);_(@_)">
                  <c:v>-43986.567273280678</c:v>
                </c:pt>
                <c:pt idx="1125" formatCode="_(&quot;$&quot;* #,##0.00_);_(&quot;$&quot;* \(#,##0.00\);_(&quot;$&quot;* &quot;-&quot;??_);_(@_)">
                  <c:v>-43991.887496084637</c:v>
                </c:pt>
                <c:pt idx="1126" formatCode="_(&quot;$&quot;* #,##0.00_);_(&quot;$&quot;* \(#,##0.00\);_(&quot;$&quot;* &quot;-&quot;??_);_(@_)">
                  <c:v>-43706.494895823591</c:v>
                </c:pt>
                <c:pt idx="1127" formatCode="_(&quot;$&quot;* #,##0.00_);_(&quot;$&quot;* \(#,##0.00\);_(&quot;$&quot;* &quot;-&quot;??_);_(@_)">
                  <c:v>-44045.951681815648</c:v>
                </c:pt>
                <c:pt idx="1128" formatCode="_(&quot;$&quot;* #,##0.00_);_(&quot;$&quot;* \(#,##0.00\);_(&quot;$&quot;* &quot;-&quot;??_);_(@_)">
                  <c:v>-43844.744621829064</c:v>
                </c:pt>
                <c:pt idx="1129" formatCode="_(&quot;$&quot;* #,##0.00_);_(&quot;$&quot;* \(#,##0.00\);_(&quot;$&quot;* &quot;-&quot;??_);_(@_)">
                  <c:v>-43712.102213390586</c:v>
                </c:pt>
                <c:pt idx="1130" formatCode="_(&quot;$&quot;* #,##0.00_);_(&quot;$&quot;* \(#,##0.00\);_(&quot;$&quot;* &quot;-&quot;??_);_(@_)">
                  <c:v>-44123.106259084059</c:v>
                </c:pt>
                <c:pt idx="1131" formatCode="_(&quot;$&quot;* #,##0.00_);_(&quot;$&quot;* \(#,##0.00\);_(&quot;$&quot;* &quot;-&quot;??_);_(@_)">
                  <c:v>-44109.730234815521</c:v>
                </c:pt>
                <c:pt idx="1132" formatCode="_(&quot;$&quot;* #,##0.00_);_(&quot;$&quot;* \(#,##0.00\);_(&quot;$&quot;* &quot;-&quot;??_);_(@_)">
                  <c:v>-43937.395863961414</c:v>
                </c:pt>
                <c:pt idx="1133" formatCode="_(&quot;$&quot;* #,##0.00_);_(&quot;$&quot;* \(#,##0.00\);_(&quot;$&quot;* &quot;-&quot;??_);_(@_)">
                  <c:v>-44025.336020867093</c:v>
                </c:pt>
                <c:pt idx="1134" formatCode="_(&quot;$&quot;* #,##0.00_);_(&quot;$&quot;* \(#,##0.00\);_(&quot;$&quot;* &quot;-&quot;??_);_(@_)">
                  <c:v>-44243.514254001486</c:v>
                </c:pt>
                <c:pt idx="1135" formatCode="_(&quot;$&quot;* #,##0.00_);_(&quot;$&quot;* \(#,##0.00\);_(&quot;$&quot;* &quot;-&quot;??_);_(@_)">
                  <c:v>-44452.81140895217</c:v>
                </c:pt>
                <c:pt idx="1136" formatCode="_(&quot;$&quot;* #,##0.00_);_(&quot;$&quot;* \(#,##0.00\);_(&quot;$&quot;* &quot;-&quot;??_);_(@_)">
                  <c:v>-44592.342826034845</c:v>
                </c:pt>
                <c:pt idx="1137" formatCode="_(&quot;$&quot;* #,##0.00_);_(&quot;$&quot;* \(#,##0.00\);_(&quot;$&quot;* &quot;-&quot;??_);_(@_)">
                  <c:v>-44670.824708966458</c:v>
                </c:pt>
                <c:pt idx="1138" formatCode="_(&quot;$&quot;* #,##0.00_);_(&quot;$&quot;* \(#,##0.00\);_(&quot;$&quot;* &quot;-&quot;??_);_(@_)">
                  <c:v>-44512.360595177815</c:v>
                </c:pt>
                <c:pt idx="1139" formatCode="_(&quot;$&quot;* #,##0.00_);_(&quot;$&quot;* \(#,##0.00\);_(&quot;$&quot;* &quot;-&quot;??_);_(@_)">
                  <c:v>-44620.787206826324</c:v>
                </c:pt>
                <c:pt idx="1140" formatCode="_(&quot;$&quot;* #,##0.00_);_(&quot;$&quot;* \(#,##0.00\);_(&quot;$&quot;* &quot;-&quot;??_);_(@_)">
                  <c:v>-44941.619690357722</c:v>
                </c:pt>
                <c:pt idx="1141" formatCode="_(&quot;$&quot;* #,##0.00_);_(&quot;$&quot;* \(#,##0.00\);_(&quot;$&quot;* &quot;-&quot;??_);_(@_)">
                  <c:v>-44946.640753410866</c:v>
                </c:pt>
                <c:pt idx="1142" formatCode="_(&quot;$&quot;* #,##0.00_);_(&quot;$&quot;* \(#,##0.00\);_(&quot;$&quot;* &quot;-&quot;??_);_(@_)">
                  <c:v>-45237.985235243388</c:v>
                </c:pt>
                <c:pt idx="1143" formatCode="_(&quot;$&quot;* #,##0.00_);_(&quot;$&quot;* \(#,##0.00\);_(&quot;$&quot;* &quot;-&quot;??_);_(@_)">
                  <c:v>-45091.006774708025</c:v>
                </c:pt>
                <c:pt idx="1144" formatCode="_(&quot;$&quot;* #,##0.00_);_(&quot;$&quot;* \(#,##0.00\);_(&quot;$&quot;* &quot;-&quot;??_);_(@_)">
                  <c:v>-44680.307615982703</c:v>
                </c:pt>
                <c:pt idx="1145" formatCode="_(&quot;$&quot;* #,##0.00_);_(&quot;$&quot;* \(#,##0.00\);_(&quot;$&quot;* &quot;-&quot;??_);_(@_)">
                  <c:v>-45105.967868911408</c:v>
                </c:pt>
                <c:pt idx="1146" formatCode="_(&quot;$&quot;* #,##0.00_);_(&quot;$&quot;* \(#,##0.00\);_(&quot;$&quot;* &quot;-&quot;??_);_(@_)">
                  <c:v>-45009.185337191775</c:v>
                </c:pt>
                <c:pt idx="1147" formatCode="_(&quot;$&quot;* #,##0.00_);_(&quot;$&quot;* \(#,##0.00\);_(&quot;$&quot;* &quot;-&quot;??_);_(@_)">
                  <c:v>-45061.454261300496</c:v>
                </c:pt>
                <c:pt idx="1148" formatCode="_(&quot;$&quot;* #,##0.00_);_(&quot;$&quot;* \(#,##0.00\);_(&quot;$&quot;* &quot;-&quot;??_);_(@_)">
                  <c:v>-45199.242981739102</c:v>
                </c:pt>
                <c:pt idx="1149" formatCode="_(&quot;$&quot;* #,##0.00_);_(&quot;$&quot;* \(#,##0.00\);_(&quot;$&quot;* &quot;-&quot;??_);_(@_)">
                  <c:v>-45400.17012892558</c:v>
                </c:pt>
                <c:pt idx="1150" formatCode="_(&quot;$&quot;* #,##0.00_);_(&quot;$&quot;* \(#,##0.00\);_(&quot;$&quot;* &quot;-&quot;??_);_(@_)">
                  <c:v>-45240.780863274798</c:v>
                </c:pt>
                <c:pt idx="1151" formatCode="_(&quot;$&quot;* #,##0.00_);_(&quot;$&quot;* \(#,##0.00\);_(&quot;$&quot;* &quot;-&quot;??_);_(@_)">
                  <c:v>-45134.138130453488</c:v>
                </c:pt>
                <c:pt idx="1152" formatCode="_(&quot;$&quot;* #,##0.00_);_(&quot;$&quot;* \(#,##0.00\);_(&quot;$&quot;* &quot;-&quot;??_);_(@_)">
                  <c:v>-45603.081592953269</c:v>
                </c:pt>
                <c:pt idx="1153" formatCode="_(&quot;$&quot;* #,##0.00_);_(&quot;$&quot;* \(#,##0.00\);_(&quot;$&quot;* &quot;-&quot;??_);_(@_)">
                  <c:v>-45943.987988729154</c:v>
                </c:pt>
                <c:pt idx="1154" formatCode="_(&quot;$&quot;* #,##0.00_);_(&quot;$&quot;* \(#,##0.00\);_(&quot;$&quot;* &quot;-&quot;??_);_(@_)">
                  <c:v>-45886.911332020842</c:v>
                </c:pt>
                <c:pt idx="1155" formatCode="_(&quot;$&quot;* #,##0.00_);_(&quot;$&quot;* \(#,##0.00\);_(&quot;$&quot;* &quot;-&quot;??_);_(@_)">
                  <c:v>-45991.012572700201</c:v>
                </c:pt>
                <c:pt idx="1156" formatCode="_(&quot;$&quot;* #,##0.00_);_(&quot;$&quot;* \(#,##0.00\);_(&quot;$&quot;* &quot;-&quot;??_);_(@_)">
                  <c:v>-45874.812241440486</c:v>
                </c:pt>
                <c:pt idx="1157" formatCode="_(&quot;$&quot;* #,##0.00_);_(&quot;$&quot;* \(#,##0.00\);_(&quot;$&quot;* &quot;-&quot;??_);_(@_)">
                  <c:v>-45850.195103565798</c:v>
                </c:pt>
                <c:pt idx="1158" formatCode="_(&quot;$&quot;* #,##0.00_);_(&quot;$&quot;* \(#,##0.00\);_(&quot;$&quot;* &quot;-&quot;??_);_(@_)">
                  <c:v>-45810.380817982339</c:v>
                </c:pt>
                <c:pt idx="1159" formatCode="_(&quot;$&quot;* #,##0.00_);_(&quot;$&quot;* \(#,##0.00\);_(&quot;$&quot;* &quot;-&quot;??_);_(@_)">
                  <c:v>-45931.71009897031</c:v>
                </c:pt>
                <c:pt idx="1160" formatCode="_(&quot;$&quot;* #,##0.00_);_(&quot;$&quot;* \(#,##0.00\);_(&quot;$&quot;* &quot;-&quot;??_);_(@_)">
                  <c:v>-46146.765094502349</c:v>
                </c:pt>
                <c:pt idx="1161" formatCode="_(&quot;$&quot;* #,##0.00_);_(&quot;$&quot;* \(#,##0.00\);_(&quot;$&quot;* &quot;-&quot;??_);_(@_)">
                  <c:v>-46069.388411632128</c:v>
                </c:pt>
                <c:pt idx="1162" formatCode="_(&quot;$&quot;* #,##0.00_);_(&quot;$&quot;* \(#,##0.00\);_(&quot;$&quot;* &quot;-&quot;??_);_(@_)">
                  <c:v>-46089.870573367225</c:v>
                </c:pt>
                <c:pt idx="1163" formatCode="_(&quot;$&quot;* #,##0.00_);_(&quot;$&quot;* \(#,##0.00\);_(&quot;$&quot;* &quot;-&quot;??_);_(@_)">
                  <c:v>-45455.278160442293</c:v>
                </c:pt>
                <c:pt idx="1164" formatCode="_(&quot;$&quot;* #,##0.00_);_(&quot;$&quot;* \(#,##0.00\);_(&quot;$&quot;* &quot;-&quot;??_);_(@_)">
                  <c:v>-46273.834864023098</c:v>
                </c:pt>
                <c:pt idx="1165" formatCode="_(&quot;$&quot;* #,##0.00_);_(&quot;$&quot;* \(#,##0.00\);_(&quot;$&quot;* &quot;-&quot;??_);_(@_)">
                  <c:v>-46151.202189796226</c:v>
                </c:pt>
                <c:pt idx="1166" formatCode="_(&quot;$&quot;* #,##0.00_);_(&quot;$&quot;* \(#,##0.00\);_(&quot;$&quot;* &quot;-&quot;??_);_(@_)">
                  <c:v>-46125.064933055502</c:v>
                </c:pt>
                <c:pt idx="1167" formatCode="_(&quot;$&quot;* #,##0.00_);_(&quot;$&quot;* \(#,##0.00\);_(&quot;$&quot;* &quot;-&quot;??_);_(@_)">
                  <c:v>-46268.130095349065</c:v>
                </c:pt>
                <c:pt idx="1168" formatCode="_(&quot;$&quot;* #,##0.00_);_(&quot;$&quot;* \(#,##0.00\);_(&quot;$&quot;* &quot;-&quot;??_);_(@_)">
                  <c:v>-46402.002831754959</c:v>
                </c:pt>
                <c:pt idx="1169" formatCode="_(&quot;$&quot;* #,##0.00_);_(&quot;$&quot;* \(#,##0.00\);_(&quot;$&quot;* &quot;-&quot;??_);_(@_)">
                  <c:v>-46499.460985228136</c:v>
                </c:pt>
                <c:pt idx="1170" formatCode="_(&quot;$&quot;* #,##0.00_);_(&quot;$&quot;* \(#,##0.00\);_(&quot;$&quot;* &quot;-&quot;??_);_(@_)">
                  <c:v>-46518.126315339316</c:v>
                </c:pt>
                <c:pt idx="1171" formatCode="_(&quot;$&quot;* #,##0.00_);_(&quot;$&quot;* \(#,##0.00\);_(&quot;$&quot;* &quot;-&quot;??_);_(@_)">
                  <c:v>-46551.933591030211</c:v>
                </c:pt>
                <c:pt idx="1172" formatCode="_(&quot;$&quot;* #,##0.00_);_(&quot;$&quot;* \(#,##0.00\);_(&quot;$&quot;* &quot;-&quot;??_);_(@_)">
                  <c:v>-46636.672303443374</c:v>
                </c:pt>
                <c:pt idx="1173" formatCode="_(&quot;$&quot;* #,##0.00_);_(&quot;$&quot;* \(#,##0.00\);_(&quot;$&quot;* &quot;-&quot;??_);_(@_)">
                  <c:v>-47184.152582169423</c:v>
                </c:pt>
                <c:pt idx="1174" formatCode="_(&quot;$&quot;* #,##0.00_);_(&quot;$&quot;* \(#,##0.00\);_(&quot;$&quot;* &quot;-&quot;??_);_(@_)">
                  <c:v>-47317.642857806823</c:v>
                </c:pt>
                <c:pt idx="1175" formatCode="_(&quot;$&quot;* #,##0.00_);_(&quot;$&quot;* \(#,##0.00\);_(&quot;$&quot;* &quot;-&quot;??_);_(@_)">
                  <c:v>-47589.893865672937</c:v>
                </c:pt>
                <c:pt idx="1176" formatCode="_(&quot;$&quot;* #,##0.00_);_(&quot;$&quot;* \(#,##0.00\);_(&quot;$&quot;* &quot;-&quot;??_);_(@_)">
                  <c:v>-47903.949176899478</c:v>
                </c:pt>
                <c:pt idx="1177" formatCode="_(&quot;$&quot;* #,##0.00_);_(&quot;$&quot;* \(#,##0.00\);_(&quot;$&quot;* &quot;-&quot;??_);_(@_)">
                  <c:v>-48307.847747677362</c:v>
                </c:pt>
                <c:pt idx="1178" formatCode="_(&quot;$&quot;* #,##0.00_);_(&quot;$&quot;* \(#,##0.00\);_(&quot;$&quot;* &quot;-&quot;??_);_(@_)">
                  <c:v>-48427.129647361813</c:v>
                </c:pt>
                <c:pt idx="1179" formatCode="_(&quot;$&quot;* #,##0.00_);_(&quot;$&quot;* \(#,##0.00\);_(&quot;$&quot;* &quot;-&quot;??_);_(@_)">
                  <c:v>-48362.640847348164</c:v>
                </c:pt>
                <c:pt idx="1180" formatCode="_(&quot;$&quot;* #,##0.00_);_(&quot;$&quot;* \(#,##0.00\);_(&quot;$&quot;* &quot;-&quot;??_);_(@_)">
                  <c:v>-48556.447661708327</c:v>
                </c:pt>
                <c:pt idx="1181" formatCode="_(&quot;$&quot;* #,##0.00_);_(&quot;$&quot;* \(#,##0.00\);_(&quot;$&quot;* &quot;-&quot;??_);_(@_)">
                  <c:v>-48350.780660395896</c:v>
                </c:pt>
                <c:pt idx="1182" formatCode="_(&quot;$&quot;* #,##0.00_);_(&quot;$&quot;* \(#,##0.00\);_(&quot;$&quot;* &quot;-&quot;??_);_(@_)">
                  <c:v>-48650.204339478958</c:v>
                </c:pt>
                <c:pt idx="1183" formatCode="_(&quot;$&quot;* #,##0.00_);_(&quot;$&quot;* \(#,##0.00\);_(&quot;$&quot;* &quot;-&quot;??_);_(@_)">
                  <c:v>-48794.668923160054</c:v>
                </c:pt>
                <c:pt idx="1184" formatCode="_(&quot;$&quot;* #,##0.00_);_(&quot;$&quot;* \(#,##0.00\);_(&quot;$&quot;* &quot;-&quot;??_);_(@_)">
                  <c:v>-48671.288559295062</c:v>
                </c:pt>
                <c:pt idx="1185" formatCode="_(&quot;$&quot;* #,##0.00_);_(&quot;$&quot;* \(#,##0.00\);_(&quot;$&quot;* &quot;-&quot;??_);_(@_)">
                  <c:v>-49067.360699200704</c:v>
                </c:pt>
                <c:pt idx="1186" formatCode="_(&quot;$&quot;* #,##0.00_);_(&quot;$&quot;* \(#,##0.00\);_(&quot;$&quot;* &quot;-&quot;??_);_(@_)">
                  <c:v>-48984.446992916666</c:v>
                </c:pt>
                <c:pt idx="1187" formatCode="_(&quot;$&quot;* #,##0.00_);_(&quot;$&quot;* \(#,##0.00\);_(&quot;$&quot;* &quot;-&quot;??_);_(@_)">
                  <c:v>-49025.139047083794</c:v>
                </c:pt>
                <c:pt idx="1188" formatCode="_(&quot;$&quot;* #,##0.00_);_(&quot;$&quot;* \(#,##0.00\);_(&quot;$&quot;* &quot;-&quot;??_);_(@_)">
                  <c:v>-48658.272883898695</c:v>
                </c:pt>
                <c:pt idx="1189" formatCode="_(&quot;$&quot;* #,##0.00_);_(&quot;$&quot;* \(#,##0.00\);_(&quot;$&quot;* &quot;-&quot;??_);_(@_)">
                  <c:v>-48977.845116177676</c:v>
                </c:pt>
                <c:pt idx="1190" formatCode="_(&quot;$&quot;* #,##0.00_);_(&quot;$&quot;* \(#,##0.00\);_(&quot;$&quot;* &quot;-&quot;??_);_(@_)">
                  <c:v>-48608.839725599253</c:v>
                </c:pt>
                <c:pt idx="1191" formatCode="_(&quot;$&quot;* #,##0.00_);_(&quot;$&quot;* \(#,##0.00\);_(&quot;$&quot;* &quot;-&quot;??_);_(@_)">
                  <c:v>-48867.604421778364</c:v>
                </c:pt>
                <c:pt idx="1192" formatCode="_(&quot;$&quot;* #,##0.00_);_(&quot;$&quot;* \(#,##0.00\);_(&quot;$&quot;* &quot;-&quot;??_);_(@_)">
                  <c:v>-48984.978410591721</c:v>
                </c:pt>
                <c:pt idx="1193" formatCode="_(&quot;$&quot;* #,##0.00_);_(&quot;$&quot;* \(#,##0.00\);_(&quot;$&quot;* &quot;-&quot;??_);_(@_)">
                  <c:v>-48781.42162067238</c:v>
                </c:pt>
                <c:pt idx="1194" formatCode="_(&quot;$&quot;* #,##0.00_);_(&quot;$&quot;* \(#,##0.00\);_(&quot;$&quot;* &quot;-&quot;??_);_(@_)">
                  <c:v>-48933.364394179254</c:v>
                </c:pt>
                <c:pt idx="1195" formatCode="_(&quot;$&quot;* #,##0.00_);_(&quot;$&quot;* \(#,##0.00\);_(&quot;$&quot;* &quot;-&quot;??_);_(@_)">
                  <c:v>-49179.100897898912</c:v>
                </c:pt>
                <c:pt idx="1196" formatCode="_(&quot;$&quot;* #,##0.00_);_(&quot;$&quot;* \(#,##0.00\);_(&quot;$&quot;* &quot;-&quot;??_);_(@_)">
                  <c:v>-49206.816521827823</c:v>
                </c:pt>
                <c:pt idx="1197" formatCode="_(&quot;$&quot;* #,##0.00_);_(&quot;$&quot;* \(#,##0.00\);_(&quot;$&quot;* &quot;-&quot;??_);_(@_)">
                  <c:v>-48934.174480672787</c:v>
                </c:pt>
                <c:pt idx="1198" formatCode="_(&quot;$&quot;* #,##0.00_);_(&quot;$&quot;* \(#,##0.00\);_(&quot;$&quot;* &quot;-&quot;??_);_(@_)">
                  <c:v>-48926.363176819519</c:v>
                </c:pt>
                <c:pt idx="1199" formatCode="_(&quot;$&quot;* #,##0.00_);_(&quot;$&quot;* \(#,##0.00\);_(&quot;$&quot;* &quot;-&quot;??_);_(@_)">
                  <c:v>-49142.174334168703</c:v>
                </c:pt>
                <c:pt idx="1200" formatCode="_(&quot;$&quot;* #,##0.00_);_(&quot;$&quot;* \(#,##0.00\);_(&quot;$&quot;* &quot;-&quot;??_);_(@_)">
                  <c:v>-48984.980553280715</c:v>
                </c:pt>
                <c:pt idx="1201" formatCode="_(&quot;$&quot;* #,##0.00_);_(&quot;$&quot;* \(#,##0.00\);_(&quot;$&quot;* &quot;-&quot;??_);_(@_)">
                  <c:v>-49082.845493905894</c:v>
                </c:pt>
                <c:pt idx="1202" formatCode="_(&quot;$&quot;* #,##0.00_);_(&quot;$&quot;* \(#,##0.00\);_(&quot;$&quot;* &quot;-&quot;??_);_(@_)">
                  <c:v>-49018.039291524983</c:v>
                </c:pt>
                <c:pt idx="1203" formatCode="_(&quot;$&quot;* #,##0.00_);_(&quot;$&quot;* \(#,##0.00\);_(&quot;$&quot;* &quot;-&quot;??_);_(@_)">
                  <c:v>-48775.212302436514</c:v>
                </c:pt>
                <c:pt idx="1204" formatCode="_(&quot;$&quot;* #,##0.00_);_(&quot;$&quot;* \(#,##0.00\);_(&quot;$&quot;* &quot;-&quot;??_);_(@_)">
                  <c:v>-48891.734072139217</c:v>
                </c:pt>
                <c:pt idx="1205" formatCode="_(&quot;$&quot;* #,##0.00_);_(&quot;$&quot;* \(#,##0.00\);_(&quot;$&quot;* &quot;-&quot;??_);_(@_)">
                  <c:v>-49257.518092824772</c:v>
                </c:pt>
                <c:pt idx="1206" formatCode="_(&quot;$&quot;* #,##0.00_);_(&quot;$&quot;* \(#,##0.00\);_(&quot;$&quot;* &quot;-&quot;??_);_(@_)">
                  <c:v>-49128.985528954705</c:v>
                </c:pt>
                <c:pt idx="1207" formatCode="_(&quot;$&quot;* #,##0.00_);_(&quot;$&quot;* \(#,##0.00\);_(&quot;$&quot;* &quot;-&quot;??_);_(@_)">
                  <c:v>-49514.48680648255</c:v>
                </c:pt>
                <c:pt idx="1208" formatCode="_(&quot;$&quot;* #,##0.00_);_(&quot;$&quot;* \(#,##0.00\);_(&quot;$&quot;* &quot;-&quot;??_);_(@_)">
                  <c:v>-49675.963463760127</c:v>
                </c:pt>
                <c:pt idx="1209" formatCode="_(&quot;$&quot;* #,##0.00_);_(&quot;$&quot;* \(#,##0.00\);_(&quot;$&quot;* &quot;-&quot;??_);_(@_)">
                  <c:v>-49863.301035657038</c:v>
                </c:pt>
                <c:pt idx="1210" formatCode="_(&quot;$&quot;* #,##0.00_);_(&quot;$&quot;* \(#,##0.00\);_(&quot;$&quot;* &quot;-&quot;??_);_(@_)">
                  <c:v>-49964.516590240702</c:v>
                </c:pt>
                <c:pt idx="1211" formatCode="_(&quot;$&quot;* #,##0.00_);_(&quot;$&quot;* \(#,##0.00\);_(&quot;$&quot;* &quot;-&quot;??_);_(@_)">
                  <c:v>-49810.464771203951</c:v>
                </c:pt>
                <c:pt idx="1212" formatCode="_(&quot;$&quot;* #,##0.00_);_(&quot;$&quot;* \(#,##0.00\);_(&quot;$&quot;* &quot;-&quot;??_);_(@_)">
                  <c:v>-50006.853237905852</c:v>
                </c:pt>
                <c:pt idx="1213" formatCode="_(&quot;$&quot;* #,##0.00_);_(&quot;$&quot;* \(#,##0.00\);_(&quot;$&quot;* &quot;-&quot;??_);_(@_)">
                  <c:v>-49917.390174906301</c:v>
                </c:pt>
                <c:pt idx="1214" formatCode="_(&quot;$&quot;* #,##0.00_);_(&quot;$&quot;* \(#,##0.00\);_(&quot;$&quot;* &quot;-&quot;??_);_(@_)">
                  <c:v>-50207.056098186193</c:v>
                </c:pt>
                <c:pt idx="1215" formatCode="_(&quot;$&quot;* #,##0.00_);_(&quot;$&quot;* \(#,##0.00\);_(&quot;$&quot;* &quot;-&quot;??_);_(@_)">
                  <c:v>-50270.631768724059</c:v>
                </c:pt>
                <c:pt idx="1216" formatCode="_(&quot;$&quot;* #,##0.00_);_(&quot;$&quot;* \(#,##0.00\);_(&quot;$&quot;* &quot;-&quot;??_);_(@_)">
                  <c:v>-50431.886638203621</c:v>
                </c:pt>
                <c:pt idx="1217" formatCode="_(&quot;$&quot;* #,##0.00_);_(&quot;$&quot;* \(#,##0.00\);_(&quot;$&quot;* &quot;-&quot;??_);_(@_)">
                  <c:v>-50271.553077767079</c:v>
                </c:pt>
                <c:pt idx="1218" formatCode="_(&quot;$&quot;* #,##0.00_);_(&quot;$&quot;* \(#,##0.00\);_(&quot;$&quot;* &quot;-&quot;??_);_(@_)">
                  <c:v>-50348.328761733843</c:v>
                </c:pt>
                <c:pt idx="1219" formatCode="_(&quot;$&quot;* #,##0.00_);_(&quot;$&quot;* \(#,##0.00\);_(&quot;$&quot;* &quot;-&quot;??_);_(@_)">
                  <c:v>-50232.06779859557</c:v>
                </c:pt>
                <c:pt idx="1220" formatCode="_(&quot;$&quot;* #,##0.00_);_(&quot;$&quot;* \(#,##0.00\);_(&quot;$&quot;* &quot;-&quot;??_);_(@_)">
                  <c:v>-50140.588380625712</c:v>
                </c:pt>
                <c:pt idx="1221" formatCode="_(&quot;$&quot;* #,##0.00_);_(&quot;$&quot;* \(#,##0.00\);_(&quot;$&quot;* &quot;-&quot;??_);_(@_)">
                  <c:v>-49979.800175176708</c:v>
                </c:pt>
                <c:pt idx="1222" formatCode="_(&quot;$&quot;* #,##0.00_);_(&quot;$&quot;* \(#,##0.00\);_(&quot;$&quot;* &quot;-&quot;??_);_(@_)">
                  <c:v>-49952.892809754376</c:v>
                </c:pt>
                <c:pt idx="1223" formatCode="_(&quot;$&quot;* #,##0.00_);_(&quot;$&quot;* \(#,##0.00\);_(&quot;$&quot;* &quot;-&quot;??_);_(@_)">
                  <c:v>-49986.07262172558</c:v>
                </c:pt>
                <c:pt idx="1224" formatCode="_(&quot;$&quot;* #,##0.00_);_(&quot;$&quot;* \(#,##0.00\);_(&quot;$&quot;* &quot;-&quot;??_);_(@_)">
                  <c:v>-49951.974302986389</c:v>
                </c:pt>
                <c:pt idx="1225" formatCode="_(&quot;$&quot;* #,##0.00_);_(&quot;$&quot;* \(#,##0.00\);_(&quot;$&quot;* &quot;-&quot;??_);_(@_)">
                  <c:v>-49915.620224838283</c:v>
                </c:pt>
                <c:pt idx="1226" formatCode="_(&quot;$&quot;* #,##0.00_);_(&quot;$&quot;* \(#,##0.00\);_(&quot;$&quot;* &quot;-&quot;??_);_(@_)">
                  <c:v>-49786.762607973411</c:v>
                </c:pt>
                <c:pt idx="1227" formatCode="_(&quot;$&quot;* #,##0.00_);_(&quot;$&quot;* \(#,##0.00\);_(&quot;$&quot;* &quot;-&quot;??_);_(@_)">
                  <c:v>-49651.642375349111</c:v>
                </c:pt>
                <c:pt idx="1228" formatCode="_(&quot;$&quot;* #,##0.00_);_(&quot;$&quot;* \(#,##0.00\);_(&quot;$&quot;* &quot;-&quot;??_);_(@_)">
                  <c:v>-49722.009549012306</c:v>
                </c:pt>
                <c:pt idx="1229" formatCode="_(&quot;$&quot;* #,##0.00_);_(&quot;$&quot;* \(#,##0.00\);_(&quot;$&quot;* &quot;-&quot;??_);_(@_)">
                  <c:v>-50007.872990028052</c:v>
                </c:pt>
                <c:pt idx="1230" formatCode="_(&quot;$&quot;* #,##0.00_);_(&quot;$&quot;* \(#,##0.00\);_(&quot;$&quot;* &quot;-&quot;??_);_(@_)">
                  <c:v>-49744.931021705605</c:v>
                </c:pt>
                <c:pt idx="1231" formatCode="_(&quot;$&quot;* #,##0.00_);_(&quot;$&quot;* \(#,##0.00\);_(&quot;$&quot;* &quot;-&quot;??_);_(@_)">
                  <c:v>-49550.918717361325</c:v>
                </c:pt>
                <c:pt idx="1232" formatCode="_(&quot;$&quot;* #,##0.00_);_(&quot;$&quot;* \(#,##0.00\);_(&quot;$&quot;* &quot;-&quot;??_);_(@_)">
                  <c:v>-49451.256155900184</c:v>
                </c:pt>
                <c:pt idx="1233" formatCode="_(&quot;$&quot;* #,##0.00_);_(&quot;$&quot;* \(#,##0.00\);_(&quot;$&quot;* &quot;-&quot;??_);_(@_)">
                  <c:v>-49788.449896043974</c:v>
                </c:pt>
                <c:pt idx="1234" formatCode="_(&quot;$&quot;* #,##0.00_);_(&quot;$&quot;* \(#,##0.00\);_(&quot;$&quot;* &quot;-&quot;??_);_(@_)">
                  <c:v>-49608.419174548828</c:v>
                </c:pt>
                <c:pt idx="1235" formatCode="_(&quot;$&quot;* #,##0.00_);_(&quot;$&quot;* \(#,##0.00\);_(&quot;$&quot;* &quot;-&quot;??_);_(@_)">
                  <c:v>-49613.737508761449</c:v>
                </c:pt>
                <c:pt idx="1236" formatCode="_(&quot;$&quot;* #,##0.00_);_(&quot;$&quot;* \(#,##0.00\);_(&quot;$&quot;* &quot;-&quot;??_);_(@_)">
                  <c:v>-49507.40211675904</c:v>
                </c:pt>
                <c:pt idx="1237" formatCode="_(&quot;$&quot;* #,##0.00_);_(&quot;$&quot;* \(#,##0.00\);_(&quot;$&quot;* &quot;-&quot;??_);_(@_)">
                  <c:v>-49546.560738775559</c:v>
                </c:pt>
                <c:pt idx="1238" formatCode="_(&quot;$&quot;* #,##0.00_);_(&quot;$&quot;* \(#,##0.00\);_(&quot;$&quot;* &quot;-&quot;??_);_(@_)">
                  <c:v>-49499.654167444947</c:v>
                </c:pt>
                <c:pt idx="1239" formatCode="_(&quot;$&quot;* #,##0.00_);_(&quot;$&quot;* \(#,##0.00\);_(&quot;$&quot;* &quot;-&quot;??_);_(@_)">
                  <c:v>-49628.086342741684</c:v>
                </c:pt>
                <c:pt idx="1240" formatCode="_(&quot;$&quot;* #,##0.00_);_(&quot;$&quot;* \(#,##0.00\);_(&quot;$&quot;* &quot;-&quot;??_);_(@_)">
                  <c:v>-49583.978298512426</c:v>
                </c:pt>
                <c:pt idx="1241" formatCode="_(&quot;$&quot;* #,##0.00_);_(&quot;$&quot;* \(#,##0.00\);_(&quot;$&quot;* &quot;-&quot;??_);_(@_)">
                  <c:v>-49178.085932014365</c:v>
                </c:pt>
                <c:pt idx="1242" formatCode="_(&quot;$&quot;* #,##0.00_);_(&quot;$&quot;* \(#,##0.00\);_(&quot;$&quot;* &quot;-&quot;??_);_(@_)">
                  <c:v>-49656.971761823799</c:v>
                </c:pt>
                <c:pt idx="1243" formatCode="_(&quot;$&quot;* #,##0.00_);_(&quot;$&quot;* \(#,##0.00\);_(&quot;$&quot;* &quot;-&quot;??_);_(@_)">
                  <c:v>-49931.488475476639</c:v>
                </c:pt>
                <c:pt idx="1244" formatCode="_(&quot;$&quot;* #,##0.00_);_(&quot;$&quot;* \(#,##0.00\);_(&quot;$&quot;* &quot;-&quot;??_);_(@_)">
                  <c:v>-50148.462846918337</c:v>
                </c:pt>
                <c:pt idx="1245" formatCode="_(&quot;$&quot;* #,##0.00_);_(&quot;$&quot;* \(#,##0.00\);_(&quot;$&quot;* &quot;-&quot;??_);_(@_)">
                  <c:v>-50013.893592759014</c:v>
                </c:pt>
                <c:pt idx="1246" formatCode="_(&quot;$&quot;* #,##0.00_);_(&quot;$&quot;* \(#,##0.00\);_(&quot;$&quot;* &quot;-&quot;??_);_(@_)">
                  <c:v>-49637.467323943099</c:v>
                </c:pt>
                <c:pt idx="1247" formatCode="_(&quot;$&quot;* #,##0.00_);_(&quot;$&quot;* \(#,##0.00\);_(&quot;$&quot;* &quot;-&quot;??_);_(@_)">
                  <c:v>-49602.669065877279</c:v>
                </c:pt>
                <c:pt idx="1248" formatCode="_(&quot;$&quot;* #,##0.00_);_(&quot;$&quot;* \(#,##0.00\);_(&quot;$&quot;* &quot;-&quot;??_);_(@_)">
                  <c:v>-49825.392402479134</c:v>
                </c:pt>
                <c:pt idx="1249" formatCode="_(&quot;$&quot;* #,##0.00_);_(&quot;$&quot;* \(#,##0.00\);_(&quot;$&quot;* &quot;-&quot;??_);_(@_)">
                  <c:v>-49338.379186919643</c:v>
                </c:pt>
                <c:pt idx="1250" formatCode="_(&quot;$&quot;* #,##0.00_);_(&quot;$&quot;* \(#,##0.00\);_(&quot;$&quot;* &quot;-&quot;??_);_(@_)">
                  <c:v>-49575.054304937446</c:v>
                </c:pt>
                <c:pt idx="1251" formatCode="_(&quot;$&quot;* #,##0.00_);_(&quot;$&quot;* \(#,##0.00\);_(&quot;$&quot;* &quot;-&quot;??_);_(@_)">
                  <c:v>-49336.699023239227</c:v>
                </c:pt>
                <c:pt idx="1252" formatCode="_(&quot;$&quot;* #,##0.00_);_(&quot;$&quot;* \(#,##0.00\);_(&quot;$&quot;* &quot;-&quot;??_);_(@_)">
                  <c:v>-49415.968197550195</c:v>
                </c:pt>
                <c:pt idx="1253" formatCode="_(&quot;$&quot;* #,##0.00_);_(&quot;$&quot;* \(#,##0.00\);_(&quot;$&quot;* &quot;-&quot;??_);_(@_)">
                  <c:v>-49488.682827935598</c:v>
                </c:pt>
                <c:pt idx="1254" formatCode="_(&quot;$&quot;* #,##0.00_);_(&quot;$&quot;* \(#,##0.00\);_(&quot;$&quot;* &quot;-&quot;??_);_(@_)">
                  <c:v>-49548.774959360671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C4-4E17-8396-4845B188F6A2}"/>
            </c:ext>
          </c:extLst>
        </c:ser>
        <c:ser>
          <c:idx val="1"/>
          <c:order val="1"/>
          <c:tx>
            <c:strRef>
              <c:f>'SPY vs RSP'!$Z$2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'SPY vs RSP'!$A$3:$A$1257</c:f>
              <c:numCache>
                <c:formatCode>m/d/yyyy</c:formatCode>
                <c:ptCount val="1255"/>
                <c:pt idx="0">
                  <c:v>44417</c:v>
                </c:pt>
                <c:pt idx="1">
                  <c:v>44418</c:v>
                </c:pt>
                <c:pt idx="2">
                  <c:v>44419</c:v>
                </c:pt>
                <c:pt idx="3">
                  <c:v>44420</c:v>
                </c:pt>
                <c:pt idx="4">
                  <c:v>44421</c:v>
                </c:pt>
                <c:pt idx="5">
                  <c:v>44424</c:v>
                </c:pt>
                <c:pt idx="6">
                  <c:v>44425</c:v>
                </c:pt>
                <c:pt idx="7">
                  <c:v>44426</c:v>
                </c:pt>
                <c:pt idx="8">
                  <c:v>44427</c:v>
                </c:pt>
                <c:pt idx="9">
                  <c:v>44428</c:v>
                </c:pt>
                <c:pt idx="10">
                  <c:v>44431</c:v>
                </c:pt>
                <c:pt idx="11">
                  <c:v>44432</c:v>
                </c:pt>
                <c:pt idx="12">
                  <c:v>44433</c:v>
                </c:pt>
                <c:pt idx="13">
                  <c:v>44434</c:v>
                </c:pt>
                <c:pt idx="14">
                  <c:v>44435</c:v>
                </c:pt>
                <c:pt idx="15">
                  <c:v>44438</c:v>
                </c:pt>
                <c:pt idx="16">
                  <c:v>44439</c:v>
                </c:pt>
                <c:pt idx="17">
                  <c:v>44440</c:v>
                </c:pt>
                <c:pt idx="18">
                  <c:v>44441</c:v>
                </c:pt>
                <c:pt idx="19">
                  <c:v>44442</c:v>
                </c:pt>
                <c:pt idx="20">
                  <c:v>44446</c:v>
                </c:pt>
                <c:pt idx="21">
                  <c:v>44447</c:v>
                </c:pt>
                <c:pt idx="22">
                  <c:v>44448</c:v>
                </c:pt>
                <c:pt idx="23">
                  <c:v>44449</c:v>
                </c:pt>
                <c:pt idx="24">
                  <c:v>44452</c:v>
                </c:pt>
                <c:pt idx="25">
                  <c:v>44453</c:v>
                </c:pt>
                <c:pt idx="26">
                  <c:v>44454</c:v>
                </c:pt>
                <c:pt idx="27">
                  <c:v>44455</c:v>
                </c:pt>
                <c:pt idx="28">
                  <c:v>44456</c:v>
                </c:pt>
                <c:pt idx="29">
                  <c:v>44459</c:v>
                </c:pt>
                <c:pt idx="30">
                  <c:v>44460</c:v>
                </c:pt>
                <c:pt idx="31">
                  <c:v>44461</c:v>
                </c:pt>
                <c:pt idx="32">
                  <c:v>44462</c:v>
                </c:pt>
                <c:pt idx="33">
                  <c:v>44463</c:v>
                </c:pt>
                <c:pt idx="34">
                  <c:v>44466</c:v>
                </c:pt>
                <c:pt idx="35">
                  <c:v>44467</c:v>
                </c:pt>
                <c:pt idx="36">
                  <c:v>44468</c:v>
                </c:pt>
                <c:pt idx="37">
                  <c:v>44469</c:v>
                </c:pt>
                <c:pt idx="38">
                  <c:v>44470</c:v>
                </c:pt>
                <c:pt idx="39">
                  <c:v>44473</c:v>
                </c:pt>
                <c:pt idx="40">
                  <c:v>44474</c:v>
                </c:pt>
                <c:pt idx="41">
                  <c:v>44475</c:v>
                </c:pt>
                <c:pt idx="42">
                  <c:v>44476</c:v>
                </c:pt>
                <c:pt idx="43">
                  <c:v>44477</c:v>
                </c:pt>
                <c:pt idx="44">
                  <c:v>44480</c:v>
                </c:pt>
                <c:pt idx="45">
                  <c:v>44481</c:v>
                </c:pt>
                <c:pt idx="46">
                  <c:v>44482</c:v>
                </c:pt>
                <c:pt idx="47">
                  <c:v>44483</c:v>
                </c:pt>
                <c:pt idx="48">
                  <c:v>44484</c:v>
                </c:pt>
                <c:pt idx="49">
                  <c:v>44487</c:v>
                </c:pt>
                <c:pt idx="50">
                  <c:v>44488</c:v>
                </c:pt>
                <c:pt idx="51">
                  <c:v>44489</c:v>
                </c:pt>
                <c:pt idx="52">
                  <c:v>44490</c:v>
                </c:pt>
                <c:pt idx="53">
                  <c:v>44491</c:v>
                </c:pt>
                <c:pt idx="54">
                  <c:v>44494</c:v>
                </c:pt>
                <c:pt idx="55">
                  <c:v>44495</c:v>
                </c:pt>
                <c:pt idx="56">
                  <c:v>44496</c:v>
                </c:pt>
                <c:pt idx="57">
                  <c:v>44497</c:v>
                </c:pt>
                <c:pt idx="58">
                  <c:v>44498</c:v>
                </c:pt>
                <c:pt idx="59">
                  <c:v>44501</c:v>
                </c:pt>
                <c:pt idx="60">
                  <c:v>44502</c:v>
                </c:pt>
                <c:pt idx="61">
                  <c:v>44503</c:v>
                </c:pt>
                <c:pt idx="62">
                  <c:v>44504</c:v>
                </c:pt>
                <c:pt idx="63">
                  <c:v>44505</c:v>
                </c:pt>
                <c:pt idx="64">
                  <c:v>44508</c:v>
                </c:pt>
                <c:pt idx="65">
                  <c:v>44509</c:v>
                </c:pt>
                <c:pt idx="66">
                  <c:v>44510</c:v>
                </c:pt>
                <c:pt idx="67">
                  <c:v>44511</c:v>
                </c:pt>
                <c:pt idx="68">
                  <c:v>44512</c:v>
                </c:pt>
                <c:pt idx="69">
                  <c:v>44515</c:v>
                </c:pt>
                <c:pt idx="70">
                  <c:v>44516</c:v>
                </c:pt>
                <c:pt idx="71">
                  <c:v>44517</c:v>
                </c:pt>
                <c:pt idx="72">
                  <c:v>44518</c:v>
                </c:pt>
                <c:pt idx="73">
                  <c:v>44519</c:v>
                </c:pt>
                <c:pt idx="74">
                  <c:v>44522</c:v>
                </c:pt>
                <c:pt idx="75">
                  <c:v>44523</c:v>
                </c:pt>
                <c:pt idx="76">
                  <c:v>44524</c:v>
                </c:pt>
                <c:pt idx="77">
                  <c:v>44526</c:v>
                </c:pt>
                <c:pt idx="78">
                  <c:v>44529</c:v>
                </c:pt>
                <c:pt idx="79">
                  <c:v>44530</c:v>
                </c:pt>
                <c:pt idx="80">
                  <c:v>44531</c:v>
                </c:pt>
                <c:pt idx="81">
                  <c:v>44532</c:v>
                </c:pt>
                <c:pt idx="82">
                  <c:v>44533</c:v>
                </c:pt>
                <c:pt idx="83">
                  <c:v>44536</c:v>
                </c:pt>
                <c:pt idx="84">
                  <c:v>44537</c:v>
                </c:pt>
                <c:pt idx="85">
                  <c:v>44538</c:v>
                </c:pt>
                <c:pt idx="86">
                  <c:v>44539</c:v>
                </c:pt>
                <c:pt idx="87">
                  <c:v>44540</c:v>
                </c:pt>
                <c:pt idx="88">
                  <c:v>44543</c:v>
                </c:pt>
                <c:pt idx="89">
                  <c:v>44544</c:v>
                </c:pt>
                <c:pt idx="90">
                  <c:v>44545</c:v>
                </c:pt>
                <c:pt idx="91">
                  <c:v>44546</c:v>
                </c:pt>
                <c:pt idx="92">
                  <c:v>44547</c:v>
                </c:pt>
                <c:pt idx="93">
                  <c:v>44550</c:v>
                </c:pt>
                <c:pt idx="94">
                  <c:v>44551</c:v>
                </c:pt>
                <c:pt idx="95">
                  <c:v>44552</c:v>
                </c:pt>
                <c:pt idx="96">
                  <c:v>44553</c:v>
                </c:pt>
                <c:pt idx="97">
                  <c:v>44557</c:v>
                </c:pt>
                <c:pt idx="98">
                  <c:v>44558</c:v>
                </c:pt>
                <c:pt idx="99">
                  <c:v>44559</c:v>
                </c:pt>
                <c:pt idx="100">
                  <c:v>44560</c:v>
                </c:pt>
                <c:pt idx="101">
                  <c:v>44561</c:v>
                </c:pt>
                <c:pt idx="102">
                  <c:v>44564</c:v>
                </c:pt>
                <c:pt idx="103">
                  <c:v>44565</c:v>
                </c:pt>
                <c:pt idx="104">
                  <c:v>44566</c:v>
                </c:pt>
                <c:pt idx="105">
                  <c:v>44567</c:v>
                </c:pt>
                <c:pt idx="106">
                  <c:v>44568</c:v>
                </c:pt>
                <c:pt idx="107">
                  <c:v>44571</c:v>
                </c:pt>
                <c:pt idx="108">
                  <c:v>44572</c:v>
                </c:pt>
                <c:pt idx="109">
                  <c:v>44573</c:v>
                </c:pt>
                <c:pt idx="110">
                  <c:v>44574</c:v>
                </c:pt>
                <c:pt idx="111">
                  <c:v>44575</c:v>
                </c:pt>
                <c:pt idx="112">
                  <c:v>44579</c:v>
                </c:pt>
                <c:pt idx="113">
                  <c:v>44580</c:v>
                </c:pt>
                <c:pt idx="114">
                  <c:v>44581</c:v>
                </c:pt>
                <c:pt idx="115">
                  <c:v>44582</c:v>
                </c:pt>
                <c:pt idx="116">
                  <c:v>44585</c:v>
                </c:pt>
                <c:pt idx="117">
                  <c:v>44586</c:v>
                </c:pt>
                <c:pt idx="118">
                  <c:v>44587</c:v>
                </c:pt>
                <c:pt idx="119">
                  <c:v>44588</c:v>
                </c:pt>
                <c:pt idx="120">
                  <c:v>44589</c:v>
                </c:pt>
                <c:pt idx="121">
                  <c:v>44592</c:v>
                </c:pt>
                <c:pt idx="122">
                  <c:v>44593</c:v>
                </c:pt>
                <c:pt idx="123">
                  <c:v>44594</c:v>
                </c:pt>
                <c:pt idx="124">
                  <c:v>44595</c:v>
                </c:pt>
                <c:pt idx="125">
                  <c:v>44596</c:v>
                </c:pt>
                <c:pt idx="126">
                  <c:v>44599</c:v>
                </c:pt>
                <c:pt idx="127">
                  <c:v>44600</c:v>
                </c:pt>
                <c:pt idx="128">
                  <c:v>44601</c:v>
                </c:pt>
                <c:pt idx="129">
                  <c:v>44602</c:v>
                </c:pt>
                <c:pt idx="130">
                  <c:v>44603</c:v>
                </c:pt>
                <c:pt idx="131">
                  <c:v>44606</c:v>
                </c:pt>
                <c:pt idx="132">
                  <c:v>44607</c:v>
                </c:pt>
                <c:pt idx="133">
                  <c:v>44608</c:v>
                </c:pt>
                <c:pt idx="134">
                  <c:v>44609</c:v>
                </c:pt>
                <c:pt idx="135">
                  <c:v>44610</c:v>
                </c:pt>
                <c:pt idx="136">
                  <c:v>44614</c:v>
                </c:pt>
                <c:pt idx="137">
                  <c:v>44615</c:v>
                </c:pt>
                <c:pt idx="138">
                  <c:v>44616</c:v>
                </c:pt>
                <c:pt idx="139">
                  <c:v>44617</c:v>
                </c:pt>
                <c:pt idx="140">
                  <c:v>44620</c:v>
                </c:pt>
                <c:pt idx="141">
                  <c:v>44621</c:v>
                </c:pt>
                <c:pt idx="142">
                  <c:v>44622</c:v>
                </c:pt>
                <c:pt idx="143">
                  <c:v>44623</c:v>
                </c:pt>
                <c:pt idx="144">
                  <c:v>44624</c:v>
                </c:pt>
                <c:pt idx="145">
                  <c:v>44627</c:v>
                </c:pt>
                <c:pt idx="146">
                  <c:v>44628</c:v>
                </c:pt>
                <c:pt idx="147">
                  <c:v>44629</c:v>
                </c:pt>
                <c:pt idx="148">
                  <c:v>44630</c:v>
                </c:pt>
                <c:pt idx="149">
                  <c:v>44631</c:v>
                </c:pt>
                <c:pt idx="150">
                  <c:v>44634</c:v>
                </c:pt>
                <c:pt idx="151">
                  <c:v>44635</c:v>
                </c:pt>
                <c:pt idx="152">
                  <c:v>44636</c:v>
                </c:pt>
                <c:pt idx="153">
                  <c:v>44637</c:v>
                </c:pt>
                <c:pt idx="154">
                  <c:v>44638</c:v>
                </c:pt>
                <c:pt idx="155">
                  <c:v>44641</c:v>
                </c:pt>
                <c:pt idx="156">
                  <c:v>44642</c:v>
                </c:pt>
                <c:pt idx="157">
                  <c:v>44643</c:v>
                </c:pt>
                <c:pt idx="158">
                  <c:v>44644</c:v>
                </c:pt>
                <c:pt idx="159">
                  <c:v>44645</c:v>
                </c:pt>
                <c:pt idx="160">
                  <c:v>44648</c:v>
                </c:pt>
                <c:pt idx="161">
                  <c:v>44649</c:v>
                </c:pt>
                <c:pt idx="162">
                  <c:v>44650</c:v>
                </c:pt>
                <c:pt idx="163">
                  <c:v>44651</c:v>
                </c:pt>
                <c:pt idx="164">
                  <c:v>44652</c:v>
                </c:pt>
                <c:pt idx="165">
                  <c:v>44655</c:v>
                </c:pt>
                <c:pt idx="166">
                  <c:v>44656</c:v>
                </c:pt>
                <c:pt idx="167">
                  <c:v>44657</c:v>
                </c:pt>
                <c:pt idx="168">
                  <c:v>44658</c:v>
                </c:pt>
                <c:pt idx="169">
                  <c:v>44659</c:v>
                </c:pt>
                <c:pt idx="170">
                  <c:v>44662</c:v>
                </c:pt>
                <c:pt idx="171">
                  <c:v>44663</c:v>
                </c:pt>
                <c:pt idx="172">
                  <c:v>44664</c:v>
                </c:pt>
                <c:pt idx="173">
                  <c:v>44665</c:v>
                </c:pt>
                <c:pt idx="174">
                  <c:v>44669</c:v>
                </c:pt>
                <c:pt idx="175">
                  <c:v>44670</c:v>
                </c:pt>
                <c:pt idx="176">
                  <c:v>44671</c:v>
                </c:pt>
                <c:pt idx="177">
                  <c:v>44672</c:v>
                </c:pt>
                <c:pt idx="178">
                  <c:v>44673</c:v>
                </c:pt>
                <c:pt idx="179">
                  <c:v>44676</c:v>
                </c:pt>
                <c:pt idx="180">
                  <c:v>44677</c:v>
                </c:pt>
                <c:pt idx="181">
                  <c:v>44678</c:v>
                </c:pt>
                <c:pt idx="182">
                  <c:v>44679</c:v>
                </c:pt>
                <c:pt idx="183">
                  <c:v>44680</c:v>
                </c:pt>
                <c:pt idx="184">
                  <c:v>44683</c:v>
                </c:pt>
                <c:pt idx="185">
                  <c:v>44684</c:v>
                </c:pt>
                <c:pt idx="186">
                  <c:v>44685</c:v>
                </c:pt>
                <c:pt idx="187">
                  <c:v>44686</c:v>
                </c:pt>
                <c:pt idx="188">
                  <c:v>44687</c:v>
                </c:pt>
                <c:pt idx="189">
                  <c:v>44690</c:v>
                </c:pt>
                <c:pt idx="190">
                  <c:v>44691</c:v>
                </c:pt>
                <c:pt idx="191">
                  <c:v>44692</c:v>
                </c:pt>
                <c:pt idx="192">
                  <c:v>44693</c:v>
                </c:pt>
                <c:pt idx="193">
                  <c:v>44694</c:v>
                </c:pt>
                <c:pt idx="194">
                  <c:v>44697</c:v>
                </c:pt>
                <c:pt idx="195">
                  <c:v>44698</c:v>
                </c:pt>
                <c:pt idx="196">
                  <c:v>44699</c:v>
                </c:pt>
                <c:pt idx="197">
                  <c:v>44700</c:v>
                </c:pt>
                <c:pt idx="198">
                  <c:v>44701</c:v>
                </c:pt>
                <c:pt idx="199">
                  <c:v>44704</c:v>
                </c:pt>
                <c:pt idx="200">
                  <c:v>44705</c:v>
                </c:pt>
                <c:pt idx="201">
                  <c:v>44706</c:v>
                </c:pt>
                <c:pt idx="202">
                  <c:v>44707</c:v>
                </c:pt>
                <c:pt idx="203">
                  <c:v>44708</c:v>
                </c:pt>
                <c:pt idx="204">
                  <c:v>44712</c:v>
                </c:pt>
                <c:pt idx="205">
                  <c:v>44713</c:v>
                </c:pt>
                <c:pt idx="206">
                  <c:v>44714</c:v>
                </c:pt>
                <c:pt idx="207">
                  <c:v>44715</c:v>
                </c:pt>
                <c:pt idx="208">
                  <c:v>44718</c:v>
                </c:pt>
                <c:pt idx="209">
                  <c:v>44719</c:v>
                </c:pt>
                <c:pt idx="210">
                  <c:v>44720</c:v>
                </c:pt>
                <c:pt idx="211">
                  <c:v>44721</c:v>
                </c:pt>
                <c:pt idx="212">
                  <c:v>44722</c:v>
                </c:pt>
                <c:pt idx="213">
                  <c:v>44725</c:v>
                </c:pt>
                <c:pt idx="214">
                  <c:v>44726</c:v>
                </c:pt>
                <c:pt idx="215">
                  <c:v>44727</c:v>
                </c:pt>
                <c:pt idx="216">
                  <c:v>44728</c:v>
                </c:pt>
                <c:pt idx="217">
                  <c:v>44729</c:v>
                </c:pt>
                <c:pt idx="218">
                  <c:v>44733</c:v>
                </c:pt>
                <c:pt idx="219">
                  <c:v>44734</c:v>
                </c:pt>
                <c:pt idx="220">
                  <c:v>44735</c:v>
                </c:pt>
                <c:pt idx="221">
                  <c:v>44736</c:v>
                </c:pt>
                <c:pt idx="222">
                  <c:v>44739</c:v>
                </c:pt>
                <c:pt idx="223">
                  <c:v>44740</c:v>
                </c:pt>
                <c:pt idx="224">
                  <c:v>44741</c:v>
                </c:pt>
                <c:pt idx="225">
                  <c:v>44742</c:v>
                </c:pt>
                <c:pt idx="226">
                  <c:v>44743</c:v>
                </c:pt>
                <c:pt idx="227">
                  <c:v>44747</c:v>
                </c:pt>
                <c:pt idx="228">
                  <c:v>44748</c:v>
                </c:pt>
                <c:pt idx="229">
                  <c:v>44749</c:v>
                </c:pt>
                <c:pt idx="230">
                  <c:v>44750</c:v>
                </c:pt>
                <c:pt idx="231">
                  <c:v>44753</c:v>
                </c:pt>
                <c:pt idx="232">
                  <c:v>44754</c:v>
                </c:pt>
                <c:pt idx="233">
                  <c:v>44755</c:v>
                </c:pt>
                <c:pt idx="234">
                  <c:v>44756</c:v>
                </c:pt>
                <c:pt idx="235">
                  <c:v>44757</c:v>
                </c:pt>
                <c:pt idx="236">
                  <c:v>44760</c:v>
                </c:pt>
                <c:pt idx="237">
                  <c:v>44761</c:v>
                </c:pt>
                <c:pt idx="238">
                  <c:v>44762</c:v>
                </c:pt>
                <c:pt idx="239">
                  <c:v>44763</c:v>
                </c:pt>
                <c:pt idx="240">
                  <c:v>44764</c:v>
                </c:pt>
                <c:pt idx="241">
                  <c:v>44767</c:v>
                </c:pt>
                <c:pt idx="242">
                  <c:v>44768</c:v>
                </c:pt>
                <c:pt idx="243">
                  <c:v>44769</c:v>
                </c:pt>
                <c:pt idx="244">
                  <c:v>44770</c:v>
                </c:pt>
                <c:pt idx="245">
                  <c:v>44771</c:v>
                </c:pt>
                <c:pt idx="246">
                  <c:v>44774</c:v>
                </c:pt>
                <c:pt idx="247">
                  <c:v>44775</c:v>
                </c:pt>
                <c:pt idx="248">
                  <c:v>44776</c:v>
                </c:pt>
                <c:pt idx="249">
                  <c:v>44777</c:v>
                </c:pt>
                <c:pt idx="250">
                  <c:v>44778</c:v>
                </c:pt>
                <c:pt idx="251">
                  <c:v>44781</c:v>
                </c:pt>
                <c:pt idx="252">
                  <c:v>44782</c:v>
                </c:pt>
                <c:pt idx="253">
                  <c:v>44783</c:v>
                </c:pt>
                <c:pt idx="254">
                  <c:v>44784</c:v>
                </c:pt>
                <c:pt idx="255">
                  <c:v>44785</c:v>
                </c:pt>
                <c:pt idx="256">
                  <c:v>44788</c:v>
                </c:pt>
                <c:pt idx="257">
                  <c:v>44789</c:v>
                </c:pt>
                <c:pt idx="258">
                  <c:v>44790</c:v>
                </c:pt>
                <c:pt idx="259">
                  <c:v>44791</c:v>
                </c:pt>
                <c:pt idx="260">
                  <c:v>44792</c:v>
                </c:pt>
                <c:pt idx="261">
                  <c:v>44795</c:v>
                </c:pt>
                <c:pt idx="262">
                  <c:v>44796</c:v>
                </c:pt>
                <c:pt idx="263">
                  <c:v>44797</c:v>
                </c:pt>
                <c:pt idx="264">
                  <c:v>44798</c:v>
                </c:pt>
                <c:pt idx="265">
                  <c:v>44799</c:v>
                </c:pt>
                <c:pt idx="266">
                  <c:v>44802</c:v>
                </c:pt>
                <c:pt idx="267">
                  <c:v>44803</c:v>
                </c:pt>
                <c:pt idx="268">
                  <c:v>44804</c:v>
                </c:pt>
                <c:pt idx="269">
                  <c:v>44805</c:v>
                </c:pt>
                <c:pt idx="270">
                  <c:v>44806</c:v>
                </c:pt>
                <c:pt idx="271">
                  <c:v>44810</c:v>
                </c:pt>
                <c:pt idx="272">
                  <c:v>44811</c:v>
                </c:pt>
                <c:pt idx="273">
                  <c:v>44812</c:v>
                </c:pt>
                <c:pt idx="274">
                  <c:v>44813</c:v>
                </c:pt>
                <c:pt idx="275">
                  <c:v>44816</c:v>
                </c:pt>
                <c:pt idx="276">
                  <c:v>44817</c:v>
                </c:pt>
                <c:pt idx="277">
                  <c:v>44818</c:v>
                </c:pt>
                <c:pt idx="278">
                  <c:v>44819</c:v>
                </c:pt>
                <c:pt idx="279">
                  <c:v>44820</c:v>
                </c:pt>
                <c:pt idx="280">
                  <c:v>44823</c:v>
                </c:pt>
                <c:pt idx="281">
                  <c:v>44824</c:v>
                </c:pt>
                <c:pt idx="282">
                  <c:v>44825</c:v>
                </c:pt>
                <c:pt idx="283">
                  <c:v>44826</c:v>
                </c:pt>
                <c:pt idx="284">
                  <c:v>44827</c:v>
                </c:pt>
                <c:pt idx="285">
                  <c:v>44830</c:v>
                </c:pt>
                <c:pt idx="286">
                  <c:v>44831</c:v>
                </c:pt>
                <c:pt idx="287">
                  <c:v>44832</c:v>
                </c:pt>
                <c:pt idx="288">
                  <c:v>44833</c:v>
                </c:pt>
                <c:pt idx="289">
                  <c:v>44834</c:v>
                </c:pt>
                <c:pt idx="290">
                  <c:v>44837</c:v>
                </c:pt>
                <c:pt idx="291">
                  <c:v>44838</c:v>
                </c:pt>
                <c:pt idx="292">
                  <c:v>44839</c:v>
                </c:pt>
                <c:pt idx="293">
                  <c:v>44840</c:v>
                </c:pt>
                <c:pt idx="294">
                  <c:v>44841</c:v>
                </c:pt>
                <c:pt idx="295">
                  <c:v>44844</c:v>
                </c:pt>
                <c:pt idx="296">
                  <c:v>44845</c:v>
                </c:pt>
                <c:pt idx="297">
                  <c:v>44846</c:v>
                </c:pt>
                <c:pt idx="298">
                  <c:v>44847</c:v>
                </c:pt>
                <c:pt idx="299">
                  <c:v>44848</c:v>
                </c:pt>
                <c:pt idx="300">
                  <c:v>44851</c:v>
                </c:pt>
                <c:pt idx="301">
                  <c:v>44852</c:v>
                </c:pt>
                <c:pt idx="302">
                  <c:v>44853</c:v>
                </c:pt>
                <c:pt idx="303">
                  <c:v>44854</c:v>
                </c:pt>
                <c:pt idx="304">
                  <c:v>44855</c:v>
                </c:pt>
                <c:pt idx="305">
                  <c:v>44858</c:v>
                </c:pt>
                <c:pt idx="306">
                  <c:v>44859</c:v>
                </c:pt>
                <c:pt idx="307">
                  <c:v>44860</c:v>
                </c:pt>
                <c:pt idx="308">
                  <c:v>44861</c:v>
                </c:pt>
                <c:pt idx="309">
                  <c:v>44862</c:v>
                </c:pt>
                <c:pt idx="310">
                  <c:v>44865</c:v>
                </c:pt>
                <c:pt idx="311">
                  <c:v>44866</c:v>
                </c:pt>
                <c:pt idx="312">
                  <c:v>44867</c:v>
                </c:pt>
                <c:pt idx="313">
                  <c:v>44868</c:v>
                </c:pt>
                <c:pt idx="314">
                  <c:v>44869</c:v>
                </c:pt>
                <c:pt idx="315">
                  <c:v>44872</c:v>
                </c:pt>
                <c:pt idx="316">
                  <c:v>44873</c:v>
                </c:pt>
                <c:pt idx="317">
                  <c:v>44874</c:v>
                </c:pt>
                <c:pt idx="318">
                  <c:v>44875</c:v>
                </c:pt>
                <c:pt idx="319">
                  <c:v>44876</c:v>
                </c:pt>
                <c:pt idx="320">
                  <c:v>44879</c:v>
                </c:pt>
                <c:pt idx="321">
                  <c:v>44880</c:v>
                </c:pt>
                <c:pt idx="322">
                  <c:v>44881</c:v>
                </c:pt>
                <c:pt idx="323">
                  <c:v>44882</c:v>
                </c:pt>
                <c:pt idx="324">
                  <c:v>44883</c:v>
                </c:pt>
                <c:pt idx="325">
                  <c:v>44886</c:v>
                </c:pt>
                <c:pt idx="326">
                  <c:v>44887</c:v>
                </c:pt>
                <c:pt idx="327">
                  <c:v>44888</c:v>
                </c:pt>
                <c:pt idx="328">
                  <c:v>44890</c:v>
                </c:pt>
                <c:pt idx="329">
                  <c:v>44893</c:v>
                </c:pt>
                <c:pt idx="330">
                  <c:v>44894</c:v>
                </c:pt>
                <c:pt idx="331">
                  <c:v>44895</c:v>
                </c:pt>
                <c:pt idx="332">
                  <c:v>44896</c:v>
                </c:pt>
                <c:pt idx="333">
                  <c:v>44897</c:v>
                </c:pt>
                <c:pt idx="334">
                  <c:v>44900</c:v>
                </c:pt>
                <c:pt idx="335">
                  <c:v>44901</c:v>
                </c:pt>
                <c:pt idx="336">
                  <c:v>44902</c:v>
                </c:pt>
                <c:pt idx="337">
                  <c:v>44903</c:v>
                </c:pt>
                <c:pt idx="338">
                  <c:v>44904</c:v>
                </c:pt>
                <c:pt idx="339">
                  <c:v>44907</c:v>
                </c:pt>
                <c:pt idx="340">
                  <c:v>44908</c:v>
                </c:pt>
                <c:pt idx="341">
                  <c:v>44909</c:v>
                </c:pt>
                <c:pt idx="342">
                  <c:v>44910</c:v>
                </c:pt>
                <c:pt idx="343">
                  <c:v>44911</c:v>
                </c:pt>
                <c:pt idx="344">
                  <c:v>44914</c:v>
                </c:pt>
                <c:pt idx="345">
                  <c:v>44915</c:v>
                </c:pt>
                <c:pt idx="346">
                  <c:v>44916</c:v>
                </c:pt>
                <c:pt idx="347">
                  <c:v>44917</c:v>
                </c:pt>
                <c:pt idx="348">
                  <c:v>44918</c:v>
                </c:pt>
                <c:pt idx="349">
                  <c:v>44922</c:v>
                </c:pt>
                <c:pt idx="350">
                  <c:v>44923</c:v>
                </c:pt>
                <c:pt idx="351">
                  <c:v>44924</c:v>
                </c:pt>
                <c:pt idx="352">
                  <c:v>44925</c:v>
                </c:pt>
                <c:pt idx="353">
                  <c:v>44929</c:v>
                </c:pt>
                <c:pt idx="354">
                  <c:v>44930</c:v>
                </c:pt>
                <c:pt idx="355">
                  <c:v>44931</c:v>
                </c:pt>
                <c:pt idx="356">
                  <c:v>44932</c:v>
                </c:pt>
                <c:pt idx="357">
                  <c:v>44935</c:v>
                </c:pt>
                <c:pt idx="358">
                  <c:v>44936</c:v>
                </c:pt>
                <c:pt idx="359">
                  <c:v>44937</c:v>
                </c:pt>
                <c:pt idx="360">
                  <c:v>44938</c:v>
                </c:pt>
                <c:pt idx="361">
                  <c:v>44939</c:v>
                </c:pt>
                <c:pt idx="362">
                  <c:v>44943</c:v>
                </c:pt>
                <c:pt idx="363">
                  <c:v>44944</c:v>
                </c:pt>
                <c:pt idx="364">
                  <c:v>44945</c:v>
                </c:pt>
                <c:pt idx="365">
                  <c:v>44946</c:v>
                </c:pt>
                <c:pt idx="366">
                  <c:v>44949</c:v>
                </c:pt>
                <c:pt idx="367">
                  <c:v>44950</c:v>
                </c:pt>
                <c:pt idx="368">
                  <c:v>44951</c:v>
                </c:pt>
                <c:pt idx="369">
                  <c:v>44952</c:v>
                </c:pt>
                <c:pt idx="370">
                  <c:v>44953</c:v>
                </c:pt>
                <c:pt idx="371">
                  <c:v>44956</c:v>
                </c:pt>
                <c:pt idx="372">
                  <c:v>44957</c:v>
                </c:pt>
                <c:pt idx="373">
                  <c:v>44958</c:v>
                </c:pt>
                <c:pt idx="374">
                  <c:v>44959</c:v>
                </c:pt>
                <c:pt idx="375">
                  <c:v>44960</c:v>
                </c:pt>
                <c:pt idx="376">
                  <c:v>44963</c:v>
                </c:pt>
                <c:pt idx="377">
                  <c:v>44964</c:v>
                </c:pt>
                <c:pt idx="378">
                  <c:v>44965</c:v>
                </c:pt>
                <c:pt idx="379">
                  <c:v>44966</c:v>
                </c:pt>
                <c:pt idx="380">
                  <c:v>44967</c:v>
                </c:pt>
                <c:pt idx="381">
                  <c:v>44970</c:v>
                </c:pt>
                <c:pt idx="382">
                  <c:v>44971</c:v>
                </c:pt>
                <c:pt idx="383">
                  <c:v>44972</c:v>
                </c:pt>
                <c:pt idx="384">
                  <c:v>44973</c:v>
                </c:pt>
                <c:pt idx="385">
                  <c:v>44974</c:v>
                </c:pt>
                <c:pt idx="386">
                  <c:v>44978</c:v>
                </c:pt>
                <c:pt idx="387">
                  <c:v>44979</c:v>
                </c:pt>
                <c:pt idx="388">
                  <c:v>44980</c:v>
                </c:pt>
                <c:pt idx="389">
                  <c:v>44981</c:v>
                </c:pt>
                <c:pt idx="390">
                  <c:v>44984</c:v>
                </c:pt>
                <c:pt idx="391">
                  <c:v>44985</c:v>
                </c:pt>
                <c:pt idx="392">
                  <c:v>44986</c:v>
                </c:pt>
                <c:pt idx="393">
                  <c:v>44987</c:v>
                </c:pt>
                <c:pt idx="394">
                  <c:v>44988</c:v>
                </c:pt>
                <c:pt idx="395">
                  <c:v>44991</c:v>
                </c:pt>
                <c:pt idx="396">
                  <c:v>44992</c:v>
                </c:pt>
                <c:pt idx="397">
                  <c:v>44993</c:v>
                </c:pt>
                <c:pt idx="398">
                  <c:v>44994</c:v>
                </c:pt>
                <c:pt idx="399">
                  <c:v>44995</c:v>
                </c:pt>
                <c:pt idx="400">
                  <c:v>44998</c:v>
                </c:pt>
                <c:pt idx="401">
                  <c:v>44999</c:v>
                </c:pt>
                <c:pt idx="402">
                  <c:v>45000</c:v>
                </c:pt>
                <c:pt idx="403">
                  <c:v>45001</c:v>
                </c:pt>
                <c:pt idx="404">
                  <c:v>45002</c:v>
                </c:pt>
                <c:pt idx="405">
                  <c:v>45005</c:v>
                </c:pt>
                <c:pt idx="406">
                  <c:v>45006</c:v>
                </c:pt>
                <c:pt idx="407">
                  <c:v>45007</c:v>
                </c:pt>
                <c:pt idx="408">
                  <c:v>45008</c:v>
                </c:pt>
                <c:pt idx="409">
                  <c:v>45009</c:v>
                </c:pt>
                <c:pt idx="410">
                  <c:v>45012</c:v>
                </c:pt>
                <c:pt idx="411">
                  <c:v>45013</c:v>
                </c:pt>
                <c:pt idx="412">
                  <c:v>45014</c:v>
                </c:pt>
                <c:pt idx="413">
                  <c:v>45015</c:v>
                </c:pt>
                <c:pt idx="414">
                  <c:v>45016</c:v>
                </c:pt>
                <c:pt idx="415">
                  <c:v>45019</c:v>
                </c:pt>
                <c:pt idx="416">
                  <c:v>45020</c:v>
                </c:pt>
                <c:pt idx="417">
                  <c:v>45021</c:v>
                </c:pt>
                <c:pt idx="418">
                  <c:v>45022</c:v>
                </c:pt>
                <c:pt idx="419">
                  <c:v>45026</c:v>
                </c:pt>
                <c:pt idx="420">
                  <c:v>45027</c:v>
                </c:pt>
                <c:pt idx="421">
                  <c:v>45028</c:v>
                </c:pt>
                <c:pt idx="422">
                  <c:v>45029</c:v>
                </c:pt>
                <c:pt idx="423">
                  <c:v>45030</c:v>
                </c:pt>
                <c:pt idx="424">
                  <c:v>45033</c:v>
                </c:pt>
                <c:pt idx="425">
                  <c:v>45034</c:v>
                </c:pt>
                <c:pt idx="426">
                  <c:v>45035</c:v>
                </c:pt>
                <c:pt idx="427">
                  <c:v>45036</c:v>
                </c:pt>
                <c:pt idx="428">
                  <c:v>45037</c:v>
                </c:pt>
                <c:pt idx="429">
                  <c:v>45040</c:v>
                </c:pt>
                <c:pt idx="430">
                  <c:v>45041</c:v>
                </c:pt>
                <c:pt idx="431">
                  <c:v>45042</c:v>
                </c:pt>
                <c:pt idx="432">
                  <c:v>45043</c:v>
                </c:pt>
                <c:pt idx="433">
                  <c:v>45044</c:v>
                </c:pt>
                <c:pt idx="434">
                  <c:v>45047</c:v>
                </c:pt>
                <c:pt idx="435">
                  <c:v>45048</c:v>
                </c:pt>
                <c:pt idx="436">
                  <c:v>45049</c:v>
                </c:pt>
                <c:pt idx="437">
                  <c:v>45050</c:v>
                </c:pt>
                <c:pt idx="438">
                  <c:v>45051</c:v>
                </c:pt>
                <c:pt idx="439">
                  <c:v>45054</c:v>
                </c:pt>
                <c:pt idx="440">
                  <c:v>45055</c:v>
                </c:pt>
                <c:pt idx="441">
                  <c:v>45056</c:v>
                </c:pt>
                <c:pt idx="442">
                  <c:v>45057</c:v>
                </c:pt>
                <c:pt idx="443">
                  <c:v>45058</c:v>
                </c:pt>
                <c:pt idx="444">
                  <c:v>45061</c:v>
                </c:pt>
                <c:pt idx="445">
                  <c:v>45062</c:v>
                </c:pt>
                <c:pt idx="446">
                  <c:v>45063</c:v>
                </c:pt>
                <c:pt idx="447">
                  <c:v>45064</c:v>
                </c:pt>
                <c:pt idx="448">
                  <c:v>45065</c:v>
                </c:pt>
                <c:pt idx="449">
                  <c:v>45068</c:v>
                </c:pt>
                <c:pt idx="450">
                  <c:v>45069</c:v>
                </c:pt>
                <c:pt idx="451">
                  <c:v>45070</c:v>
                </c:pt>
                <c:pt idx="452">
                  <c:v>45071</c:v>
                </c:pt>
                <c:pt idx="453">
                  <c:v>45072</c:v>
                </c:pt>
                <c:pt idx="454">
                  <c:v>45076</c:v>
                </c:pt>
                <c:pt idx="455">
                  <c:v>45077</c:v>
                </c:pt>
                <c:pt idx="456">
                  <c:v>45078</c:v>
                </c:pt>
                <c:pt idx="457">
                  <c:v>45079</c:v>
                </c:pt>
                <c:pt idx="458">
                  <c:v>45082</c:v>
                </c:pt>
                <c:pt idx="459">
                  <c:v>45083</c:v>
                </c:pt>
                <c:pt idx="460">
                  <c:v>45084</c:v>
                </c:pt>
                <c:pt idx="461">
                  <c:v>45085</c:v>
                </c:pt>
                <c:pt idx="462">
                  <c:v>45086</c:v>
                </c:pt>
                <c:pt idx="463">
                  <c:v>45089</c:v>
                </c:pt>
                <c:pt idx="464">
                  <c:v>45090</c:v>
                </c:pt>
                <c:pt idx="465">
                  <c:v>45091</c:v>
                </c:pt>
                <c:pt idx="466">
                  <c:v>45092</c:v>
                </c:pt>
                <c:pt idx="467">
                  <c:v>45093</c:v>
                </c:pt>
                <c:pt idx="468">
                  <c:v>45097</c:v>
                </c:pt>
                <c:pt idx="469">
                  <c:v>45098</c:v>
                </c:pt>
                <c:pt idx="470">
                  <c:v>45099</c:v>
                </c:pt>
                <c:pt idx="471">
                  <c:v>45100</c:v>
                </c:pt>
                <c:pt idx="472">
                  <c:v>45103</c:v>
                </c:pt>
                <c:pt idx="473">
                  <c:v>45104</c:v>
                </c:pt>
                <c:pt idx="474">
                  <c:v>45105</c:v>
                </c:pt>
                <c:pt idx="475">
                  <c:v>45106</c:v>
                </c:pt>
                <c:pt idx="476">
                  <c:v>45107</c:v>
                </c:pt>
                <c:pt idx="477">
                  <c:v>45110</c:v>
                </c:pt>
                <c:pt idx="478">
                  <c:v>45112</c:v>
                </c:pt>
                <c:pt idx="479">
                  <c:v>45113</c:v>
                </c:pt>
                <c:pt idx="480">
                  <c:v>45114</c:v>
                </c:pt>
                <c:pt idx="481">
                  <c:v>45117</c:v>
                </c:pt>
                <c:pt idx="482">
                  <c:v>45118</c:v>
                </c:pt>
                <c:pt idx="483">
                  <c:v>45119</c:v>
                </c:pt>
                <c:pt idx="484">
                  <c:v>45120</c:v>
                </c:pt>
                <c:pt idx="485">
                  <c:v>45121</c:v>
                </c:pt>
                <c:pt idx="486">
                  <c:v>45124</c:v>
                </c:pt>
                <c:pt idx="487">
                  <c:v>45125</c:v>
                </c:pt>
                <c:pt idx="488">
                  <c:v>45126</c:v>
                </c:pt>
                <c:pt idx="489">
                  <c:v>45127</c:v>
                </c:pt>
                <c:pt idx="490">
                  <c:v>45128</c:v>
                </c:pt>
                <c:pt idx="491">
                  <c:v>45131</c:v>
                </c:pt>
                <c:pt idx="492">
                  <c:v>45132</c:v>
                </c:pt>
                <c:pt idx="493">
                  <c:v>45133</c:v>
                </c:pt>
                <c:pt idx="494">
                  <c:v>45134</c:v>
                </c:pt>
                <c:pt idx="495">
                  <c:v>45135</c:v>
                </c:pt>
                <c:pt idx="496">
                  <c:v>45138</c:v>
                </c:pt>
                <c:pt idx="497">
                  <c:v>45139</c:v>
                </c:pt>
                <c:pt idx="498">
                  <c:v>45140</c:v>
                </c:pt>
                <c:pt idx="499">
                  <c:v>45141</c:v>
                </c:pt>
                <c:pt idx="500">
                  <c:v>45142</c:v>
                </c:pt>
                <c:pt idx="501">
                  <c:v>45145</c:v>
                </c:pt>
                <c:pt idx="502">
                  <c:v>45146</c:v>
                </c:pt>
                <c:pt idx="503">
                  <c:v>45147</c:v>
                </c:pt>
                <c:pt idx="504">
                  <c:v>45148</c:v>
                </c:pt>
                <c:pt idx="505">
                  <c:v>45149</c:v>
                </c:pt>
                <c:pt idx="506">
                  <c:v>45152</c:v>
                </c:pt>
                <c:pt idx="507">
                  <c:v>45153</c:v>
                </c:pt>
                <c:pt idx="508">
                  <c:v>45154</c:v>
                </c:pt>
                <c:pt idx="509">
                  <c:v>45155</c:v>
                </c:pt>
                <c:pt idx="510">
                  <c:v>45156</c:v>
                </c:pt>
                <c:pt idx="511">
                  <c:v>45159</c:v>
                </c:pt>
                <c:pt idx="512">
                  <c:v>45160</c:v>
                </c:pt>
                <c:pt idx="513">
                  <c:v>45161</c:v>
                </c:pt>
                <c:pt idx="514">
                  <c:v>45162</c:v>
                </c:pt>
                <c:pt idx="515">
                  <c:v>45163</c:v>
                </c:pt>
                <c:pt idx="516">
                  <c:v>45166</c:v>
                </c:pt>
                <c:pt idx="517">
                  <c:v>45167</c:v>
                </c:pt>
                <c:pt idx="518">
                  <c:v>45168</c:v>
                </c:pt>
                <c:pt idx="519">
                  <c:v>45169</c:v>
                </c:pt>
                <c:pt idx="520">
                  <c:v>45170</c:v>
                </c:pt>
                <c:pt idx="521">
                  <c:v>45174</c:v>
                </c:pt>
                <c:pt idx="522">
                  <c:v>45175</c:v>
                </c:pt>
                <c:pt idx="523">
                  <c:v>45176</c:v>
                </c:pt>
                <c:pt idx="524">
                  <c:v>45177</c:v>
                </c:pt>
                <c:pt idx="525">
                  <c:v>45180</c:v>
                </c:pt>
                <c:pt idx="526">
                  <c:v>45181</c:v>
                </c:pt>
                <c:pt idx="527">
                  <c:v>45182</c:v>
                </c:pt>
                <c:pt idx="528">
                  <c:v>45183</c:v>
                </c:pt>
                <c:pt idx="529">
                  <c:v>45184</c:v>
                </c:pt>
                <c:pt idx="530">
                  <c:v>45187</c:v>
                </c:pt>
                <c:pt idx="531">
                  <c:v>45188</c:v>
                </c:pt>
                <c:pt idx="532">
                  <c:v>45189</c:v>
                </c:pt>
                <c:pt idx="533">
                  <c:v>45190</c:v>
                </c:pt>
                <c:pt idx="534">
                  <c:v>45191</c:v>
                </c:pt>
                <c:pt idx="535">
                  <c:v>45194</c:v>
                </c:pt>
                <c:pt idx="536">
                  <c:v>45195</c:v>
                </c:pt>
                <c:pt idx="537">
                  <c:v>45196</c:v>
                </c:pt>
                <c:pt idx="538">
                  <c:v>45197</c:v>
                </c:pt>
                <c:pt idx="539">
                  <c:v>45198</c:v>
                </c:pt>
                <c:pt idx="540">
                  <c:v>45201</c:v>
                </c:pt>
                <c:pt idx="541">
                  <c:v>45202</c:v>
                </c:pt>
                <c:pt idx="542">
                  <c:v>45203</c:v>
                </c:pt>
                <c:pt idx="543">
                  <c:v>45204</c:v>
                </c:pt>
                <c:pt idx="544">
                  <c:v>45205</c:v>
                </c:pt>
                <c:pt idx="545">
                  <c:v>45208</c:v>
                </c:pt>
                <c:pt idx="546">
                  <c:v>45209</c:v>
                </c:pt>
                <c:pt idx="547">
                  <c:v>45210</c:v>
                </c:pt>
                <c:pt idx="548">
                  <c:v>45211</c:v>
                </c:pt>
                <c:pt idx="549">
                  <c:v>45212</c:v>
                </c:pt>
                <c:pt idx="550">
                  <c:v>45215</c:v>
                </c:pt>
                <c:pt idx="551">
                  <c:v>45216</c:v>
                </c:pt>
                <c:pt idx="552">
                  <c:v>45217</c:v>
                </c:pt>
                <c:pt idx="553">
                  <c:v>45218</c:v>
                </c:pt>
                <c:pt idx="554">
                  <c:v>45219</c:v>
                </c:pt>
                <c:pt idx="555">
                  <c:v>45222</c:v>
                </c:pt>
                <c:pt idx="556">
                  <c:v>45223</c:v>
                </c:pt>
                <c:pt idx="557">
                  <c:v>45224</c:v>
                </c:pt>
                <c:pt idx="558">
                  <c:v>45225</c:v>
                </c:pt>
                <c:pt idx="559">
                  <c:v>45226</c:v>
                </c:pt>
                <c:pt idx="560">
                  <c:v>45229</c:v>
                </c:pt>
                <c:pt idx="561">
                  <c:v>45230</c:v>
                </c:pt>
                <c:pt idx="562">
                  <c:v>45231</c:v>
                </c:pt>
                <c:pt idx="563">
                  <c:v>45232</c:v>
                </c:pt>
                <c:pt idx="564">
                  <c:v>45233</c:v>
                </c:pt>
                <c:pt idx="565">
                  <c:v>45236</c:v>
                </c:pt>
                <c:pt idx="566">
                  <c:v>45237</c:v>
                </c:pt>
                <c:pt idx="567">
                  <c:v>45238</c:v>
                </c:pt>
                <c:pt idx="568">
                  <c:v>45239</c:v>
                </c:pt>
                <c:pt idx="569">
                  <c:v>45240</c:v>
                </c:pt>
                <c:pt idx="570">
                  <c:v>45243</c:v>
                </c:pt>
                <c:pt idx="571">
                  <c:v>45244</c:v>
                </c:pt>
                <c:pt idx="572">
                  <c:v>45245</c:v>
                </c:pt>
                <c:pt idx="573">
                  <c:v>45246</c:v>
                </c:pt>
                <c:pt idx="574">
                  <c:v>45247</c:v>
                </c:pt>
                <c:pt idx="575">
                  <c:v>45250</c:v>
                </c:pt>
                <c:pt idx="576">
                  <c:v>45251</c:v>
                </c:pt>
                <c:pt idx="577">
                  <c:v>45252</c:v>
                </c:pt>
                <c:pt idx="578">
                  <c:v>45254</c:v>
                </c:pt>
                <c:pt idx="579">
                  <c:v>45257</c:v>
                </c:pt>
                <c:pt idx="580">
                  <c:v>45258</c:v>
                </c:pt>
                <c:pt idx="581">
                  <c:v>45259</c:v>
                </c:pt>
                <c:pt idx="582">
                  <c:v>45260</c:v>
                </c:pt>
                <c:pt idx="583">
                  <c:v>45261</c:v>
                </c:pt>
                <c:pt idx="584">
                  <c:v>45264</c:v>
                </c:pt>
                <c:pt idx="585">
                  <c:v>45265</c:v>
                </c:pt>
                <c:pt idx="586">
                  <c:v>45266</c:v>
                </c:pt>
                <c:pt idx="587">
                  <c:v>45267</c:v>
                </c:pt>
                <c:pt idx="588">
                  <c:v>45268</c:v>
                </c:pt>
                <c:pt idx="589">
                  <c:v>45271</c:v>
                </c:pt>
                <c:pt idx="590">
                  <c:v>45272</c:v>
                </c:pt>
                <c:pt idx="591">
                  <c:v>45273</c:v>
                </c:pt>
                <c:pt idx="592">
                  <c:v>45274</c:v>
                </c:pt>
                <c:pt idx="593">
                  <c:v>45275</c:v>
                </c:pt>
                <c:pt idx="594">
                  <c:v>45278</c:v>
                </c:pt>
                <c:pt idx="595">
                  <c:v>45279</c:v>
                </c:pt>
                <c:pt idx="596">
                  <c:v>45280</c:v>
                </c:pt>
                <c:pt idx="597">
                  <c:v>45281</c:v>
                </c:pt>
                <c:pt idx="598">
                  <c:v>45282</c:v>
                </c:pt>
                <c:pt idx="599">
                  <c:v>45286</c:v>
                </c:pt>
                <c:pt idx="600">
                  <c:v>45287</c:v>
                </c:pt>
                <c:pt idx="601">
                  <c:v>45288</c:v>
                </c:pt>
                <c:pt idx="602">
                  <c:v>45289</c:v>
                </c:pt>
                <c:pt idx="603">
                  <c:v>45293</c:v>
                </c:pt>
                <c:pt idx="604">
                  <c:v>45294</c:v>
                </c:pt>
                <c:pt idx="605">
                  <c:v>45295</c:v>
                </c:pt>
                <c:pt idx="606">
                  <c:v>45296</c:v>
                </c:pt>
                <c:pt idx="607">
                  <c:v>45299</c:v>
                </c:pt>
                <c:pt idx="608">
                  <c:v>45300</c:v>
                </c:pt>
                <c:pt idx="609">
                  <c:v>45301</c:v>
                </c:pt>
                <c:pt idx="610">
                  <c:v>45302</c:v>
                </c:pt>
                <c:pt idx="611">
                  <c:v>45303</c:v>
                </c:pt>
                <c:pt idx="612">
                  <c:v>45307</c:v>
                </c:pt>
                <c:pt idx="613">
                  <c:v>45308</c:v>
                </c:pt>
                <c:pt idx="614">
                  <c:v>45309</c:v>
                </c:pt>
                <c:pt idx="615">
                  <c:v>45310</c:v>
                </c:pt>
                <c:pt idx="616">
                  <c:v>45313</c:v>
                </c:pt>
                <c:pt idx="617">
                  <c:v>45314</c:v>
                </c:pt>
                <c:pt idx="618">
                  <c:v>45315</c:v>
                </c:pt>
                <c:pt idx="619">
                  <c:v>45316</c:v>
                </c:pt>
                <c:pt idx="620">
                  <c:v>45317</c:v>
                </c:pt>
                <c:pt idx="621">
                  <c:v>45320</c:v>
                </c:pt>
                <c:pt idx="622">
                  <c:v>45321</c:v>
                </c:pt>
                <c:pt idx="623">
                  <c:v>45322</c:v>
                </c:pt>
                <c:pt idx="624">
                  <c:v>45323</c:v>
                </c:pt>
                <c:pt idx="625">
                  <c:v>45324</c:v>
                </c:pt>
                <c:pt idx="626">
                  <c:v>45327</c:v>
                </c:pt>
                <c:pt idx="627">
                  <c:v>45328</c:v>
                </c:pt>
                <c:pt idx="628">
                  <c:v>45329</c:v>
                </c:pt>
                <c:pt idx="629">
                  <c:v>45330</c:v>
                </c:pt>
                <c:pt idx="630">
                  <c:v>45331</c:v>
                </c:pt>
                <c:pt idx="631">
                  <c:v>45334</c:v>
                </c:pt>
                <c:pt idx="632">
                  <c:v>45335</c:v>
                </c:pt>
                <c:pt idx="633">
                  <c:v>45336</c:v>
                </c:pt>
                <c:pt idx="634">
                  <c:v>45337</c:v>
                </c:pt>
                <c:pt idx="635">
                  <c:v>45338</c:v>
                </c:pt>
                <c:pt idx="636">
                  <c:v>45342</c:v>
                </c:pt>
                <c:pt idx="637">
                  <c:v>45343</c:v>
                </c:pt>
                <c:pt idx="638">
                  <c:v>45344</c:v>
                </c:pt>
                <c:pt idx="639">
                  <c:v>45345</c:v>
                </c:pt>
                <c:pt idx="640">
                  <c:v>45348</c:v>
                </c:pt>
                <c:pt idx="641">
                  <c:v>45349</c:v>
                </c:pt>
                <c:pt idx="642">
                  <c:v>45350</c:v>
                </c:pt>
                <c:pt idx="643">
                  <c:v>45351</c:v>
                </c:pt>
                <c:pt idx="644">
                  <c:v>45352</c:v>
                </c:pt>
                <c:pt idx="645">
                  <c:v>45355</c:v>
                </c:pt>
                <c:pt idx="646">
                  <c:v>45356</c:v>
                </c:pt>
                <c:pt idx="647">
                  <c:v>45357</c:v>
                </c:pt>
                <c:pt idx="648">
                  <c:v>45358</c:v>
                </c:pt>
                <c:pt idx="649">
                  <c:v>45359</c:v>
                </c:pt>
                <c:pt idx="650">
                  <c:v>45362</c:v>
                </c:pt>
                <c:pt idx="651">
                  <c:v>45363</c:v>
                </c:pt>
                <c:pt idx="652">
                  <c:v>45364</c:v>
                </c:pt>
                <c:pt idx="653">
                  <c:v>45365</c:v>
                </c:pt>
                <c:pt idx="654">
                  <c:v>45366</c:v>
                </c:pt>
                <c:pt idx="655">
                  <c:v>45369</c:v>
                </c:pt>
                <c:pt idx="656">
                  <c:v>45370</c:v>
                </c:pt>
                <c:pt idx="657">
                  <c:v>45371</c:v>
                </c:pt>
                <c:pt idx="658">
                  <c:v>45372</c:v>
                </c:pt>
                <c:pt idx="659">
                  <c:v>45373</c:v>
                </c:pt>
                <c:pt idx="660">
                  <c:v>45376</c:v>
                </c:pt>
                <c:pt idx="661">
                  <c:v>45377</c:v>
                </c:pt>
                <c:pt idx="662">
                  <c:v>45378</c:v>
                </c:pt>
                <c:pt idx="663">
                  <c:v>45379</c:v>
                </c:pt>
                <c:pt idx="664">
                  <c:v>45383</c:v>
                </c:pt>
                <c:pt idx="665">
                  <c:v>45384</c:v>
                </c:pt>
                <c:pt idx="666">
                  <c:v>45385</c:v>
                </c:pt>
                <c:pt idx="667">
                  <c:v>45386</c:v>
                </c:pt>
                <c:pt idx="668">
                  <c:v>45387</c:v>
                </c:pt>
                <c:pt idx="669">
                  <c:v>45390</c:v>
                </c:pt>
                <c:pt idx="670">
                  <c:v>45391</c:v>
                </c:pt>
                <c:pt idx="671">
                  <c:v>45392</c:v>
                </c:pt>
                <c:pt idx="672">
                  <c:v>45393</c:v>
                </c:pt>
                <c:pt idx="673">
                  <c:v>45394</c:v>
                </c:pt>
                <c:pt idx="674">
                  <c:v>45397</c:v>
                </c:pt>
                <c:pt idx="675">
                  <c:v>45398</c:v>
                </c:pt>
                <c:pt idx="676">
                  <c:v>45399</c:v>
                </c:pt>
                <c:pt idx="677">
                  <c:v>45400</c:v>
                </c:pt>
                <c:pt idx="678">
                  <c:v>45401</c:v>
                </c:pt>
                <c:pt idx="679">
                  <c:v>45404</c:v>
                </c:pt>
                <c:pt idx="680">
                  <c:v>45405</c:v>
                </c:pt>
                <c:pt idx="681">
                  <c:v>45406</c:v>
                </c:pt>
                <c:pt idx="682">
                  <c:v>45407</c:v>
                </c:pt>
                <c:pt idx="683">
                  <c:v>45408</c:v>
                </c:pt>
                <c:pt idx="684">
                  <c:v>45411</c:v>
                </c:pt>
                <c:pt idx="685">
                  <c:v>45412</c:v>
                </c:pt>
                <c:pt idx="686">
                  <c:v>45413</c:v>
                </c:pt>
                <c:pt idx="687">
                  <c:v>45414</c:v>
                </c:pt>
                <c:pt idx="688">
                  <c:v>45415</c:v>
                </c:pt>
                <c:pt idx="689">
                  <c:v>45418</c:v>
                </c:pt>
                <c:pt idx="690">
                  <c:v>45419</c:v>
                </c:pt>
                <c:pt idx="691">
                  <c:v>45420</c:v>
                </c:pt>
                <c:pt idx="692">
                  <c:v>45421</c:v>
                </c:pt>
                <c:pt idx="693">
                  <c:v>45422</c:v>
                </c:pt>
                <c:pt idx="694">
                  <c:v>45425</c:v>
                </c:pt>
                <c:pt idx="695">
                  <c:v>45426</c:v>
                </c:pt>
                <c:pt idx="696">
                  <c:v>45427</c:v>
                </c:pt>
                <c:pt idx="697">
                  <c:v>45428</c:v>
                </c:pt>
                <c:pt idx="698">
                  <c:v>45429</c:v>
                </c:pt>
                <c:pt idx="699">
                  <c:v>45432</c:v>
                </c:pt>
                <c:pt idx="700">
                  <c:v>45433</c:v>
                </c:pt>
                <c:pt idx="701">
                  <c:v>45434</c:v>
                </c:pt>
                <c:pt idx="702">
                  <c:v>45435</c:v>
                </c:pt>
                <c:pt idx="703">
                  <c:v>45436</c:v>
                </c:pt>
                <c:pt idx="704">
                  <c:v>45440</c:v>
                </c:pt>
                <c:pt idx="705">
                  <c:v>45441</c:v>
                </c:pt>
                <c:pt idx="706">
                  <c:v>45442</c:v>
                </c:pt>
                <c:pt idx="707">
                  <c:v>45443</c:v>
                </c:pt>
                <c:pt idx="708">
                  <c:v>45446</c:v>
                </c:pt>
                <c:pt idx="709">
                  <c:v>45447</c:v>
                </c:pt>
                <c:pt idx="710">
                  <c:v>45448</c:v>
                </c:pt>
                <c:pt idx="711">
                  <c:v>45449</c:v>
                </c:pt>
                <c:pt idx="712">
                  <c:v>45450</c:v>
                </c:pt>
                <c:pt idx="713">
                  <c:v>45453</c:v>
                </c:pt>
                <c:pt idx="714">
                  <c:v>45454</c:v>
                </c:pt>
                <c:pt idx="715">
                  <c:v>45455</c:v>
                </c:pt>
                <c:pt idx="716">
                  <c:v>45456</c:v>
                </c:pt>
                <c:pt idx="717">
                  <c:v>45457</c:v>
                </c:pt>
                <c:pt idx="718">
                  <c:v>45460</c:v>
                </c:pt>
                <c:pt idx="719">
                  <c:v>45461</c:v>
                </c:pt>
                <c:pt idx="720">
                  <c:v>45463</c:v>
                </c:pt>
                <c:pt idx="721">
                  <c:v>45464</c:v>
                </c:pt>
                <c:pt idx="722">
                  <c:v>45467</c:v>
                </c:pt>
                <c:pt idx="723">
                  <c:v>45468</c:v>
                </c:pt>
                <c:pt idx="724">
                  <c:v>45469</c:v>
                </c:pt>
                <c:pt idx="725">
                  <c:v>45470</c:v>
                </c:pt>
                <c:pt idx="726">
                  <c:v>45471</c:v>
                </c:pt>
                <c:pt idx="727">
                  <c:v>45474</c:v>
                </c:pt>
                <c:pt idx="728">
                  <c:v>45475</c:v>
                </c:pt>
                <c:pt idx="729">
                  <c:v>45476</c:v>
                </c:pt>
                <c:pt idx="730">
                  <c:v>45478</c:v>
                </c:pt>
                <c:pt idx="731">
                  <c:v>45481</c:v>
                </c:pt>
                <c:pt idx="732">
                  <c:v>45482</c:v>
                </c:pt>
                <c:pt idx="733">
                  <c:v>45483</c:v>
                </c:pt>
                <c:pt idx="734">
                  <c:v>45484</c:v>
                </c:pt>
                <c:pt idx="735">
                  <c:v>45485</c:v>
                </c:pt>
                <c:pt idx="736">
                  <c:v>45488</c:v>
                </c:pt>
                <c:pt idx="737">
                  <c:v>45489</c:v>
                </c:pt>
                <c:pt idx="738">
                  <c:v>45490</c:v>
                </c:pt>
                <c:pt idx="739">
                  <c:v>45491</c:v>
                </c:pt>
                <c:pt idx="740">
                  <c:v>45492</c:v>
                </c:pt>
                <c:pt idx="741">
                  <c:v>45495</c:v>
                </c:pt>
                <c:pt idx="742">
                  <c:v>45496</c:v>
                </c:pt>
                <c:pt idx="743">
                  <c:v>45497</c:v>
                </c:pt>
                <c:pt idx="744">
                  <c:v>45498</c:v>
                </c:pt>
                <c:pt idx="745">
                  <c:v>45499</c:v>
                </c:pt>
                <c:pt idx="746">
                  <c:v>45502</c:v>
                </c:pt>
                <c:pt idx="747">
                  <c:v>45503</c:v>
                </c:pt>
                <c:pt idx="748">
                  <c:v>45504</c:v>
                </c:pt>
                <c:pt idx="749">
                  <c:v>45505</c:v>
                </c:pt>
                <c:pt idx="750">
                  <c:v>45506</c:v>
                </c:pt>
                <c:pt idx="751">
                  <c:v>45509</c:v>
                </c:pt>
                <c:pt idx="752">
                  <c:v>45510</c:v>
                </c:pt>
                <c:pt idx="753">
                  <c:v>45511</c:v>
                </c:pt>
                <c:pt idx="754">
                  <c:v>45512</c:v>
                </c:pt>
                <c:pt idx="755">
                  <c:v>45513</c:v>
                </c:pt>
                <c:pt idx="756">
                  <c:v>45516</c:v>
                </c:pt>
                <c:pt idx="757">
                  <c:v>45517</c:v>
                </c:pt>
                <c:pt idx="758">
                  <c:v>45518</c:v>
                </c:pt>
                <c:pt idx="759">
                  <c:v>45519</c:v>
                </c:pt>
                <c:pt idx="760">
                  <c:v>45520</c:v>
                </c:pt>
                <c:pt idx="761">
                  <c:v>45523</c:v>
                </c:pt>
                <c:pt idx="762">
                  <c:v>45524</c:v>
                </c:pt>
                <c:pt idx="763">
                  <c:v>45525</c:v>
                </c:pt>
                <c:pt idx="764">
                  <c:v>45526</c:v>
                </c:pt>
                <c:pt idx="765">
                  <c:v>45527</c:v>
                </c:pt>
                <c:pt idx="766">
                  <c:v>45530</c:v>
                </c:pt>
                <c:pt idx="767">
                  <c:v>45531</c:v>
                </c:pt>
                <c:pt idx="768">
                  <c:v>45532</c:v>
                </c:pt>
                <c:pt idx="769">
                  <c:v>45533</c:v>
                </c:pt>
                <c:pt idx="770">
                  <c:v>45534</c:v>
                </c:pt>
                <c:pt idx="771">
                  <c:v>45538</c:v>
                </c:pt>
                <c:pt idx="772">
                  <c:v>45539</c:v>
                </c:pt>
                <c:pt idx="773">
                  <c:v>45540</c:v>
                </c:pt>
                <c:pt idx="774">
                  <c:v>45541</c:v>
                </c:pt>
                <c:pt idx="775">
                  <c:v>45544</c:v>
                </c:pt>
                <c:pt idx="776">
                  <c:v>45545</c:v>
                </c:pt>
                <c:pt idx="777">
                  <c:v>45546</c:v>
                </c:pt>
                <c:pt idx="778">
                  <c:v>45547</c:v>
                </c:pt>
                <c:pt idx="779">
                  <c:v>45548</c:v>
                </c:pt>
                <c:pt idx="780">
                  <c:v>45551</c:v>
                </c:pt>
                <c:pt idx="781">
                  <c:v>45552</c:v>
                </c:pt>
                <c:pt idx="782">
                  <c:v>45553</c:v>
                </c:pt>
                <c:pt idx="783">
                  <c:v>45554</c:v>
                </c:pt>
                <c:pt idx="784">
                  <c:v>45555</c:v>
                </c:pt>
                <c:pt idx="785">
                  <c:v>45558</c:v>
                </c:pt>
                <c:pt idx="786">
                  <c:v>45559</c:v>
                </c:pt>
                <c:pt idx="787">
                  <c:v>45560</c:v>
                </c:pt>
                <c:pt idx="788">
                  <c:v>45561</c:v>
                </c:pt>
                <c:pt idx="789">
                  <c:v>45562</c:v>
                </c:pt>
                <c:pt idx="790">
                  <c:v>45565</c:v>
                </c:pt>
                <c:pt idx="791">
                  <c:v>45566</c:v>
                </c:pt>
                <c:pt idx="792">
                  <c:v>45567</c:v>
                </c:pt>
                <c:pt idx="793">
                  <c:v>45568</c:v>
                </c:pt>
                <c:pt idx="794">
                  <c:v>45569</c:v>
                </c:pt>
                <c:pt idx="795">
                  <c:v>45572</c:v>
                </c:pt>
                <c:pt idx="796">
                  <c:v>45573</c:v>
                </c:pt>
                <c:pt idx="797">
                  <c:v>45574</c:v>
                </c:pt>
                <c:pt idx="798">
                  <c:v>45575</c:v>
                </c:pt>
                <c:pt idx="799">
                  <c:v>45576</c:v>
                </c:pt>
                <c:pt idx="800">
                  <c:v>45579</c:v>
                </c:pt>
                <c:pt idx="801">
                  <c:v>45580</c:v>
                </c:pt>
                <c:pt idx="802">
                  <c:v>45581</c:v>
                </c:pt>
                <c:pt idx="803">
                  <c:v>45582</c:v>
                </c:pt>
                <c:pt idx="804">
                  <c:v>45583</c:v>
                </c:pt>
                <c:pt idx="805">
                  <c:v>45586</c:v>
                </c:pt>
                <c:pt idx="806">
                  <c:v>45587</c:v>
                </c:pt>
                <c:pt idx="807">
                  <c:v>45588</c:v>
                </c:pt>
                <c:pt idx="808">
                  <c:v>45589</c:v>
                </c:pt>
                <c:pt idx="809">
                  <c:v>45590</c:v>
                </c:pt>
                <c:pt idx="810">
                  <c:v>45593</c:v>
                </c:pt>
                <c:pt idx="811">
                  <c:v>45594</c:v>
                </c:pt>
                <c:pt idx="812">
                  <c:v>45595</c:v>
                </c:pt>
                <c:pt idx="813">
                  <c:v>45596</c:v>
                </c:pt>
                <c:pt idx="814">
                  <c:v>45597</c:v>
                </c:pt>
                <c:pt idx="815">
                  <c:v>45600</c:v>
                </c:pt>
                <c:pt idx="816">
                  <c:v>45601</c:v>
                </c:pt>
                <c:pt idx="817">
                  <c:v>45602</c:v>
                </c:pt>
                <c:pt idx="818">
                  <c:v>45603</c:v>
                </c:pt>
                <c:pt idx="819">
                  <c:v>45604</c:v>
                </c:pt>
                <c:pt idx="820">
                  <c:v>45607</c:v>
                </c:pt>
                <c:pt idx="821">
                  <c:v>45608</c:v>
                </c:pt>
                <c:pt idx="822">
                  <c:v>45609</c:v>
                </c:pt>
                <c:pt idx="823">
                  <c:v>45610</c:v>
                </c:pt>
                <c:pt idx="824">
                  <c:v>45611</c:v>
                </c:pt>
                <c:pt idx="825">
                  <c:v>45614</c:v>
                </c:pt>
                <c:pt idx="826">
                  <c:v>45615</c:v>
                </c:pt>
                <c:pt idx="827">
                  <c:v>45616</c:v>
                </c:pt>
                <c:pt idx="828">
                  <c:v>45617</c:v>
                </c:pt>
                <c:pt idx="829">
                  <c:v>45618</c:v>
                </c:pt>
                <c:pt idx="830">
                  <c:v>45621</c:v>
                </c:pt>
                <c:pt idx="831">
                  <c:v>45622</c:v>
                </c:pt>
                <c:pt idx="832">
                  <c:v>45623</c:v>
                </c:pt>
                <c:pt idx="833">
                  <c:v>45625</c:v>
                </c:pt>
                <c:pt idx="834">
                  <c:v>45628</c:v>
                </c:pt>
                <c:pt idx="835">
                  <c:v>45629</c:v>
                </c:pt>
                <c:pt idx="836">
                  <c:v>45630</c:v>
                </c:pt>
                <c:pt idx="837">
                  <c:v>45631</c:v>
                </c:pt>
                <c:pt idx="838">
                  <c:v>45632</c:v>
                </c:pt>
                <c:pt idx="839">
                  <c:v>45635</c:v>
                </c:pt>
                <c:pt idx="840">
                  <c:v>45636</c:v>
                </c:pt>
                <c:pt idx="841">
                  <c:v>45637</c:v>
                </c:pt>
                <c:pt idx="842">
                  <c:v>45638</c:v>
                </c:pt>
                <c:pt idx="843">
                  <c:v>45639</c:v>
                </c:pt>
                <c:pt idx="844">
                  <c:v>45642</c:v>
                </c:pt>
                <c:pt idx="845">
                  <c:v>45643</c:v>
                </c:pt>
                <c:pt idx="846">
                  <c:v>45644</c:v>
                </c:pt>
                <c:pt idx="847">
                  <c:v>45645</c:v>
                </c:pt>
                <c:pt idx="848">
                  <c:v>45646</c:v>
                </c:pt>
                <c:pt idx="849">
                  <c:v>45649</c:v>
                </c:pt>
                <c:pt idx="850">
                  <c:v>45650</c:v>
                </c:pt>
                <c:pt idx="851">
                  <c:v>45652</c:v>
                </c:pt>
                <c:pt idx="852">
                  <c:v>45653</c:v>
                </c:pt>
                <c:pt idx="853">
                  <c:v>45656</c:v>
                </c:pt>
                <c:pt idx="854">
                  <c:v>45657</c:v>
                </c:pt>
                <c:pt idx="855">
                  <c:v>45659</c:v>
                </c:pt>
                <c:pt idx="856">
                  <c:v>45660</c:v>
                </c:pt>
                <c:pt idx="857">
                  <c:v>45663</c:v>
                </c:pt>
                <c:pt idx="858">
                  <c:v>45664</c:v>
                </c:pt>
                <c:pt idx="859">
                  <c:v>45665</c:v>
                </c:pt>
                <c:pt idx="860">
                  <c:v>45667</c:v>
                </c:pt>
                <c:pt idx="861">
                  <c:v>45670</c:v>
                </c:pt>
                <c:pt idx="862">
                  <c:v>45671</c:v>
                </c:pt>
                <c:pt idx="863">
                  <c:v>45672</c:v>
                </c:pt>
                <c:pt idx="864">
                  <c:v>45673</c:v>
                </c:pt>
                <c:pt idx="865">
                  <c:v>45674</c:v>
                </c:pt>
                <c:pt idx="866">
                  <c:v>45678</c:v>
                </c:pt>
                <c:pt idx="867">
                  <c:v>45679</c:v>
                </c:pt>
                <c:pt idx="868">
                  <c:v>45680</c:v>
                </c:pt>
                <c:pt idx="869">
                  <c:v>45681</c:v>
                </c:pt>
                <c:pt idx="870">
                  <c:v>45684</c:v>
                </c:pt>
                <c:pt idx="871">
                  <c:v>45685</c:v>
                </c:pt>
                <c:pt idx="872">
                  <c:v>45686</c:v>
                </c:pt>
                <c:pt idx="873">
                  <c:v>45687</c:v>
                </c:pt>
                <c:pt idx="874">
                  <c:v>45688</c:v>
                </c:pt>
                <c:pt idx="875">
                  <c:v>45691</c:v>
                </c:pt>
                <c:pt idx="876">
                  <c:v>45692</c:v>
                </c:pt>
                <c:pt idx="877">
                  <c:v>45693</c:v>
                </c:pt>
                <c:pt idx="878">
                  <c:v>45694</c:v>
                </c:pt>
                <c:pt idx="879">
                  <c:v>45695</c:v>
                </c:pt>
                <c:pt idx="880">
                  <c:v>45698</c:v>
                </c:pt>
                <c:pt idx="881">
                  <c:v>45699</c:v>
                </c:pt>
                <c:pt idx="882">
                  <c:v>45700</c:v>
                </c:pt>
                <c:pt idx="883">
                  <c:v>45701</c:v>
                </c:pt>
                <c:pt idx="884">
                  <c:v>45702</c:v>
                </c:pt>
                <c:pt idx="885">
                  <c:v>45706</c:v>
                </c:pt>
                <c:pt idx="886">
                  <c:v>45707</c:v>
                </c:pt>
                <c:pt idx="887">
                  <c:v>45708</c:v>
                </c:pt>
                <c:pt idx="888">
                  <c:v>45709</c:v>
                </c:pt>
                <c:pt idx="889">
                  <c:v>45712</c:v>
                </c:pt>
                <c:pt idx="890">
                  <c:v>45713</c:v>
                </c:pt>
                <c:pt idx="891">
                  <c:v>45714</c:v>
                </c:pt>
                <c:pt idx="892">
                  <c:v>45715</c:v>
                </c:pt>
                <c:pt idx="893">
                  <c:v>45716</c:v>
                </c:pt>
                <c:pt idx="894">
                  <c:v>45719</c:v>
                </c:pt>
                <c:pt idx="895">
                  <c:v>45720</c:v>
                </c:pt>
                <c:pt idx="896">
                  <c:v>45721</c:v>
                </c:pt>
                <c:pt idx="897">
                  <c:v>45722</c:v>
                </c:pt>
                <c:pt idx="898">
                  <c:v>45723</c:v>
                </c:pt>
                <c:pt idx="899">
                  <c:v>45726</c:v>
                </c:pt>
                <c:pt idx="900">
                  <c:v>45727</c:v>
                </c:pt>
                <c:pt idx="901">
                  <c:v>45728</c:v>
                </c:pt>
                <c:pt idx="902">
                  <c:v>45729</c:v>
                </c:pt>
                <c:pt idx="903">
                  <c:v>45730</c:v>
                </c:pt>
                <c:pt idx="904">
                  <c:v>45733</c:v>
                </c:pt>
                <c:pt idx="905">
                  <c:v>45734</c:v>
                </c:pt>
                <c:pt idx="906">
                  <c:v>45735</c:v>
                </c:pt>
                <c:pt idx="907">
                  <c:v>45736</c:v>
                </c:pt>
                <c:pt idx="908">
                  <c:v>45737</c:v>
                </c:pt>
                <c:pt idx="909">
                  <c:v>45740</c:v>
                </c:pt>
                <c:pt idx="910">
                  <c:v>45741</c:v>
                </c:pt>
                <c:pt idx="911">
                  <c:v>45742</c:v>
                </c:pt>
                <c:pt idx="912">
                  <c:v>45743</c:v>
                </c:pt>
                <c:pt idx="913">
                  <c:v>45744</c:v>
                </c:pt>
                <c:pt idx="914">
                  <c:v>45747</c:v>
                </c:pt>
                <c:pt idx="915">
                  <c:v>45748</c:v>
                </c:pt>
                <c:pt idx="916">
                  <c:v>45749</c:v>
                </c:pt>
                <c:pt idx="917">
                  <c:v>45750</c:v>
                </c:pt>
                <c:pt idx="918">
                  <c:v>45751</c:v>
                </c:pt>
                <c:pt idx="919">
                  <c:v>45754</c:v>
                </c:pt>
                <c:pt idx="920">
                  <c:v>45755</c:v>
                </c:pt>
                <c:pt idx="921">
                  <c:v>45756</c:v>
                </c:pt>
                <c:pt idx="922">
                  <c:v>45757</c:v>
                </c:pt>
                <c:pt idx="923">
                  <c:v>45758</c:v>
                </c:pt>
                <c:pt idx="924">
                  <c:v>45761</c:v>
                </c:pt>
                <c:pt idx="925">
                  <c:v>45762</c:v>
                </c:pt>
                <c:pt idx="926">
                  <c:v>45763</c:v>
                </c:pt>
                <c:pt idx="927">
                  <c:v>45764</c:v>
                </c:pt>
                <c:pt idx="928">
                  <c:v>45768</c:v>
                </c:pt>
                <c:pt idx="929">
                  <c:v>45769</c:v>
                </c:pt>
                <c:pt idx="930">
                  <c:v>45770</c:v>
                </c:pt>
                <c:pt idx="931">
                  <c:v>45771</c:v>
                </c:pt>
                <c:pt idx="932">
                  <c:v>45772</c:v>
                </c:pt>
                <c:pt idx="933">
                  <c:v>45775</c:v>
                </c:pt>
                <c:pt idx="934">
                  <c:v>45776</c:v>
                </c:pt>
                <c:pt idx="935">
                  <c:v>45777</c:v>
                </c:pt>
                <c:pt idx="936">
                  <c:v>45778</c:v>
                </c:pt>
                <c:pt idx="937">
                  <c:v>45779</c:v>
                </c:pt>
                <c:pt idx="938">
                  <c:v>45782</c:v>
                </c:pt>
                <c:pt idx="939">
                  <c:v>45783</c:v>
                </c:pt>
                <c:pt idx="940">
                  <c:v>45784</c:v>
                </c:pt>
                <c:pt idx="941">
                  <c:v>45785</c:v>
                </c:pt>
                <c:pt idx="942">
                  <c:v>45786</c:v>
                </c:pt>
                <c:pt idx="943">
                  <c:v>45789</c:v>
                </c:pt>
                <c:pt idx="944">
                  <c:v>45790</c:v>
                </c:pt>
                <c:pt idx="945">
                  <c:v>45791</c:v>
                </c:pt>
                <c:pt idx="946">
                  <c:v>45792</c:v>
                </c:pt>
                <c:pt idx="947">
                  <c:v>45793</c:v>
                </c:pt>
                <c:pt idx="948">
                  <c:v>45796</c:v>
                </c:pt>
                <c:pt idx="949">
                  <c:v>45797</c:v>
                </c:pt>
                <c:pt idx="950">
                  <c:v>45798</c:v>
                </c:pt>
                <c:pt idx="951">
                  <c:v>45799</c:v>
                </c:pt>
                <c:pt idx="952">
                  <c:v>45800</c:v>
                </c:pt>
                <c:pt idx="953">
                  <c:v>45804</c:v>
                </c:pt>
                <c:pt idx="954">
                  <c:v>45805</c:v>
                </c:pt>
                <c:pt idx="955">
                  <c:v>45806</c:v>
                </c:pt>
                <c:pt idx="956">
                  <c:v>45807</c:v>
                </c:pt>
                <c:pt idx="957">
                  <c:v>45810</c:v>
                </c:pt>
                <c:pt idx="958">
                  <c:v>45811</c:v>
                </c:pt>
                <c:pt idx="959">
                  <c:v>45812</c:v>
                </c:pt>
                <c:pt idx="960">
                  <c:v>45813</c:v>
                </c:pt>
                <c:pt idx="961">
                  <c:v>45814</c:v>
                </c:pt>
                <c:pt idx="962">
                  <c:v>45817</c:v>
                </c:pt>
                <c:pt idx="963">
                  <c:v>45818</c:v>
                </c:pt>
                <c:pt idx="964">
                  <c:v>45819</c:v>
                </c:pt>
                <c:pt idx="965">
                  <c:v>45820</c:v>
                </c:pt>
                <c:pt idx="966">
                  <c:v>45821</c:v>
                </c:pt>
                <c:pt idx="967">
                  <c:v>45824</c:v>
                </c:pt>
                <c:pt idx="968">
                  <c:v>45825</c:v>
                </c:pt>
                <c:pt idx="969">
                  <c:v>45826</c:v>
                </c:pt>
                <c:pt idx="970">
                  <c:v>45828</c:v>
                </c:pt>
                <c:pt idx="971">
                  <c:v>45831</c:v>
                </c:pt>
                <c:pt idx="972">
                  <c:v>45832</c:v>
                </c:pt>
                <c:pt idx="973">
                  <c:v>45833</c:v>
                </c:pt>
                <c:pt idx="974">
                  <c:v>45834</c:v>
                </c:pt>
                <c:pt idx="975">
                  <c:v>45835</c:v>
                </c:pt>
                <c:pt idx="976">
                  <c:v>45838</c:v>
                </c:pt>
                <c:pt idx="977">
                  <c:v>45839</c:v>
                </c:pt>
                <c:pt idx="978">
                  <c:v>45840</c:v>
                </c:pt>
                <c:pt idx="979">
                  <c:v>45841</c:v>
                </c:pt>
                <c:pt idx="980">
                  <c:v>45845</c:v>
                </c:pt>
                <c:pt idx="981">
                  <c:v>45846</c:v>
                </c:pt>
                <c:pt idx="982">
                  <c:v>45847</c:v>
                </c:pt>
                <c:pt idx="983">
                  <c:v>45848</c:v>
                </c:pt>
                <c:pt idx="984">
                  <c:v>45849</c:v>
                </c:pt>
                <c:pt idx="985">
                  <c:v>45852</c:v>
                </c:pt>
                <c:pt idx="986">
                  <c:v>45853</c:v>
                </c:pt>
                <c:pt idx="987">
                  <c:v>45854</c:v>
                </c:pt>
                <c:pt idx="988">
                  <c:v>45855</c:v>
                </c:pt>
                <c:pt idx="989">
                  <c:v>45856</c:v>
                </c:pt>
                <c:pt idx="990">
                  <c:v>45859</c:v>
                </c:pt>
                <c:pt idx="991">
                  <c:v>45860</c:v>
                </c:pt>
                <c:pt idx="992">
                  <c:v>45861</c:v>
                </c:pt>
                <c:pt idx="993">
                  <c:v>45862</c:v>
                </c:pt>
                <c:pt idx="994">
                  <c:v>45863</c:v>
                </c:pt>
                <c:pt idx="995">
                  <c:v>45866</c:v>
                </c:pt>
                <c:pt idx="996">
                  <c:v>45867</c:v>
                </c:pt>
                <c:pt idx="997">
                  <c:v>45868</c:v>
                </c:pt>
                <c:pt idx="998">
                  <c:v>45869</c:v>
                </c:pt>
                <c:pt idx="999">
                  <c:v>45870</c:v>
                </c:pt>
                <c:pt idx="1000">
                  <c:v>45873</c:v>
                </c:pt>
                <c:pt idx="1001">
                  <c:v>45874</c:v>
                </c:pt>
                <c:pt idx="1002">
                  <c:v>45875</c:v>
                </c:pt>
                <c:pt idx="1003">
                  <c:v>45876</c:v>
                </c:pt>
                <c:pt idx="1004">
                  <c:v>45877</c:v>
                </c:pt>
                <c:pt idx="1005">
                  <c:v>45880</c:v>
                </c:pt>
                <c:pt idx="1006">
                  <c:v>45881</c:v>
                </c:pt>
                <c:pt idx="1007">
                  <c:v>45882</c:v>
                </c:pt>
                <c:pt idx="1008">
                  <c:v>45883</c:v>
                </c:pt>
                <c:pt idx="1009">
                  <c:v>45884</c:v>
                </c:pt>
                <c:pt idx="1010">
                  <c:v>45887</c:v>
                </c:pt>
                <c:pt idx="1011">
                  <c:v>45888</c:v>
                </c:pt>
                <c:pt idx="1012">
                  <c:v>45889</c:v>
                </c:pt>
                <c:pt idx="1013">
                  <c:v>45890</c:v>
                </c:pt>
                <c:pt idx="1014">
                  <c:v>45891</c:v>
                </c:pt>
                <c:pt idx="1015">
                  <c:v>45894</c:v>
                </c:pt>
                <c:pt idx="1016">
                  <c:v>45895</c:v>
                </c:pt>
                <c:pt idx="1017">
                  <c:v>45896</c:v>
                </c:pt>
                <c:pt idx="1018">
                  <c:v>45897</c:v>
                </c:pt>
                <c:pt idx="1019">
                  <c:v>45898</c:v>
                </c:pt>
                <c:pt idx="1020">
                  <c:v>45902</c:v>
                </c:pt>
                <c:pt idx="1021">
                  <c:v>45903</c:v>
                </c:pt>
                <c:pt idx="1022">
                  <c:v>45904</c:v>
                </c:pt>
                <c:pt idx="1023">
                  <c:v>45905</c:v>
                </c:pt>
                <c:pt idx="1024">
                  <c:v>45908</c:v>
                </c:pt>
                <c:pt idx="1025">
                  <c:v>45909</c:v>
                </c:pt>
                <c:pt idx="1026">
                  <c:v>45910</c:v>
                </c:pt>
                <c:pt idx="1027">
                  <c:v>45911</c:v>
                </c:pt>
                <c:pt idx="1028">
                  <c:v>45912</c:v>
                </c:pt>
                <c:pt idx="1029">
                  <c:v>45915</c:v>
                </c:pt>
                <c:pt idx="1030">
                  <c:v>45916</c:v>
                </c:pt>
                <c:pt idx="1031">
                  <c:v>45917</c:v>
                </c:pt>
                <c:pt idx="1032">
                  <c:v>45918</c:v>
                </c:pt>
                <c:pt idx="1033">
                  <c:v>45919</c:v>
                </c:pt>
                <c:pt idx="1034">
                  <c:v>45922</c:v>
                </c:pt>
                <c:pt idx="1035">
                  <c:v>45923</c:v>
                </c:pt>
                <c:pt idx="1036">
                  <c:v>45924</c:v>
                </c:pt>
                <c:pt idx="1037">
                  <c:v>45925</c:v>
                </c:pt>
                <c:pt idx="1038">
                  <c:v>45926</c:v>
                </c:pt>
                <c:pt idx="1039">
                  <c:v>45929</c:v>
                </c:pt>
                <c:pt idx="1040">
                  <c:v>45930</c:v>
                </c:pt>
                <c:pt idx="1041">
                  <c:v>45931</c:v>
                </c:pt>
                <c:pt idx="1042">
                  <c:v>45932</c:v>
                </c:pt>
                <c:pt idx="1043">
                  <c:v>45933</c:v>
                </c:pt>
                <c:pt idx="1044">
                  <c:v>45936</c:v>
                </c:pt>
                <c:pt idx="1045">
                  <c:v>45937</c:v>
                </c:pt>
                <c:pt idx="1046">
                  <c:v>45938</c:v>
                </c:pt>
                <c:pt idx="1047">
                  <c:v>45939</c:v>
                </c:pt>
                <c:pt idx="1048">
                  <c:v>45940</c:v>
                </c:pt>
                <c:pt idx="1049">
                  <c:v>45943</c:v>
                </c:pt>
                <c:pt idx="1050">
                  <c:v>45944</c:v>
                </c:pt>
                <c:pt idx="1051">
                  <c:v>45945</c:v>
                </c:pt>
                <c:pt idx="1052">
                  <c:v>45946</c:v>
                </c:pt>
                <c:pt idx="1053">
                  <c:v>45947</c:v>
                </c:pt>
                <c:pt idx="1054">
                  <c:v>45950</c:v>
                </c:pt>
                <c:pt idx="1055">
                  <c:v>45951</c:v>
                </c:pt>
                <c:pt idx="1056">
                  <c:v>45952</c:v>
                </c:pt>
                <c:pt idx="1057">
                  <c:v>45953</c:v>
                </c:pt>
                <c:pt idx="1058">
                  <c:v>45954</c:v>
                </c:pt>
                <c:pt idx="1059">
                  <c:v>45957</c:v>
                </c:pt>
                <c:pt idx="1060">
                  <c:v>45958</c:v>
                </c:pt>
                <c:pt idx="1061">
                  <c:v>45959</c:v>
                </c:pt>
                <c:pt idx="1062">
                  <c:v>45960</c:v>
                </c:pt>
                <c:pt idx="1063">
                  <c:v>45961</c:v>
                </c:pt>
                <c:pt idx="1064">
                  <c:v>45964</c:v>
                </c:pt>
                <c:pt idx="1065">
                  <c:v>45965</c:v>
                </c:pt>
                <c:pt idx="1066">
                  <c:v>45966</c:v>
                </c:pt>
                <c:pt idx="1067">
                  <c:v>45967</c:v>
                </c:pt>
                <c:pt idx="1068">
                  <c:v>45968</c:v>
                </c:pt>
                <c:pt idx="1069">
                  <c:v>45971</c:v>
                </c:pt>
                <c:pt idx="1070">
                  <c:v>45972</c:v>
                </c:pt>
                <c:pt idx="1071">
                  <c:v>45973</c:v>
                </c:pt>
                <c:pt idx="1072">
                  <c:v>45974</c:v>
                </c:pt>
                <c:pt idx="1073">
                  <c:v>45975</c:v>
                </c:pt>
                <c:pt idx="1074">
                  <c:v>45978</c:v>
                </c:pt>
                <c:pt idx="1075">
                  <c:v>45979</c:v>
                </c:pt>
                <c:pt idx="1076">
                  <c:v>45980</c:v>
                </c:pt>
                <c:pt idx="1077">
                  <c:v>45981</c:v>
                </c:pt>
                <c:pt idx="1078">
                  <c:v>45982</c:v>
                </c:pt>
                <c:pt idx="1079">
                  <c:v>45985</c:v>
                </c:pt>
                <c:pt idx="1080">
                  <c:v>45986</c:v>
                </c:pt>
                <c:pt idx="1081">
                  <c:v>45987</c:v>
                </c:pt>
                <c:pt idx="1082">
                  <c:v>45989</c:v>
                </c:pt>
                <c:pt idx="1083">
                  <c:v>45992</c:v>
                </c:pt>
                <c:pt idx="1084">
                  <c:v>45993</c:v>
                </c:pt>
                <c:pt idx="1085">
                  <c:v>45994</c:v>
                </c:pt>
                <c:pt idx="1086">
                  <c:v>45995</c:v>
                </c:pt>
                <c:pt idx="1087">
                  <c:v>45996</c:v>
                </c:pt>
                <c:pt idx="1088">
                  <c:v>45999</c:v>
                </c:pt>
                <c:pt idx="1089">
                  <c:v>46000</c:v>
                </c:pt>
                <c:pt idx="1090">
                  <c:v>46001</c:v>
                </c:pt>
                <c:pt idx="1091">
                  <c:v>46002</c:v>
                </c:pt>
                <c:pt idx="1092">
                  <c:v>46003</c:v>
                </c:pt>
                <c:pt idx="1093">
                  <c:v>46006</c:v>
                </c:pt>
                <c:pt idx="1094">
                  <c:v>46007</c:v>
                </c:pt>
                <c:pt idx="1095">
                  <c:v>46008</c:v>
                </c:pt>
                <c:pt idx="1096">
                  <c:v>46009</c:v>
                </c:pt>
                <c:pt idx="1097">
                  <c:v>46010</c:v>
                </c:pt>
                <c:pt idx="1098">
                  <c:v>46013</c:v>
                </c:pt>
                <c:pt idx="1099">
                  <c:v>46014</c:v>
                </c:pt>
                <c:pt idx="1100">
                  <c:v>46015</c:v>
                </c:pt>
                <c:pt idx="1101">
                  <c:v>46017</c:v>
                </c:pt>
                <c:pt idx="1102">
                  <c:v>46020</c:v>
                </c:pt>
                <c:pt idx="1103">
                  <c:v>46021</c:v>
                </c:pt>
                <c:pt idx="1104">
                  <c:v>46022</c:v>
                </c:pt>
                <c:pt idx="1105">
                  <c:v>46024</c:v>
                </c:pt>
                <c:pt idx="1106">
                  <c:v>46027</c:v>
                </c:pt>
                <c:pt idx="1107">
                  <c:v>46028</c:v>
                </c:pt>
                <c:pt idx="1108">
                  <c:v>46029</c:v>
                </c:pt>
                <c:pt idx="1109">
                  <c:v>46030</c:v>
                </c:pt>
                <c:pt idx="1110">
                  <c:v>46031</c:v>
                </c:pt>
                <c:pt idx="1111">
                  <c:v>46034</c:v>
                </c:pt>
                <c:pt idx="1112">
                  <c:v>46035</c:v>
                </c:pt>
                <c:pt idx="1113">
                  <c:v>46036</c:v>
                </c:pt>
                <c:pt idx="1114">
                  <c:v>46037</c:v>
                </c:pt>
                <c:pt idx="1115">
                  <c:v>46038</c:v>
                </c:pt>
                <c:pt idx="1116">
                  <c:v>46042</c:v>
                </c:pt>
                <c:pt idx="1117">
                  <c:v>46043</c:v>
                </c:pt>
                <c:pt idx="1118">
                  <c:v>46044</c:v>
                </c:pt>
                <c:pt idx="1119">
                  <c:v>46045</c:v>
                </c:pt>
                <c:pt idx="1120">
                  <c:v>46048</c:v>
                </c:pt>
                <c:pt idx="1121">
                  <c:v>46049</c:v>
                </c:pt>
                <c:pt idx="1122">
                  <c:v>46050</c:v>
                </c:pt>
                <c:pt idx="1123">
                  <c:v>46051</c:v>
                </c:pt>
                <c:pt idx="1124">
                  <c:v>46052</c:v>
                </c:pt>
                <c:pt idx="1125">
                  <c:v>46055</c:v>
                </c:pt>
                <c:pt idx="1126">
                  <c:v>46056</c:v>
                </c:pt>
                <c:pt idx="1127">
                  <c:v>46057</c:v>
                </c:pt>
                <c:pt idx="1128">
                  <c:v>46058</c:v>
                </c:pt>
                <c:pt idx="1129">
                  <c:v>46059</c:v>
                </c:pt>
                <c:pt idx="1130">
                  <c:v>46062</c:v>
                </c:pt>
                <c:pt idx="1131">
                  <c:v>46063</c:v>
                </c:pt>
                <c:pt idx="1132">
                  <c:v>46064</c:v>
                </c:pt>
                <c:pt idx="1133">
                  <c:v>46065</c:v>
                </c:pt>
                <c:pt idx="1134">
                  <c:v>46066</c:v>
                </c:pt>
                <c:pt idx="1135">
                  <c:v>46070</c:v>
                </c:pt>
                <c:pt idx="1136">
                  <c:v>46071</c:v>
                </c:pt>
                <c:pt idx="1137">
                  <c:v>46072</c:v>
                </c:pt>
                <c:pt idx="1138">
                  <c:v>46073</c:v>
                </c:pt>
                <c:pt idx="1139">
                  <c:v>46076</c:v>
                </c:pt>
                <c:pt idx="1140">
                  <c:v>46077</c:v>
                </c:pt>
                <c:pt idx="1141">
                  <c:v>46078</c:v>
                </c:pt>
                <c:pt idx="1142">
                  <c:v>46079</c:v>
                </c:pt>
                <c:pt idx="1143">
                  <c:v>46080</c:v>
                </c:pt>
                <c:pt idx="1144">
                  <c:v>46083</c:v>
                </c:pt>
                <c:pt idx="1145">
                  <c:v>46084</c:v>
                </c:pt>
                <c:pt idx="1146">
                  <c:v>46085</c:v>
                </c:pt>
                <c:pt idx="1147">
                  <c:v>46086</c:v>
                </c:pt>
                <c:pt idx="1148">
                  <c:v>46087</c:v>
                </c:pt>
                <c:pt idx="1149">
                  <c:v>46090</c:v>
                </c:pt>
                <c:pt idx="1150">
                  <c:v>46091</c:v>
                </c:pt>
                <c:pt idx="1151">
                  <c:v>46092</c:v>
                </c:pt>
                <c:pt idx="1152">
                  <c:v>46093</c:v>
                </c:pt>
                <c:pt idx="1153">
                  <c:v>46094</c:v>
                </c:pt>
                <c:pt idx="1154">
                  <c:v>46097</c:v>
                </c:pt>
                <c:pt idx="1155">
                  <c:v>46098</c:v>
                </c:pt>
                <c:pt idx="1156">
                  <c:v>46099</c:v>
                </c:pt>
                <c:pt idx="1157">
                  <c:v>46100</c:v>
                </c:pt>
                <c:pt idx="1158">
                  <c:v>46101</c:v>
                </c:pt>
                <c:pt idx="1159">
                  <c:v>46104</c:v>
                </c:pt>
                <c:pt idx="1160">
                  <c:v>46105</c:v>
                </c:pt>
                <c:pt idx="1161">
                  <c:v>46106</c:v>
                </c:pt>
                <c:pt idx="1162">
                  <c:v>46107</c:v>
                </c:pt>
                <c:pt idx="1163">
                  <c:v>46108</c:v>
                </c:pt>
                <c:pt idx="1164">
                  <c:v>46111</c:v>
                </c:pt>
                <c:pt idx="1165">
                  <c:v>46112</c:v>
                </c:pt>
                <c:pt idx="1166">
                  <c:v>46113</c:v>
                </c:pt>
                <c:pt idx="1167">
                  <c:v>46114</c:v>
                </c:pt>
                <c:pt idx="1168">
                  <c:v>46118</c:v>
                </c:pt>
                <c:pt idx="1169">
                  <c:v>46119</c:v>
                </c:pt>
                <c:pt idx="1170">
                  <c:v>46120</c:v>
                </c:pt>
                <c:pt idx="1171">
                  <c:v>46121</c:v>
                </c:pt>
                <c:pt idx="1172">
                  <c:v>46122</c:v>
                </c:pt>
                <c:pt idx="1173">
                  <c:v>46125</c:v>
                </c:pt>
                <c:pt idx="1174">
                  <c:v>46126</c:v>
                </c:pt>
                <c:pt idx="1175">
                  <c:v>46127</c:v>
                </c:pt>
                <c:pt idx="1176">
                  <c:v>46128</c:v>
                </c:pt>
                <c:pt idx="1177">
                  <c:v>46129</c:v>
                </c:pt>
                <c:pt idx="1178">
                  <c:v>46132</c:v>
                </c:pt>
                <c:pt idx="1179">
                  <c:v>46133</c:v>
                </c:pt>
                <c:pt idx="1180">
                  <c:v>46134</c:v>
                </c:pt>
                <c:pt idx="1181">
                  <c:v>46135</c:v>
                </c:pt>
                <c:pt idx="1182">
                  <c:v>46136</c:v>
                </c:pt>
                <c:pt idx="1183">
                  <c:v>46139</c:v>
                </c:pt>
                <c:pt idx="1184">
                  <c:v>46140</c:v>
                </c:pt>
                <c:pt idx="1185">
                  <c:v>46141</c:v>
                </c:pt>
                <c:pt idx="1186">
                  <c:v>46142</c:v>
                </c:pt>
                <c:pt idx="1187">
                  <c:v>46143</c:v>
                </c:pt>
                <c:pt idx="1188">
                  <c:v>46146</c:v>
                </c:pt>
                <c:pt idx="1189">
                  <c:v>46147</c:v>
                </c:pt>
                <c:pt idx="1190">
                  <c:v>46148</c:v>
                </c:pt>
                <c:pt idx="1191">
                  <c:v>46149</c:v>
                </c:pt>
                <c:pt idx="1192">
                  <c:v>46150</c:v>
                </c:pt>
                <c:pt idx="1193">
                  <c:v>46153</c:v>
                </c:pt>
                <c:pt idx="1194">
                  <c:v>46154</c:v>
                </c:pt>
                <c:pt idx="1195">
                  <c:v>46155</c:v>
                </c:pt>
                <c:pt idx="1196">
                  <c:v>46156</c:v>
                </c:pt>
                <c:pt idx="1197">
                  <c:v>46157</c:v>
                </c:pt>
                <c:pt idx="1198">
                  <c:v>46160</c:v>
                </c:pt>
                <c:pt idx="1199">
                  <c:v>46161</c:v>
                </c:pt>
                <c:pt idx="1200">
                  <c:v>46162</c:v>
                </c:pt>
                <c:pt idx="1201">
                  <c:v>46163</c:v>
                </c:pt>
                <c:pt idx="1202">
                  <c:v>46164</c:v>
                </c:pt>
                <c:pt idx="1203">
                  <c:v>46168</c:v>
                </c:pt>
                <c:pt idx="1204">
                  <c:v>46169</c:v>
                </c:pt>
                <c:pt idx="1205">
                  <c:v>46170</c:v>
                </c:pt>
                <c:pt idx="1206">
                  <c:v>46171</c:v>
                </c:pt>
                <c:pt idx="1207">
                  <c:v>46174</c:v>
                </c:pt>
                <c:pt idx="1208">
                  <c:v>46175</c:v>
                </c:pt>
                <c:pt idx="1209">
                  <c:v>46176</c:v>
                </c:pt>
                <c:pt idx="1210">
                  <c:v>46177</c:v>
                </c:pt>
                <c:pt idx="1211">
                  <c:v>46178</c:v>
                </c:pt>
                <c:pt idx="1212">
                  <c:v>46181</c:v>
                </c:pt>
                <c:pt idx="1213">
                  <c:v>46182</c:v>
                </c:pt>
                <c:pt idx="1214">
                  <c:v>46183</c:v>
                </c:pt>
                <c:pt idx="1215">
                  <c:v>46184</c:v>
                </c:pt>
                <c:pt idx="1216">
                  <c:v>46185</c:v>
                </c:pt>
                <c:pt idx="1217">
                  <c:v>46188</c:v>
                </c:pt>
                <c:pt idx="1218">
                  <c:v>46189</c:v>
                </c:pt>
                <c:pt idx="1219">
                  <c:v>46190</c:v>
                </c:pt>
                <c:pt idx="1220">
                  <c:v>46191</c:v>
                </c:pt>
                <c:pt idx="1221">
                  <c:v>46195</c:v>
                </c:pt>
                <c:pt idx="1222">
                  <c:v>46196</c:v>
                </c:pt>
                <c:pt idx="1223">
                  <c:v>46197</c:v>
                </c:pt>
                <c:pt idx="1224">
                  <c:v>46198</c:v>
                </c:pt>
                <c:pt idx="1225">
                  <c:v>46199</c:v>
                </c:pt>
                <c:pt idx="1226">
                  <c:v>46202</c:v>
                </c:pt>
                <c:pt idx="1227">
                  <c:v>46203</c:v>
                </c:pt>
                <c:pt idx="1228">
                  <c:v>46204</c:v>
                </c:pt>
                <c:pt idx="1229">
                  <c:v>46205</c:v>
                </c:pt>
                <c:pt idx="1230">
                  <c:v>46209</c:v>
                </c:pt>
                <c:pt idx="1231">
                  <c:v>46210</c:v>
                </c:pt>
                <c:pt idx="1232">
                  <c:v>46211</c:v>
                </c:pt>
                <c:pt idx="1233">
                  <c:v>46212</c:v>
                </c:pt>
                <c:pt idx="1234">
                  <c:v>46213</c:v>
                </c:pt>
                <c:pt idx="1235">
                  <c:v>46216</c:v>
                </c:pt>
                <c:pt idx="1236">
                  <c:v>46217</c:v>
                </c:pt>
                <c:pt idx="1237">
                  <c:v>46218</c:v>
                </c:pt>
                <c:pt idx="1238">
                  <c:v>46219</c:v>
                </c:pt>
                <c:pt idx="1239">
                  <c:v>46220</c:v>
                </c:pt>
                <c:pt idx="1240">
                  <c:v>46223</c:v>
                </c:pt>
                <c:pt idx="1241">
                  <c:v>46224</c:v>
                </c:pt>
                <c:pt idx="1242">
                  <c:v>46225</c:v>
                </c:pt>
                <c:pt idx="1243">
                  <c:v>46226</c:v>
                </c:pt>
                <c:pt idx="1244">
                  <c:v>46227</c:v>
                </c:pt>
                <c:pt idx="1245">
                  <c:v>46230</c:v>
                </c:pt>
                <c:pt idx="1246">
                  <c:v>46231</c:v>
                </c:pt>
                <c:pt idx="1247">
                  <c:v>46232</c:v>
                </c:pt>
                <c:pt idx="1248">
                  <c:v>46233</c:v>
                </c:pt>
                <c:pt idx="1249">
                  <c:v>46234</c:v>
                </c:pt>
                <c:pt idx="1250">
                  <c:v>46237</c:v>
                </c:pt>
                <c:pt idx="1251">
                  <c:v>46238</c:v>
                </c:pt>
                <c:pt idx="1252">
                  <c:v>46239</c:v>
                </c:pt>
                <c:pt idx="1253">
                  <c:v>46240</c:v>
                </c:pt>
                <c:pt idx="1254">
                  <c:v>46241</c:v>
                </c:pt>
              </c:numCache>
            </c:numRef>
          </c:cat>
          <c:val>
            <c:numRef>
              <c:f>'SPY vs RSP'!$Z$3:$Z$1257</c:f>
              <c:numCache>
                <c:formatCode>_(* #,##0.00_);_(* \(#,##0.00\);_(* "-"??_);_(@_)</c:formatCode>
                <c:ptCount val="12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 formatCode="_(&quot;$&quot;* #,##0.00_);_(&quot;$&quot;* \(#,##0.00\);_(&quot;$&quot;* &quot;-&quot;??_);_(@_)">
                  <c:v>0</c:v>
                </c:pt>
                <c:pt idx="20" formatCode="_(&quot;$&quot;* #,##0.00_);_(&quot;$&quot;* \(#,##0.00\);_(&quot;$&quot;* &quot;-&quot;??_);_(@_)">
                  <c:v>243.00088653784434</c:v>
                </c:pt>
                <c:pt idx="21" formatCode="_(&quot;$&quot;* #,##0.00_);_(&quot;$&quot;* \(#,##0.00\);_(&quot;$&quot;* &quot;-&quot;??_);_(@_)">
                  <c:v>-53.769729881692854</c:v>
                </c:pt>
                <c:pt idx="22" formatCode="_(&quot;$&quot;* #,##0.00_);_(&quot;$&quot;* \(#,##0.00\);_(&quot;$&quot;* &quot;-&quot;??_);_(@_)">
                  <c:v>24.283833037480193</c:v>
                </c:pt>
                <c:pt idx="23" formatCode="_(&quot;$&quot;* #,##0.00_);_(&quot;$&quot;* \(#,##0.00\);_(&quot;$&quot;* &quot;-&quot;??_);_(@_)">
                  <c:v>110.22212174055865</c:v>
                </c:pt>
                <c:pt idx="24" formatCode="_(&quot;$&quot;* #,##0.00_);_(&quot;$&quot;* \(#,##0.00\);_(&quot;$&quot;* &quot;-&quot;??_);_(@_)">
                  <c:v>-89.907981700254155</c:v>
                </c:pt>
                <c:pt idx="25" formatCode="_(&quot;$&quot;* #,##0.00_);_(&quot;$&quot;* \(#,##0.00\);_(&quot;$&quot;* &quot;-&quot;??_);_(@_)">
                  <c:v>-0.39726371993283749</c:v>
                </c:pt>
                <c:pt idx="26" formatCode="_(&quot;$&quot;* #,##0.00_);_(&quot;$&quot;* \(#,##0.00\);_(&quot;$&quot;* &quot;-&quot;??_);_(@_)">
                  <c:v>-62.468421615410605</c:v>
                </c:pt>
                <c:pt idx="27" formatCode="_(&quot;$&quot;* #,##0.00_);_(&quot;$&quot;* \(#,##0.00\);_(&quot;$&quot;* &quot;-&quot;??_);_(@_)">
                  <c:v>21.677727980566615</c:v>
                </c:pt>
                <c:pt idx="28" formatCode="_(&quot;$&quot;* #,##0.00_);_(&quot;$&quot;* \(#,##0.00\);_(&quot;$&quot;* &quot;-&quot;??_);_(@_)">
                  <c:v>36.499873357705837</c:v>
                </c:pt>
                <c:pt idx="29" formatCode="_(&quot;$&quot;* #,##0.00_);_(&quot;$&quot;* \(#,##0.00\);_(&quot;$&quot;* &quot;-&quot;??_);_(@_)">
                  <c:v>156.34459756687988</c:v>
                </c:pt>
                <c:pt idx="30" formatCode="_(&quot;$&quot;* #,##0.00_);_(&quot;$&quot;* \(#,##0.00\);_(&quot;$&quot;* &quot;-&quot;??_);_(@_)">
                  <c:v>149.64312376770459</c:v>
                </c:pt>
                <c:pt idx="31" formatCode="_(&quot;$&quot;* #,##0.00_);_(&quot;$&quot;* \(#,##0.00\);_(&quot;$&quot;* &quot;-&quot;??_);_(@_)">
                  <c:v>251.75042105272081</c:v>
                </c:pt>
                <c:pt idx="32" formatCode="_(&quot;$&quot;* #,##0.00_);_(&quot;$&quot;* \(#,##0.00\);_(&quot;$&quot;* &quot;-&quot;??_);_(@_)">
                  <c:v>265.38141572122703</c:v>
                </c:pt>
                <c:pt idx="33" formatCode="_(&quot;$&quot;* #,##0.00_);_(&quot;$&quot;* \(#,##0.00\);_(&quot;$&quot;* &quot;-&quot;??_);_(@_)">
                  <c:v>371.01431194019131</c:v>
                </c:pt>
                <c:pt idx="34" formatCode="_(&quot;$&quot;* #,##0.00_);_(&quot;$&quot;* \(#,##0.00\);_(&quot;$&quot;* &quot;-&quot;??_);_(@_)">
                  <c:v>555.20718095645248</c:v>
                </c:pt>
                <c:pt idx="35" formatCode="_(&quot;$&quot;* #,##0.00_);_(&quot;$&quot;* \(#,##0.00\);_(&quot;$&quot;* &quot;-&quot;??_);_(@_)">
                  <c:v>482.91675294225547</c:v>
                </c:pt>
                <c:pt idx="36" formatCode="_(&quot;$&quot;* #,##0.00_);_(&quot;$&quot;* \(#,##0.00\);_(&quot;$&quot;* &quot;-&quot;??_);_(@_)">
                  <c:v>224.07247512271607</c:v>
                </c:pt>
                <c:pt idx="37" formatCode="_(&quot;$&quot;* #,##0.00_);_(&quot;$&quot;* \(#,##0.00\);_(&quot;$&quot;* &quot;-&quot;??_);_(@_)">
                  <c:v>282.58640540246256</c:v>
                </c:pt>
                <c:pt idx="38" formatCode="_(&quot;$&quot;* #,##0.00_);_(&quot;$&quot;* \(#,##0.00\);_(&quot;$&quot;* &quot;-&quot;??_);_(@_)">
                  <c:v>620.96824857549279</c:v>
                </c:pt>
                <c:pt idx="39" formatCode="_(&quot;$&quot;* #,##0.00_);_(&quot;$&quot;* \(#,##0.00\);_(&quot;$&quot;* &quot;-&quot;??_);_(@_)">
                  <c:v>547.06487601232891</c:v>
                </c:pt>
                <c:pt idx="40" formatCode="_(&quot;$&quot;* #,##0.00_);_(&quot;$&quot;* \(#,##0.00\);_(&quot;$&quot;* &quot;-&quot;??_);_(@_)">
                  <c:v>373.82601099282783</c:v>
                </c:pt>
                <c:pt idx="41" formatCode="_(&quot;$&quot;* #,##0.00_);_(&quot;$&quot;* \(#,##0.00\);_(&quot;$&quot;* &quot;-&quot;??_);_(@_)">
                  <c:v>180.70125922580888</c:v>
                </c:pt>
                <c:pt idx="42" formatCode="_(&quot;$&quot;* #,##0.00_);_(&quot;$&quot;* \(#,##0.00\);_(&quot;$&quot;* &quot;-&quot;??_);_(@_)">
                  <c:v>-330.20176550306184</c:v>
                </c:pt>
                <c:pt idx="43" formatCode="_(&quot;$&quot;* #,##0.00_);_(&quot;$&quot;* \(#,##0.00\);_(&quot;$&quot;* &quot;-&quot;??_);_(@_)">
                  <c:v>-556.8566791134989</c:v>
                </c:pt>
                <c:pt idx="44" formatCode="_(&quot;$&quot;* #,##0.00_);_(&quot;$&quot;* \(#,##0.00\);_(&quot;$&quot;* &quot;-&quot;??_);_(@_)">
                  <c:v>-465.22680682559496</c:v>
                </c:pt>
                <c:pt idx="45" formatCode="_(&quot;$&quot;* #,##0.00_);_(&quot;$&quot;* \(#,##0.00\);_(&quot;$&quot;* &quot;-&quot;??_);_(@_)">
                  <c:v>-459.96316379676568</c:v>
                </c:pt>
                <c:pt idx="46" formatCode="_(&quot;$&quot;* #,##0.00_);_(&quot;$&quot;* \(#,##0.00\);_(&quot;$&quot;* &quot;-&quot;??_);_(@_)">
                  <c:v>-305.5948488924447</c:v>
                </c:pt>
                <c:pt idx="47" formatCode="_(&quot;$&quot;* #,##0.00_);_(&quot;$&quot;* \(#,##0.00\);_(&quot;$&quot;* &quot;-&quot;??_);_(@_)">
                  <c:v>-588.695851453111</c:v>
                </c:pt>
                <c:pt idx="48" formatCode="_(&quot;$&quot;* #,##0.00_);_(&quot;$&quot;* \(#,##0.00\);_(&quot;$&quot;* &quot;-&quot;??_);_(@_)">
                  <c:v>-569.52422352102838</c:v>
                </c:pt>
                <c:pt idx="49" formatCode="_(&quot;$&quot;* #,##0.00_);_(&quot;$&quot;* \(#,##0.00\);_(&quot;$&quot;* &quot;-&quot;??_);_(@_)">
                  <c:v>-594.76934688036602</c:v>
                </c:pt>
                <c:pt idx="50" formatCode="_(&quot;$&quot;* #,##0.00_);_(&quot;$&quot;* \(#,##0.00\);_(&quot;$&quot;* &quot;-&quot;??_);_(@_)">
                  <c:v>-613.04849000337879</c:v>
                </c:pt>
                <c:pt idx="51" formatCode="_(&quot;$&quot;* #,##0.00_);_(&quot;$&quot;* \(#,##0.00\);_(&quot;$&quot;* &quot;-&quot;??_);_(@_)">
                  <c:v>-416.11494293926114</c:v>
                </c:pt>
                <c:pt idx="52" formatCode="_(&quot;$&quot;* #,##0.00_);_(&quot;$&quot;* \(#,##0.00\);_(&quot;$&quot;* &quot;-&quot;??_);_(@_)">
                  <c:v>-371.86148835107639</c:v>
                </c:pt>
                <c:pt idx="53" formatCode="_(&quot;$&quot;* #,##0.00_);_(&quot;$&quot;* \(#,##0.00\);_(&quot;$&quot;* &quot;-&quot;??_);_(@_)">
                  <c:v>-195.15951756146438</c:v>
                </c:pt>
                <c:pt idx="54" formatCode="_(&quot;$&quot;* #,##0.00_);_(&quot;$&quot;* \(#,##0.00\);_(&quot;$&quot;* &quot;-&quot;??_);_(@_)">
                  <c:v>-444.39839725216484</c:v>
                </c:pt>
                <c:pt idx="55" formatCode="_(&quot;$&quot;* #,##0.00_);_(&quot;$&quot;* \(#,##0.00\);_(&quot;$&quot;* &quot;-&quot;??_);_(@_)">
                  <c:v>-133.55584819600517</c:v>
                </c:pt>
                <c:pt idx="56" formatCode="_(&quot;$&quot;* #,##0.00_);_(&quot;$&quot;* \(#,##0.00\);_(&quot;$&quot;* &quot;-&quot;??_);_(@_)">
                  <c:v>-123.94934842221699</c:v>
                </c:pt>
                <c:pt idx="57" formatCode="_(&quot;$&quot;* #,##0.00_);_(&quot;$&quot;* \(#,##0.00\);_(&quot;$&quot;* &quot;-&quot;??_);_(@_)">
                  <c:v>-124.21276600555746</c:v>
                </c:pt>
                <c:pt idx="58" formatCode="_(&quot;$&quot;* #,##0.00_);_(&quot;$&quot;* \(#,##0.00\);_(&quot;$&quot;* &quot;-&quot;??_);_(@_)">
                  <c:v>-77.114023344991125</c:v>
                </c:pt>
                <c:pt idx="59" formatCode="_(&quot;$&quot;* #,##0.00_);_(&quot;$&quot;* \(#,##0.00\);_(&quot;$&quot;* &quot;-&quot;??_);_(@_)">
                  <c:v>-137.77825181217978</c:v>
                </c:pt>
                <c:pt idx="60" formatCode="_(&quot;$&quot;* #,##0.00_);_(&quot;$&quot;* \(#,##0.00\);_(&quot;$&quot;* &quot;-&quot;??_);_(@_)">
                  <c:v>7.738544582663252</c:v>
                </c:pt>
                <c:pt idx="61" formatCode="_(&quot;$&quot;* #,##0.00_);_(&quot;$&quot;* \(#,##0.00\);_(&quot;$&quot;* &quot;-&quot;??_);_(@_)">
                  <c:v>15.866681947137801</c:v>
                </c:pt>
                <c:pt idx="62" formatCode="_(&quot;$&quot;* #,##0.00_);_(&quot;$&quot;* \(#,##0.00\);_(&quot;$&quot;* &quot;-&quot;??_);_(@_)">
                  <c:v>154.18845257642775</c:v>
                </c:pt>
                <c:pt idx="63" formatCode="_(&quot;$&quot;* #,##0.00_);_(&quot;$&quot;* \(#,##0.00\);_(&quot;$&quot;* &quot;-&quot;??_);_(@_)">
                  <c:v>-49.760614460768778</c:v>
                </c:pt>
                <c:pt idx="64" formatCode="_(&quot;$&quot;* #,##0.00_);_(&quot;$&quot;* \(#,##0.00\);_(&quot;$&quot;* &quot;-&quot;??_);_(@_)">
                  <c:v>-203.41272423157838</c:v>
                </c:pt>
                <c:pt idx="65" formatCode="_(&quot;$&quot;* #,##0.00_);_(&quot;$&quot;* \(#,##0.00\);_(&quot;$&quot;* &quot;-&quot;??_);_(@_)">
                  <c:v>-412.50557940418878</c:v>
                </c:pt>
                <c:pt idx="66" formatCode="_(&quot;$&quot;* #,##0.00_);_(&quot;$&quot;* \(#,##0.00\);_(&quot;$&quot;* &quot;-&quot;??_);_(@_)">
                  <c:v>-540.29463976472641</c:v>
                </c:pt>
                <c:pt idx="67" formatCode="_(&quot;$&quot;* #,##0.00_);_(&quot;$&quot;* \(#,##0.00\);_(&quot;$&quot;* &quot;-&quot;??_);_(@_)">
                  <c:v>-601.85198698294778</c:v>
                </c:pt>
                <c:pt idx="68" formatCode="_(&quot;$&quot;* #,##0.00_);_(&quot;$&quot;* \(#,##0.00\);_(&quot;$&quot;* &quot;-&quot;??_);_(@_)">
                  <c:v>-510.14817745993452</c:v>
                </c:pt>
                <c:pt idx="69" formatCode="_(&quot;$&quot;* #,##0.00_);_(&quot;$&quot;* \(#,##0.00\);_(&quot;$&quot;* &quot;-&quot;??_);_(@_)">
                  <c:v>-638.48446228902844</c:v>
                </c:pt>
                <c:pt idx="70" formatCode="_(&quot;$&quot;* #,##0.00_);_(&quot;$&quot;* \(#,##0.00\);_(&quot;$&quot;* &quot;-&quot;??_);_(@_)">
                  <c:v>-807.43919303127961</c:v>
                </c:pt>
                <c:pt idx="71" formatCode="_(&quot;$&quot;* #,##0.00_);_(&quot;$&quot;* \(#,##0.00\);_(&quot;$&quot;* &quot;-&quot;??_);_(@_)">
                  <c:v>-617.51132054108837</c:v>
                </c:pt>
                <c:pt idx="72" formatCode="_(&quot;$&quot;* #,##0.00_);_(&quot;$&quot;* \(#,##0.00\);_(&quot;$&quot;* &quot;-&quot;??_);_(@_)">
                  <c:v>-453.77635509896822</c:v>
                </c:pt>
                <c:pt idx="73" formatCode="_(&quot;$&quot;* #,##0.00_);_(&quot;$&quot;* \(#,##0.00\);_(&quot;$&quot;* &quot;-&quot;??_);_(@_)">
                  <c:v>-315.31368063935042</c:v>
                </c:pt>
                <c:pt idx="74" formatCode="_(&quot;$&quot;* #,##0.00_);_(&quot;$&quot;* \(#,##0.00\);_(&quot;$&quot;* &quot;-&quot;??_);_(@_)">
                  <c:v>-282.68968104311102</c:v>
                </c:pt>
                <c:pt idx="75" formatCode="_(&quot;$&quot;* #,##0.00_);_(&quot;$&quot;* \(#,##0.00\);_(&quot;$&quot;* &quot;-&quot;??_);_(@_)">
                  <c:v>-287.05497926686633</c:v>
                </c:pt>
                <c:pt idx="76" formatCode="_(&quot;$&quot;* #,##0.00_);_(&quot;$&quot;* \(#,##0.00\);_(&quot;$&quot;* &quot;-&quot;??_);_(@_)">
                  <c:v>-412.42949998435347</c:v>
                </c:pt>
                <c:pt idx="77" formatCode="_(&quot;$&quot;* #,##0.00_);_(&quot;$&quot;* \(#,##0.00\);_(&quot;$&quot;* &quot;-&quot;??_);_(@_)">
                  <c:v>621.22340050285925</c:v>
                </c:pt>
                <c:pt idx="78" formatCode="_(&quot;$&quot;* #,##0.00_);_(&quot;$&quot;* \(#,##0.00\);_(&quot;$&quot;* &quot;-&quot;??_);_(@_)">
                  <c:v>-35.582728424389188</c:v>
                </c:pt>
                <c:pt idx="79" formatCode="_(&quot;$&quot;* #,##0.00_);_(&quot;$&quot;* \(#,##0.00\);_(&quot;$&quot;* &quot;-&quot;??_);_(@_)">
                  <c:v>-241.8400541788601</c:v>
                </c:pt>
                <c:pt idx="80" formatCode="_(&quot;$&quot;* #,##0.00_);_(&quot;$&quot;* \(#,##0.00\);_(&quot;$&quot;* &quot;-&quot;??_);_(@_)">
                  <c:v>5928.2971638133604</c:v>
                </c:pt>
                <c:pt idx="81" formatCode="_(&quot;$&quot;* #,##0.00_);_(&quot;$&quot;* \(#,##0.00\);_(&quot;$&quot;* &quot;-&quot;??_);_(@_)">
                  <c:v>6204.3601727005907</c:v>
                </c:pt>
                <c:pt idx="82" formatCode="_(&quot;$&quot;* #,##0.00_);_(&quot;$&quot;* \(#,##0.00\);_(&quot;$&quot;* &quot;-&quot;??_);_(@_)">
                  <c:v>6405.9627714018352</c:v>
                </c:pt>
                <c:pt idx="83" formatCode="_(&quot;$&quot;* #,##0.00_);_(&quot;$&quot;* \(#,##0.00\);_(&quot;$&quot;* &quot;-&quot;??_);_(@_)">
                  <c:v>6284.5039206078436</c:v>
                </c:pt>
                <c:pt idx="84" formatCode="_(&quot;$&quot;* #,##0.00_);_(&quot;$&quot;* \(#,##0.00\);_(&quot;$&quot;* &quot;-&quot;??_);_(@_)">
                  <c:v>6258.4632265637738</c:v>
                </c:pt>
                <c:pt idx="85" formatCode="_(&quot;$&quot;* #,##0.00_);_(&quot;$&quot;* \(#,##0.00\);_(&quot;$&quot;* &quot;-&quot;??_);_(@_)">
                  <c:v>6122.1545921724337</c:v>
                </c:pt>
                <c:pt idx="86" formatCode="_(&quot;$&quot;* #,##0.00_);_(&quot;$&quot;* \(#,##0.00\);_(&quot;$&quot;* &quot;-&quot;??_);_(@_)">
                  <c:v>6281.0938803040208</c:v>
                </c:pt>
                <c:pt idx="87" formatCode="_(&quot;$&quot;* #,##0.00_);_(&quot;$&quot;* \(#,##0.00\);_(&quot;$&quot;* &quot;-&quot;??_);_(@_)">
                  <c:v>6703.222296211592</c:v>
                </c:pt>
                <c:pt idx="88" formatCode="_(&quot;$&quot;* #,##0.00_);_(&quot;$&quot;* \(#,##0.00\);_(&quot;$&quot;* &quot;-&quot;??_);_(@_)">
                  <c:v>6761.515726805892</c:v>
                </c:pt>
                <c:pt idx="89" formatCode="_(&quot;$&quot;* #,##0.00_);_(&quot;$&quot;* \(#,##0.00\);_(&quot;$&quot;* &quot;-&quot;??_);_(@_)">
                  <c:v>6837.2802963209997</c:v>
                </c:pt>
                <c:pt idx="90" formatCode="_(&quot;$&quot;* #,##0.00_);_(&quot;$&quot;* \(#,##0.00\);_(&quot;$&quot;* &quot;-&quot;??_);_(@_)">
                  <c:v>7119.4073309310297</c:v>
                </c:pt>
                <c:pt idx="91" formatCode="_(&quot;$&quot;* #,##0.00_);_(&quot;$&quot;* \(#,##0.00\);_(&quot;$&quot;* &quot;-&quot;??_);_(@_)">
                  <c:v>7558.150303548995</c:v>
                </c:pt>
                <c:pt idx="92" formatCode="_(&quot;$&quot;* #,##0.00_);_(&quot;$&quot;* \(#,##0.00\);_(&quot;$&quot;* &quot;-&quot;??_);_(@_)">
                  <c:v>6520.5151967889278</c:v>
                </c:pt>
                <c:pt idx="93" formatCode="_(&quot;$&quot;* #,##0.00_);_(&quot;$&quot;* \(#,##0.00\);_(&quot;$&quot;* &quot;-&quot;??_);_(@_)">
                  <c:v>6660.304535235402</c:v>
                </c:pt>
                <c:pt idx="94" formatCode="_(&quot;$&quot;* #,##0.00_);_(&quot;$&quot;* \(#,##0.00\);_(&quot;$&quot;* &quot;-&quot;??_);_(@_)">
                  <c:v>6529.7892791623581</c:v>
                </c:pt>
                <c:pt idx="95" formatCode="_(&quot;$&quot;* #,##0.00_);_(&quot;$&quot;* \(#,##0.00\);_(&quot;$&quot;* &quot;-&quot;??_);_(@_)">
                  <c:v>6499.768937875484</c:v>
                </c:pt>
                <c:pt idx="96" formatCode="_(&quot;$&quot;* #,##0.00_);_(&quot;$&quot;* \(#,##0.00\);_(&quot;$&quot;* &quot;-&quot;??_);_(@_)">
                  <c:v>6631.3698328535793</c:v>
                </c:pt>
                <c:pt idx="97" formatCode="_(&quot;$&quot;* #,##0.00_);_(&quot;$&quot;* \(#,##0.00\);_(&quot;$&quot;* &quot;-&quot;??_);_(@_)">
                  <c:v>6443.4527827666934</c:v>
                </c:pt>
                <c:pt idx="98" formatCode="_(&quot;$&quot;* #,##0.00_);_(&quot;$&quot;* \(#,##0.00\);_(&quot;$&quot;* &quot;-&quot;??_);_(@_)">
                  <c:v>6556.3935244189597</c:v>
                </c:pt>
                <c:pt idx="99" formatCode="_(&quot;$&quot;* #,##0.00_);_(&quot;$&quot;* \(#,##0.00\);_(&quot;$&quot;* &quot;-&quot;??_);_(@_)">
                  <c:v>6752.9578921622178</c:v>
                </c:pt>
                <c:pt idx="100" formatCode="_(&quot;$&quot;* #,##0.00_);_(&quot;$&quot;* \(#,##0.00\);_(&quot;$&quot;* &quot;-&quot;??_);_(@_)">
                  <c:v>6360.7840249277397</c:v>
                </c:pt>
                <c:pt idx="101" formatCode="_(&quot;$&quot;* #,##0.00_);_(&quot;$&quot;* \(#,##0.00\);_(&quot;$&quot;* &quot;-&quot;??_);_(@_)">
                  <c:v>5942.0939278014703</c:v>
                </c:pt>
                <c:pt idx="102" formatCode="_(&quot;$&quot;* #,##0.00_);_(&quot;$&quot;* \(#,##0.00\);_(&quot;$&quot;* &quot;-&quot;??_);_(@_)">
                  <c:v>5457.1278282288768</c:v>
                </c:pt>
                <c:pt idx="103" formatCode="_(&quot;$&quot;* #,##0.00_);_(&quot;$&quot;* \(#,##0.00\);_(&quot;$&quot;* &quot;-&quot;??_);_(@_)">
                  <c:v>5007.5275363111914</c:v>
                </c:pt>
                <c:pt idx="104" formatCode="_(&quot;$&quot;* #,##0.00_);_(&quot;$&quot;* \(#,##0.00\);_(&quot;$&quot;* &quot;-&quot;??_);_(@_)">
                  <c:v>4720.6349715362612</c:v>
                </c:pt>
                <c:pt idx="105" formatCode="_(&quot;$&quot;* #,##0.00_);_(&quot;$&quot;* \(#,##0.00\);_(&quot;$&quot;* &quot;-&quot;??_);_(@_)">
                  <c:v>4256.0233390610556</c:v>
                </c:pt>
                <c:pt idx="106" formatCode="_(&quot;$&quot;* #,##0.00_);_(&quot;$&quot;* \(#,##0.00\);_(&quot;$&quot;* &quot;-&quot;??_);_(@_)">
                  <c:v>3877.6496529562396</c:v>
                </c:pt>
                <c:pt idx="107" formatCode="_(&quot;$&quot;* #,##0.00_);_(&quot;$&quot;* \(#,##0.00\);_(&quot;$&quot;* &quot;-&quot;??_);_(@_)">
                  <c:v>3561.2646764578544</c:v>
                </c:pt>
                <c:pt idx="108" formatCode="_(&quot;$&quot;* #,##0.00_);_(&quot;$&quot;* \(#,##0.00\);_(&quot;$&quot;* &quot;-&quot;??_);_(@_)">
                  <c:v>3202.6341039037634</c:v>
                </c:pt>
                <c:pt idx="109" formatCode="_(&quot;$&quot;* #,##0.00_);_(&quot;$&quot;* \(#,##0.00\);_(&quot;$&quot;* &quot;-&quot;??_);_(@_)">
                  <c:v>3164.5537396274703</c:v>
                </c:pt>
                <c:pt idx="110" formatCode="_(&quot;$&quot;* #,##0.00_);_(&quot;$&quot;* \(#,##0.00\);_(&quot;$&quot;* &quot;-&quot;??_);_(@_)">
                  <c:v>3145.9724087176228</c:v>
                </c:pt>
                <c:pt idx="111" formatCode="_(&quot;$&quot;* #,##0.00_);_(&quot;$&quot;* \(#,##0.00\);_(&quot;$&quot;* &quot;-&quot;??_);_(@_)">
                  <c:v>3183.8327177732144</c:v>
                </c:pt>
                <c:pt idx="112" formatCode="_(&quot;$&quot;* #,##0.00_);_(&quot;$&quot;* \(#,##0.00\);_(&quot;$&quot;* &quot;-&quot;??_);_(@_)">
                  <c:v>3235.469344241792</c:v>
                </c:pt>
                <c:pt idx="113" formatCode="_(&quot;$&quot;* #,##0.00_);_(&quot;$&quot;* \(#,##0.00\);_(&quot;$&quot;* &quot;-&quot;??_);_(@_)">
                  <c:v>3446.8069667456498</c:v>
                </c:pt>
                <c:pt idx="114" formatCode="_(&quot;$&quot;* #,##0.00_);_(&quot;$&quot;* \(#,##0.00\);_(&quot;$&quot;* &quot;-&quot;??_);_(@_)">
                  <c:v>3111.0750184549111</c:v>
                </c:pt>
                <c:pt idx="115" formatCode="_(&quot;$&quot;* #,##0.00_);_(&quot;$&quot;* \(#,##0.00\);_(&quot;$&quot;* &quot;-&quot;??_);_(@_)">
                  <c:v>2687.4464040647554</c:v>
                </c:pt>
                <c:pt idx="116" formatCode="_(&quot;$&quot;* #,##0.00_);_(&quot;$&quot;* \(#,##0.00\);_(&quot;$&quot;* &quot;-&quot;??_);_(@_)">
                  <c:v>2559.7393135349421</c:v>
                </c:pt>
                <c:pt idx="117" formatCode="_(&quot;$&quot;* #,##0.00_);_(&quot;$&quot;* \(#,##0.00\);_(&quot;$&quot;* &quot;-&quot;??_);_(@_)">
                  <c:v>2721.3362107719586</c:v>
                </c:pt>
                <c:pt idx="118" formatCode="_(&quot;$&quot;* #,##0.00_);_(&quot;$&quot;* \(#,##0.00\);_(&quot;$&quot;* &quot;-&quot;??_);_(@_)">
                  <c:v>2953.9687115040019</c:v>
                </c:pt>
                <c:pt idx="119" formatCode="_(&quot;$&quot;* #,##0.00_);_(&quot;$&quot;* \(#,##0.00\);_(&quot;$&quot;* &quot;-&quot;??_);_(@_)">
                  <c:v>2907.543780580871</c:v>
                </c:pt>
                <c:pt idx="120" formatCode="_(&quot;$&quot;* #,##0.00_);_(&quot;$&quot;* \(#,##0.00\);_(&quot;$&quot;* &quot;-&quot;??_);_(@_)">
                  <c:v>2725.0422813254468</c:v>
                </c:pt>
                <c:pt idx="121" formatCode="_(&quot;$&quot;* #,##0.00_);_(&quot;$&quot;* \(#,##0.00\);_(&quot;$&quot;* &quot;-&quot;??_);_(@_)">
                  <c:v>2234.9199903956801</c:v>
                </c:pt>
                <c:pt idx="122" formatCode="_(&quot;$&quot;* #,##0.00_);_(&quot;$&quot;* \(#,##0.00\);_(&quot;$&quot;* &quot;-&quot;??_);_(@_)">
                  <c:v>1505.0258195511396</c:v>
                </c:pt>
                <c:pt idx="123" formatCode="_(&quot;$&quot;* #,##0.00_);_(&quot;$&quot;* \(#,##0.00\);_(&quot;$&quot;* &quot;-&quot;??_);_(@_)">
                  <c:v>1155.8943018903847</c:v>
                </c:pt>
                <c:pt idx="124" formatCode="_(&quot;$&quot;* #,##0.00_);_(&quot;$&quot;* \(#,##0.00\);_(&quot;$&quot;* &quot;-&quot;??_);_(@_)">
                  <c:v>964.69544858225663</c:v>
                </c:pt>
                <c:pt idx="125" formatCode="_(&quot;$&quot;* #,##0.00_);_(&quot;$&quot;* \(#,##0.00\);_(&quot;$&quot;* &quot;-&quot;??_);_(@_)">
                  <c:v>890.66938019622535</c:v>
                </c:pt>
                <c:pt idx="126" formatCode="_(&quot;$&quot;* #,##0.00_);_(&quot;$&quot;* \(#,##0.00\);_(&quot;$&quot;* &quot;-&quot;??_);_(@_)">
                  <c:v>301.66422205714616</c:v>
                </c:pt>
                <c:pt idx="127" formatCode="_(&quot;$&quot;* #,##0.00_);_(&quot;$&quot;* \(#,##0.00\);_(&quot;$&quot;* &quot;-&quot;??_);_(@_)">
                  <c:v>445.56846077344778</c:v>
                </c:pt>
                <c:pt idx="128" formatCode="_(&quot;$&quot;* #,##0.00_);_(&quot;$&quot;* \(#,##0.00\);_(&quot;$&quot;* &quot;-&quot;??_);_(@_)">
                  <c:v>406.07648414600874</c:v>
                </c:pt>
                <c:pt idx="129" formatCode="_(&quot;$&quot;* #,##0.00_);_(&quot;$&quot;* \(#,##0.00\);_(&quot;$&quot;* &quot;-&quot;??_);_(@_)">
                  <c:v>704.6694118713051</c:v>
                </c:pt>
                <c:pt idx="130" formatCode="_(&quot;$&quot;* #,##0.00_);_(&quot;$&quot;* \(#,##0.00\);_(&quot;$&quot;* &quot;-&quot;??_);_(@_)">
                  <c:v>395.46983186167063</c:v>
                </c:pt>
                <c:pt idx="131" formatCode="_(&quot;$&quot;* #,##0.00_);_(&quot;$&quot;* \(#,##0.00\);_(&quot;$&quot;* &quot;-&quot;??_);_(@_)">
                  <c:v>766.19764789375859</c:v>
                </c:pt>
                <c:pt idx="132" formatCode="_(&quot;$&quot;* #,##0.00_);_(&quot;$&quot;* \(#,##0.00\);_(&quot;$&quot;* &quot;-&quot;??_);_(@_)">
                  <c:v>912.05748147933309</c:v>
                </c:pt>
                <c:pt idx="133" formatCode="_(&quot;$&quot;* #,##0.00_);_(&quot;$&quot;* \(#,##0.00\);_(&quot;$&quot;* &quot;-&quot;??_);_(@_)">
                  <c:v>888.92050087200505</c:v>
                </c:pt>
                <c:pt idx="134" formatCode="_(&quot;$&quot;* #,##0.00_);_(&quot;$&quot;* \(#,##0.00\);_(&quot;$&quot;* &quot;-&quot;??_);_(@_)">
                  <c:v>823.48118932646685</c:v>
                </c:pt>
                <c:pt idx="135" formatCode="_(&quot;$&quot;* #,##0.00_);_(&quot;$&quot;* \(#,##0.00\);_(&quot;$&quot;* &quot;-&quot;??_);_(@_)">
                  <c:v>502.27412773311119</c:v>
                </c:pt>
                <c:pt idx="136" formatCode="_(&quot;$&quot;* #,##0.00_);_(&quot;$&quot;* \(#,##0.00\);_(&quot;$&quot;* &quot;-&quot;??_);_(@_)">
                  <c:v>157.92505559776316</c:v>
                </c:pt>
                <c:pt idx="137" formatCode="_(&quot;$&quot;* #,##0.00_);_(&quot;$&quot;* \(#,##0.00\);_(&quot;$&quot;* &quot;-&quot;??_);_(@_)">
                  <c:v>215.70076070451239</c:v>
                </c:pt>
                <c:pt idx="138" formatCode="_(&quot;$&quot;* #,##0.00_);_(&quot;$&quot;* \(#,##0.00\);_(&quot;$&quot;* &quot;-&quot;??_);_(@_)">
                  <c:v>-99.179802969595244</c:v>
                </c:pt>
                <c:pt idx="139" formatCode="_(&quot;$&quot;* #,##0.00_);_(&quot;$&quot;* \(#,##0.00\);_(&quot;$&quot;* &quot;-&quot;??_);_(@_)">
                  <c:v>-536.48772962284272</c:v>
                </c:pt>
                <c:pt idx="140" formatCode="_(&quot;$&quot;* #,##0.00_);_(&quot;$&quot;* \(#,##0.00\);_(&quot;$&quot;* &quot;-&quot;??_);_(@_)">
                  <c:v>-1642.15913199428</c:v>
                </c:pt>
                <c:pt idx="141" formatCode="_(&quot;$&quot;* #,##0.00_);_(&quot;$&quot;* \(#,##0.00\);_(&quot;$&quot;* &quot;-&quot;??_);_(@_)">
                  <c:v>-1993.3505655881581</c:v>
                </c:pt>
                <c:pt idx="142" formatCode="_(&quot;$&quot;* #,##0.00_);_(&quot;$&quot;* \(#,##0.00\);_(&quot;$&quot;* &quot;-&quot;??_);_(@_)">
                  <c:v>-1943.4441401358949</c:v>
                </c:pt>
                <c:pt idx="143" formatCode="_(&quot;$&quot;* #,##0.00_);_(&quot;$&quot;* \(#,##0.00\);_(&quot;$&quot;* &quot;-&quot;??_);_(@_)">
                  <c:v>-2073.5716551400365</c:v>
                </c:pt>
                <c:pt idx="144" formatCode="_(&quot;$&quot;* #,##0.00_);_(&quot;$&quot;* \(#,##0.00\);_(&quot;$&quot;* &quot;-&quot;??_);_(@_)">
                  <c:v>-2397.492424396296</c:v>
                </c:pt>
                <c:pt idx="145" formatCode="_(&quot;$&quot;* #,##0.00_);_(&quot;$&quot;* \(#,##0.00\);_(&quot;$&quot;* &quot;-&quot;??_);_(@_)">
                  <c:v>-2032.5945808140143</c:v>
                </c:pt>
                <c:pt idx="146" formatCode="_(&quot;$&quot;* #,##0.00_);_(&quot;$&quot;* \(#,##0.00\);_(&quot;$&quot;* &quot;-&quot;??_);_(@_)">
                  <c:v>-2185.6904569300727</c:v>
                </c:pt>
                <c:pt idx="147" formatCode="_(&quot;$&quot;* #,##0.00_);_(&quot;$&quot;* \(#,##0.00\);_(&quot;$&quot;* &quot;-&quot;??_);_(@_)">
                  <c:v>-2751.0423952320552</c:v>
                </c:pt>
                <c:pt idx="148" formatCode="_(&quot;$&quot;* #,##0.00_);_(&quot;$&quot;* \(#,##0.00\);_(&quot;$&quot;* &quot;-&quot;??_);_(@_)">
                  <c:v>-3245.6460380407248</c:v>
                </c:pt>
                <c:pt idx="149" formatCode="_(&quot;$&quot;* #,##0.00_);_(&quot;$&quot;* \(#,##0.00\);_(&quot;$&quot;* &quot;-&quot;??_);_(@_)">
                  <c:v>-3069.2582392143581</c:v>
                </c:pt>
                <c:pt idx="150" formatCode="_(&quot;$&quot;* #,##0.00_);_(&quot;$&quot;* \(#,##0.00\);_(&quot;$&quot;* &quot;-&quot;??_);_(@_)">
                  <c:v>-3099.3259209695907</c:v>
                </c:pt>
                <c:pt idx="151" formatCode="_(&quot;$&quot;* #,##0.00_);_(&quot;$&quot;* \(#,##0.00\);_(&quot;$&quot;* &quot;-&quot;??_);_(@_)">
                  <c:v>-2389.9796286551109</c:v>
                </c:pt>
                <c:pt idx="152" formatCode="_(&quot;$&quot;* #,##0.00_);_(&quot;$&quot;* \(#,##0.00\);_(&quot;$&quot;* &quot;-&quot;??_);_(@_)">
                  <c:v>-2970.2178051991928</c:v>
                </c:pt>
                <c:pt idx="153" formatCode="_(&quot;$&quot;* #,##0.00_);_(&quot;$&quot;* \(#,##0.00\);_(&quot;$&quot;* &quot;-&quot;??_);_(@_)">
                  <c:v>-3138.9197723983671</c:v>
                </c:pt>
                <c:pt idx="154" formatCode="_(&quot;$&quot;* #,##0.00_);_(&quot;$&quot;* \(#,##0.00\);_(&quot;$&quot;* &quot;-&quot;??_);_(@_)">
                  <c:v>-3408.7479036963787</c:v>
                </c:pt>
                <c:pt idx="155" formatCode="_(&quot;$&quot;* #,##0.00_);_(&quot;$&quot;* \(#,##0.00\);_(&quot;$&quot;* &quot;-&quot;??_);_(@_)">
                  <c:v>-3590.559097397294</c:v>
                </c:pt>
                <c:pt idx="156" formatCode="_(&quot;$&quot;* #,##0.00_);_(&quot;$&quot;* \(#,##0.00\);_(&quot;$&quot;* &quot;-&quot;??_);_(@_)">
                  <c:v>-3866.594263565416</c:v>
                </c:pt>
                <c:pt idx="157" formatCode="_(&quot;$&quot;* #,##0.00_);_(&quot;$&quot;* \(#,##0.00\);_(&quot;$&quot;* &quot;-&quot;??_);_(@_)">
                  <c:v>-4001.6299868394963</c:v>
                </c:pt>
                <c:pt idx="158" formatCode="_(&quot;$&quot;* #,##0.00_);_(&quot;$&quot;* \(#,##0.00\);_(&quot;$&quot;* &quot;-&quot;??_);_(@_)">
                  <c:v>-3829.3717441637291</c:v>
                </c:pt>
                <c:pt idx="159" formatCode="_(&quot;$&quot;* #,##0.00_);_(&quot;$&quot;* \(#,##0.00\);_(&quot;$&quot;* &quot;-&quot;??_);_(@_)">
                  <c:v>-4239.073604547656</c:v>
                </c:pt>
                <c:pt idx="160" formatCode="_(&quot;$&quot;* #,##0.00_);_(&quot;$&quot;* \(#,##0.00\);_(&quot;$&quot;* &quot;-&quot;??_);_(@_)">
                  <c:v>-4313.755583864604</c:v>
                </c:pt>
                <c:pt idx="161" formatCode="_(&quot;$&quot;* #,##0.00_);_(&quot;$&quot;* \(#,##0.00\);_(&quot;$&quot;* &quot;-&quot;??_);_(@_)">
                  <c:v>-4490.6369378140407</c:v>
                </c:pt>
                <c:pt idx="162" formatCode="_(&quot;$&quot;* #,##0.00_);_(&quot;$&quot;* \(#,##0.00\);_(&quot;$&quot;* &quot;-&quot;??_);_(@_)">
                  <c:v>-4722.6868897394916</c:v>
                </c:pt>
                <c:pt idx="163" formatCode="_(&quot;$&quot;* #,##0.00_);_(&quot;$&quot;* \(#,##0.00\);_(&quot;$&quot;* &quot;-&quot;??_);_(@_)">
                  <c:v>-4712.4411516350247</c:v>
                </c:pt>
                <c:pt idx="164" formatCode="_(&quot;$&quot;* #,##0.00_);_(&quot;$&quot;* \(#,##0.00\);_(&quot;$&quot;* &quot;-&quot;??_);_(@_)">
                  <c:v>-4865.6446115570407</c:v>
                </c:pt>
                <c:pt idx="165" formatCode="_(&quot;$&quot;* #,##0.00_);_(&quot;$&quot;* \(#,##0.00\);_(&quot;$&quot;* &quot;-&quot;??_);_(@_)">
                  <c:v>-4836.8156001629432</c:v>
                </c:pt>
                <c:pt idx="166" formatCode="_(&quot;$&quot;* #,##0.00_);_(&quot;$&quot;* \(#,##0.00\);_(&quot;$&quot;* &quot;-&quot;??_);_(@_)">
                  <c:v>-4766.7065932261339</c:v>
                </c:pt>
                <c:pt idx="167" formatCode="_(&quot;$&quot;* #,##0.00_);_(&quot;$&quot;* \(#,##0.00\);_(&quot;$&quot;* &quot;-&quot;??_);_(@_)">
                  <c:v>-5140.8947697483027</c:v>
                </c:pt>
                <c:pt idx="168" formatCode="_(&quot;$&quot;* #,##0.00_);_(&quot;$&quot;* \(#,##0.00\);_(&quot;$&quot;* &quot;-&quot;??_);_(@_)">
                  <c:v>-4969.0776688251544</c:v>
                </c:pt>
                <c:pt idx="169" formatCode="_(&quot;$&quot;* #,##0.00_);_(&quot;$&quot;* \(#,##0.00\);_(&quot;$&quot;* &quot;-&quot;??_);_(@_)">
                  <c:v>-5022.1286397388612</c:v>
                </c:pt>
                <c:pt idx="170" formatCode="_(&quot;$&quot;* #,##0.00_);_(&quot;$&quot;* \(#,##0.00\);_(&quot;$&quot;* &quot;-&quot;??_);_(@_)">
                  <c:v>-5675.1208093074156</c:v>
                </c:pt>
                <c:pt idx="171" formatCode="_(&quot;$&quot;* #,##0.00_);_(&quot;$&quot;* \(#,##0.00\);_(&quot;$&quot;* &quot;-&quot;??_);_(@_)">
                  <c:v>-5857.2751404277706</c:v>
                </c:pt>
                <c:pt idx="172" formatCode="_(&quot;$&quot;* #,##0.00_);_(&quot;$&quot;* \(#,##0.00\);_(&quot;$&quot;* &quot;-&quot;??_);_(@_)">
                  <c:v>-5741.6644724885009</c:v>
                </c:pt>
                <c:pt idx="173" formatCode="_(&quot;$&quot;* #,##0.00_);_(&quot;$&quot;* \(#,##0.00\);_(&quot;$&quot;* &quot;-&quot;??_);_(@_)">
                  <c:v>-5774.1323243957331</c:v>
                </c:pt>
                <c:pt idx="174" formatCode="_(&quot;$&quot;* #,##0.00_);_(&quot;$&quot;* \(#,##0.00\);_(&quot;$&quot;* &quot;-&quot;??_);_(@_)">
                  <c:v>-5798.6237657696893</c:v>
                </c:pt>
                <c:pt idx="175" formatCode="_(&quot;$&quot;* #,##0.00_);_(&quot;$&quot;* \(#,##0.00\);_(&quot;$&quot;* &quot;-&quot;??_);_(@_)">
                  <c:v>-5800.4934399882686</c:v>
                </c:pt>
                <c:pt idx="176" formatCode="_(&quot;$&quot;* #,##0.00_);_(&quot;$&quot;* \(#,##0.00\);_(&quot;$&quot;* &quot;-&quot;??_);_(@_)">
                  <c:v>-5725.3395980944224</c:v>
                </c:pt>
                <c:pt idx="177" formatCode="_(&quot;$&quot;* #,##0.00_);_(&quot;$&quot;* \(#,##0.00\);_(&quot;$&quot;* &quot;-&quot;??_);_(@_)">
                  <c:v>-6073.5664681883645</c:v>
                </c:pt>
                <c:pt idx="178" formatCode="_(&quot;$&quot;* #,##0.00_);_(&quot;$&quot;* \(#,##0.00\);_(&quot;$&quot;* &quot;-&quot;??_);_(@_)">
                  <c:v>-5973.6020086480903</c:v>
                </c:pt>
                <c:pt idx="179" formatCode="_(&quot;$&quot;* #,##0.00_);_(&quot;$&quot;* \(#,##0.00\);_(&quot;$&quot;* &quot;-&quot;??_);_(@_)">
                  <c:v>-6380.993493711454</c:v>
                </c:pt>
                <c:pt idx="180" formatCode="_(&quot;$&quot;* #,##0.00_);_(&quot;$&quot;* \(#,##0.00\);_(&quot;$&quot;* &quot;-&quot;??_);_(@_)">
                  <c:v>-6303.4590213812999</c:v>
                </c:pt>
                <c:pt idx="181" formatCode="_(&quot;$&quot;* #,##0.00_);_(&quot;$&quot;* \(#,##0.00\);_(&quot;$&quot;* &quot;-&quot;??_);_(@_)">
                  <c:v>-6338.6894602502625</c:v>
                </c:pt>
                <c:pt idx="182" formatCode="_(&quot;$&quot;* #,##0.00_);_(&quot;$&quot;* \(#,##0.00\);_(&quot;$&quot;* &quot;-&quot;??_);_(@_)">
                  <c:v>-6663.9703609390381</c:v>
                </c:pt>
                <c:pt idx="183" formatCode="_(&quot;$&quot;* #,##0.00_);_(&quot;$&quot;* \(#,##0.00\);_(&quot;$&quot;* &quot;-&quot;??_);_(@_)">
                  <c:v>-6992.3323924615606</c:v>
                </c:pt>
                <c:pt idx="184" formatCode="_(&quot;$&quot;* #,##0.00_);_(&quot;$&quot;* \(#,##0.00\);_(&quot;$&quot;* &quot;-&quot;??_);_(@_)">
                  <c:v>-6616.0999067324401</c:v>
                </c:pt>
                <c:pt idx="185" formatCode="_(&quot;$&quot;* #,##0.00_);_(&quot;$&quot;* \(#,##0.00\);_(&quot;$&quot;* &quot;-&quot;??_);_(@_)">
                  <c:v>-6989.7158889794846</c:v>
                </c:pt>
                <c:pt idx="186" formatCode="_(&quot;$&quot;* #,##0.00_);_(&quot;$&quot;* \(#,##0.00\);_(&quot;$&quot;* &quot;-&quot;??_);_(@_)">
                  <c:v>-7374.6566400938837</c:v>
                </c:pt>
                <c:pt idx="187" formatCode="_(&quot;$&quot;* #,##0.00_);_(&quot;$&quot;* \(#,##0.00\);_(&quot;$&quot;* &quot;-&quot;??_);_(@_)">
                  <c:v>-7490.0934678594813</c:v>
                </c:pt>
                <c:pt idx="188" formatCode="_(&quot;$&quot;* #,##0.00_);_(&quot;$&quot;* \(#,##0.00\);_(&quot;$&quot;* &quot;-&quot;??_);_(@_)">
                  <c:v>-6917.3215491396704</c:v>
                </c:pt>
                <c:pt idx="189" formatCode="_(&quot;$&quot;* #,##0.00_);_(&quot;$&quot;* \(#,##0.00\);_(&quot;$&quot;* &quot;-&quot;??_);_(@_)">
                  <c:v>-6182.222682413344</c:v>
                </c:pt>
                <c:pt idx="190" formatCode="_(&quot;$&quot;* #,##0.00_);_(&quot;$&quot;* \(#,##0.00\);_(&quot;$&quot;* &quot;-&quot;??_);_(@_)">
                  <c:v>-6177.4913310316124</c:v>
                </c:pt>
                <c:pt idx="191" formatCode="_(&quot;$&quot;* #,##0.00_);_(&quot;$&quot;* \(#,##0.00\);_(&quot;$&quot;* &quot;-&quot;??_);_(@_)">
                  <c:v>-6443.9528668711937</c:v>
                </c:pt>
                <c:pt idx="192" formatCode="_(&quot;$&quot;* #,##0.00_);_(&quot;$&quot;* \(#,##0.00\);_(&quot;$&quot;* &quot;-&quot;??_);_(@_)">
                  <c:v>-5909.6155398419523</c:v>
                </c:pt>
                <c:pt idx="193" formatCode="_(&quot;$&quot;* #,##0.00_);_(&quot;$&quot;* \(#,##0.00\);_(&quot;$&quot;* &quot;-&quot;??_);_(@_)">
                  <c:v>-6340.0403486574105</c:v>
                </c:pt>
                <c:pt idx="194" formatCode="_(&quot;$&quot;* #,##0.00_);_(&quot;$&quot;* \(#,##0.00\);_(&quot;$&quot;* &quot;-&quot;??_);_(@_)">
                  <c:v>-6306.7773059271985</c:v>
                </c:pt>
                <c:pt idx="195" formatCode="_(&quot;$&quot;* #,##0.00_);_(&quot;$&quot;* \(#,##0.00\);_(&quot;$&quot;* &quot;-&quot;??_);_(@_)">
                  <c:v>-6652.6908192615174</c:v>
                </c:pt>
                <c:pt idx="196" formatCode="_(&quot;$&quot;* #,##0.00_);_(&quot;$&quot;* \(#,##0.00\);_(&quot;$&quot;* &quot;-&quot;??_);_(@_)">
                  <c:v>-7391.4921043842196</c:v>
                </c:pt>
                <c:pt idx="197" formatCode="_(&quot;$&quot;* #,##0.00_);_(&quot;$&quot;* \(#,##0.00\);_(&quot;$&quot;* &quot;-&quot;??_);_(@_)">
                  <c:v>-7644.3244697157998</c:v>
                </c:pt>
                <c:pt idx="198" formatCode="_(&quot;$&quot;* #,##0.00_);_(&quot;$&quot;* \(#,##0.00\);_(&quot;$&quot;* &quot;-&quot;??_);_(@_)">
                  <c:v>-7728.6701345872625</c:v>
                </c:pt>
                <c:pt idx="199" formatCode="_(&quot;$&quot;* #,##0.00_);_(&quot;$&quot;* \(#,##0.00\);_(&quot;$&quot;* &quot;-&quot;??_);_(@_)">
                  <c:v>-7275.8812813828154</c:v>
                </c:pt>
                <c:pt idx="200" formatCode="_(&quot;$&quot;* #,##0.00_);_(&quot;$&quot;* \(#,##0.00\);_(&quot;$&quot;* &quot;-&quot;??_);_(@_)">
                  <c:v>-7764.7243226407263</c:v>
                </c:pt>
                <c:pt idx="201" formatCode="_(&quot;$&quot;* #,##0.00_);_(&quot;$&quot;* \(#,##0.00\);_(&quot;$&quot;* &quot;-&quot;??_);_(@_)">
                  <c:v>-8442.393926299992</c:v>
                </c:pt>
                <c:pt idx="202" formatCode="_(&quot;$&quot;* #,##0.00_);_(&quot;$&quot;* \(#,##0.00\);_(&quot;$&quot;* &quot;-&quot;??_);_(@_)">
                  <c:v>-8725.0485878774762</c:v>
                </c:pt>
                <c:pt idx="203" formatCode="_(&quot;$&quot;* #,##0.00_);_(&quot;$&quot;* \(#,##0.00\);_(&quot;$&quot;* &quot;-&quot;??_);_(@_)">
                  <c:v>-8754.6880765398419</c:v>
                </c:pt>
                <c:pt idx="204" formatCode="_(&quot;$&quot;* #,##0.00_);_(&quot;$&quot;* \(#,##0.00\);_(&quot;$&quot;* &quot;-&quot;??_);_(@_)">
                  <c:v>-8436.1159694475482</c:v>
                </c:pt>
                <c:pt idx="205" formatCode="_(&quot;$&quot;* #,##0.00_);_(&quot;$&quot;* \(#,##0.00\);_(&quot;$&quot;* &quot;-&quot;??_);_(@_)">
                  <c:v>-8750.480864145622</c:v>
                </c:pt>
                <c:pt idx="206" formatCode="_(&quot;$&quot;* #,##0.00_);_(&quot;$&quot;* \(#,##0.00\);_(&quot;$&quot;* &quot;-&quot;??_);_(@_)">
                  <c:v>-8686.9887601309056</c:v>
                </c:pt>
                <c:pt idx="207" formatCode="_(&quot;$&quot;* #,##0.00_);_(&quot;$&quot;* \(#,##0.00\);_(&quot;$&quot;* &quot;-&quot;??_);_(@_)">
                  <c:v>-8769.3525364355519</c:v>
                </c:pt>
                <c:pt idx="208" formatCode="_(&quot;$&quot;* #,##0.00_);_(&quot;$&quot;* \(#,##0.00\);_(&quot;$&quot;* &quot;-&quot;??_);_(@_)">
                  <c:v>-8609.6768652951669</c:v>
                </c:pt>
                <c:pt idx="209" formatCode="_(&quot;$&quot;* #,##0.00_);_(&quot;$&quot;* \(#,##0.00\);_(&quot;$&quot;* &quot;-&quot;??_);_(@_)">
                  <c:v>-8872.749954450459</c:v>
                </c:pt>
                <c:pt idx="210" formatCode="_(&quot;$&quot;* #,##0.00_);_(&quot;$&quot;* \(#,##0.00\);_(&quot;$&quot;* &quot;-&quot;??_);_(@_)">
                  <c:v>-8941.617419447748</c:v>
                </c:pt>
                <c:pt idx="211" formatCode="_(&quot;$&quot;* #,##0.00_);_(&quot;$&quot;* \(#,##0.00\);_(&quot;$&quot;* &quot;-&quot;??_);_(@_)">
                  <c:v>-9029.3969011677436</c:v>
                </c:pt>
                <c:pt idx="212" formatCode="_(&quot;$&quot;* #,##0.00_);_(&quot;$&quot;* \(#,##0.00\);_(&quot;$&quot;* &quot;-&quot;??_);_(@_)">
                  <c:v>-8689.0713749406968</c:v>
                </c:pt>
                <c:pt idx="213" formatCode="_(&quot;$&quot;* #,##0.00_);_(&quot;$&quot;* \(#,##0.00\);_(&quot;$&quot;* &quot;-&quot;??_);_(@_)">
                  <c:v>-9005.1029862612304</c:v>
                </c:pt>
                <c:pt idx="214" formatCode="_(&quot;$&quot;* #,##0.00_);_(&quot;$&quot;* \(#,##0.00\);_(&quot;$&quot;* &quot;-&quot;??_);_(@_)">
                  <c:v>-8920.5015479824542</c:v>
                </c:pt>
                <c:pt idx="215" formatCode="_(&quot;$&quot;* #,##0.00_);_(&quot;$&quot;* \(#,##0.00\);_(&quot;$&quot;* &quot;-&quot;??_);_(@_)">
                  <c:v>-8491.0609453550969</c:v>
                </c:pt>
                <c:pt idx="216" formatCode="_(&quot;$&quot;* #,##0.00_);_(&quot;$&quot;* \(#,##0.00\);_(&quot;$&quot;* &quot;-&quot;??_);_(@_)">
                  <c:v>-8626.6447275927494</c:v>
                </c:pt>
                <c:pt idx="217" formatCode="_(&quot;$&quot;* #,##0.00_);_(&quot;$&quot;* \(#,##0.00\);_(&quot;$&quot;* &quot;-&quot;??_);_(@_)">
                  <c:v>-8679.4081599532365</c:v>
                </c:pt>
                <c:pt idx="218" formatCode="_(&quot;$&quot;* #,##0.00_);_(&quot;$&quot;* \(#,##0.00\);_(&quot;$&quot;* &quot;-&quot;??_);_(@_)">
                  <c:v>-8203.4148150599558</c:v>
                </c:pt>
                <c:pt idx="219" formatCode="_(&quot;$&quot;* #,##0.00_);_(&quot;$&quot;* \(#,##0.00\);_(&quot;$&quot;* &quot;-&quot;??_);_(@_)">
                  <c:v>-8624.9862099727125</c:v>
                </c:pt>
                <c:pt idx="220" formatCode="_(&quot;$&quot;* #,##0.00_);_(&quot;$&quot;* \(#,##0.00\);_(&quot;$&quot;* &quot;-&quot;??_);_(@_)">
                  <c:v>-8771.3397903415043</c:v>
                </c:pt>
                <c:pt idx="221" formatCode="_(&quot;$&quot;* #,##0.00_);_(&quot;$&quot;* \(#,##0.00\);_(&quot;$&quot;* &quot;-&quot;??_);_(@_)">
                  <c:v>-8558.8915775831192</c:v>
                </c:pt>
                <c:pt idx="222" formatCode="_(&quot;$&quot;* #,##0.00_);_(&quot;$&quot;* \(#,##0.00\);_(&quot;$&quot;* &quot;-&quot;??_);_(@_)">
                  <c:v>-9015.1921753546685</c:v>
                </c:pt>
                <c:pt idx="223" formatCode="_(&quot;$&quot;* #,##0.00_);_(&quot;$&quot;* \(#,##0.00\);_(&quot;$&quot;* &quot;-&quot;??_);_(@_)">
                  <c:v>-9053.1932038704854</c:v>
                </c:pt>
                <c:pt idx="224" formatCode="_(&quot;$&quot;* #,##0.00_);_(&quot;$&quot;* \(#,##0.00\);_(&quot;$&quot;* &quot;-&quot;??_);_(@_)">
                  <c:v>-9039.8002975853451</c:v>
                </c:pt>
                <c:pt idx="225" formatCode="_(&quot;$&quot;* #,##0.00_);_(&quot;$&quot;* \(#,##0.00\);_(&quot;$&quot;* &quot;-&quot;??_);_(@_)">
                  <c:v>-8926.7055530949547</c:v>
                </c:pt>
                <c:pt idx="226" formatCode="_(&quot;$&quot;* #,##0.00_);_(&quot;$&quot;* \(#,##0.00\);_(&quot;$&quot;* &quot;-&quot;??_);_(@_)">
                  <c:v>-8829.9633792956338</c:v>
                </c:pt>
                <c:pt idx="227" formatCode="_(&quot;$&quot;* #,##0.00_);_(&quot;$&quot;* \(#,##0.00\);_(&quot;$&quot;* &quot;-&quot;??_);_(@_)">
                  <c:v>-8961.4094889209155</c:v>
                </c:pt>
                <c:pt idx="228" formatCode="_(&quot;$&quot;* #,##0.00_);_(&quot;$&quot;* \(#,##0.00\);_(&quot;$&quot;* &quot;-&quot;??_);_(@_)">
                  <c:v>-9286.7940441601495</c:v>
                </c:pt>
                <c:pt idx="229" formatCode="_(&quot;$&quot;* #,##0.00_);_(&quot;$&quot;* \(#,##0.00\);_(&quot;$&quot;* &quot;-&quot;??_);_(@_)">
                  <c:v>-9334.4420081762364</c:v>
                </c:pt>
                <c:pt idx="230" formatCode="_(&quot;$&quot;* #,##0.00_);_(&quot;$&quot;* \(#,##0.00\);_(&quot;$&quot;* &quot;-&quot;??_);_(@_)">
                  <c:v>-9520.2418877653017</c:v>
                </c:pt>
                <c:pt idx="231" formatCode="_(&quot;$&quot;* #,##0.00_);_(&quot;$&quot;* \(#,##0.00\);_(&quot;$&quot;* &quot;-&quot;??_);_(@_)">
                  <c:v>-9624.29289671269</c:v>
                </c:pt>
                <c:pt idx="232" formatCode="_(&quot;$&quot;* #,##0.00_);_(&quot;$&quot;* \(#,##0.00\);_(&quot;$&quot;* &quot;-&quot;??_);_(@_)">
                  <c:v>-9681.2467318533363</c:v>
                </c:pt>
                <c:pt idx="233" formatCode="_(&quot;$&quot;* #,##0.00_);_(&quot;$&quot;* \(#,##0.00\);_(&quot;$&quot;* &quot;-&quot;??_);_(@_)">
                  <c:v>-9668.9649562647628</c:v>
                </c:pt>
                <c:pt idx="234" formatCode="_(&quot;$&quot;* #,##0.00_);_(&quot;$&quot;* \(#,##0.00\);_(&quot;$&quot;* &quot;-&quot;??_);_(@_)">
                  <c:v>-9875.3629526545737</c:v>
                </c:pt>
                <c:pt idx="235" formatCode="_(&quot;$&quot;* #,##0.00_);_(&quot;$&quot;* \(#,##0.00\);_(&quot;$&quot;* &quot;-&quot;??_);_(@_)">
                  <c:v>-9991.1377438619184</c:v>
                </c:pt>
                <c:pt idx="236" formatCode="_(&quot;$&quot;* #,##0.00_);_(&quot;$&quot;* \(#,##0.00\);_(&quot;$&quot;* &quot;-&quot;??_);_(@_)">
                  <c:v>-10043.869175990854</c:v>
                </c:pt>
                <c:pt idx="237" formatCode="_(&quot;$&quot;* #,##0.00_);_(&quot;$&quot;* \(#,##0.00\);_(&quot;$&quot;* &quot;-&quot;??_);_(@_)">
                  <c:v>-10290.276801869284</c:v>
                </c:pt>
                <c:pt idx="238" formatCode="_(&quot;$&quot;* #,##0.00_);_(&quot;$&quot;* \(#,##0.00\);_(&quot;$&quot;* &quot;-&quot;??_);_(@_)">
                  <c:v>-10325.142839340115</c:v>
                </c:pt>
                <c:pt idx="239" formatCode="_(&quot;$&quot;* #,##0.00_);_(&quot;$&quot;* \(#,##0.00\);_(&quot;$&quot;* &quot;-&quot;??_);_(@_)">
                  <c:v>-9980.7673722565687</c:v>
                </c:pt>
                <c:pt idx="240" formatCode="_(&quot;$&quot;* #,##0.00_);_(&quot;$&quot;* \(#,##0.00\);_(&quot;$&quot;* &quot;-&quot;??_);_(@_)">
                  <c:v>-10154.207385923943</c:v>
                </c:pt>
                <c:pt idx="241" formatCode="_(&quot;$&quot;* #,##0.00_);_(&quot;$&quot;* \(#,##0.00\);_(&quot;$&quot;* &quot;-&quot;??_);_(@_)">
                  <c:v>-10009.807443397702</c:v>
                </c:pt>
                <c:pt idx="242" formatCode="_(&quot;$&quot;* #,##0.00_);_(&quot;$&quot;* \(#,##0.00\);_(&quot;$&quot;* &quot;-&quot;??_);_(@_)">
                  <c:v>-9971.9472362568686</c:v>
                </c:pt>
                <c:pt idx="243" formatCode="_(&quot;$&quot;* #,##0.00_);_(&quot;$&quot;* \(#,##0.00\);_(&quot;$&quot;* &quot;-&quot;??_);_(@_)">
                  <c:v>-10038.105354697207</c:v>
                </c:pt>
                <c:pt idx="244" formatCode="_(&quot;$&quot;* #,##0.00_);_(&quot;$&quot;* \(#,##0.00\);_(&quot;$&quot;* &quot;-&quot;??_);_(@_)">
                  <c:v>-9456.3289654193923</c:v>
                </c:pt>
                <c:pt idx="245" formatCode="_(&quot;$&quot;* #,##0.00_);_(&quot;$&quot;* \(#,##0.00\);_(&quot;$&quot;* &quot;-&quot;??_);_(@_)">
                  <c:v>-9547.5258350085933</c:v>
                </c:pt>
                <c:pt idx="246" formatCode="_(&quot;$&quot;* #,##0.00_);_(&quot;$&quot;* \(#,##0.00\);_(&quot;$&quot;* &quot;-&quot;??_);_(@_)">
                  <c:v>-9771.8885102253353</c:v>
                </c:pt>
                <c:pt idx="247" formatCode="_(&quot;$&quot;* #,##0.00_);_(&quot;$&quot;* \(#,##0.00\);_(&quot;$&quot;* &quot;-&quot;??_);_(@_)">
                  <c:v>-10063.576796930383</c:v>
                </c:pt>
                <c:pt idx="248" formatCode="_(&quot;$&quot;* #,##0.00_);_(&quot;$&quot;* \(#,##0.00\);_(&quot;$&quot;* &quot;-&quot;??_);_(@_)">
                  <c:v>-10074.332239909634</c:v>
                </c:pt>
                <c:pt idx="249" formatCode="_(&quot;$&quot;* #,##0.00_);_(&quot;$&quot;* \(#,##0.00\);_(&quot;$&quot;* &quot;-&quot;??_);_(@_)">
                  <c:v>-10099.392572876408</c:v>
                </c:pt>
                <c:pt idx="250" formatCode="_(&quot;$&quot;* #,##0.00_);_(&quot;$&quot;* \(#,##0.00\);_(&quot;$&quot;* &quot;-&quot;??_);_(@_)">
                  <c:v>-10028.960535512369</c:v>
                </c:pt>
                <c:pt idx="251" formatCode="_(&quot;$&quot;* #,##0.00_);_(&quot;$&quot;* \(#,##0.00\);_(&quot;$&quot;* &quot;-&quot;??_);_(@_)">
                  <c:v>-10147.376666994125</c:v>
                </c:pt>
                <c:pt idx="252" formatCode="_(&quot;$&quot;* #,##0.00_);_(&quot;$&quot;* \(#,##0.00\);_(&quot;$&quot;* &quot;-&quot;??_);_(@_)">
                  <c:v>-10062.834020804661</c:v>
                </c:pt>
                <c:pt idx="253" formatCode="_(&quot;$&quot;* #,##0.00_);_(&quot;$&quot;* \(#,##0.00\);_(&quot;$&quot;* &quot;-&quot;??_);_(@_)">
                  <c:v>-9458.5628867834021</c:v>
                </c:pt>
                <c:pt idx="254" formatCode="_(&quot;$&quot;* #,##0.00_);_(&quot;$&quot;* \(#,##0.00\);_(&quot;$&quot;* &quot;-&quot;??_);_(@_)">
                  <c:v>-9885.8481360471997</c:v>
                </c:pt>
                <c:pt idx="255" formatCode="_(&quot;$&quot;* #,##0.00_);_(&quot;$&quot;* \(#,##0.00\);_(&quot;$&quot;* &quot;-&quot;??_);_(@_)">
                  <c:v>-9683.9144746799029</c:v>
                </c:pt>
                <c:pt idx="256" formatCode="_(&quot;$&quot;* #,##0.00_);_(&quot;$&quot;* \(#,##0.00\);_(&quot;$&quot;* &quot;-&quot;??_);_(@_)">
                  <c:v>-9814.5581191556048</c:v>
                </c:pt>
                <c:pt idx="257" formatCode="_(&quot;$&quot;* #,##0.00_);_(&quot;$&quot;* \(#,##0.00\);_(&quot;$&quot;* &quot;-&quot;??_);_(@_)">
                  <c:v>-9820.6975847777612</c:v>
                </c:pt>
                <c:pt idx="258" formatCode="_(&quot;$&quot;* #,##0.00_);_(&quot;$&quot;* \(#,##0.00\);_(&quot;$&quot;* &quot;-&quot;??_);_(@_)">
                  <c:v>-10049.921820856947</c:v>
                </c:pt>
                <c:pt idx="259" formatCode="_(&quot;$&quot;* #,##0.00_);_(&quot;$&quot;* \(#,##0.00\);_(&quot;$&quot;* &quot;-&quot;??_);_(@_)">
                  <c:v>-10124.566653094311</c:v>
                </c:pt>
                <c:pt idx="260" formatCode="_(&quot;$&quot;* #,##0.00_);_(&quot;$&quot;* \(#,##0.00\);_(&quot;$&quot;* &quot;-&quot;??_);_(@_)">
                  <c:v>-9807.9363648987674</c:v>
                </c:pt>
                <c:pt idx="261" formatCode="_(&quot;$&quot;* #,##0.00_);_(&quot;$&quot;* \(#,##0.00\);_(&quot;$&quot;* &quot;-&quot;??_);_(@_)">
                  <c:v>-9701.586146840853</c:v>
                </c:pt>
                <c:pt idx="262" formatCode="_(&quot;$&quot;* #,##0.00_);_(&quot;$&quot;* \(#,##0.00\);_(&quot;$&quot;* &quot;-&quot;??_);_(@_)">
                  <c:v>-9538.726689050598</c:v>
                </c:pt>
                <c:pt idx="263" formatCode="_(&quot;$&quot;* #,##0.00_);_(&quot;$&quot;* \(#,##0.00\);_(&quot;$&quot;* &quot;-&quot;??_);_(@_)">
                  <c:v>-9668.6551710813073</c:v>
                </c:pt>
                <c:pt idx="264" formatCode="_(&quot;$&quot;* #,##0.00_);_(&quot;$&quot;* \(#,##0.00\);_(&quot;$&quot;* &quot;-&quot;??_);_(@_)">
                  <c:v>-9821.6192316558845</c:v>
                </c:pt>
                <c:pt idx="265" formatCode="_(&quot;$&quot;* #,##0.00_);_(&quot;$&quot;* \(#,##0.00\);_(&quot;$&quot;* &quot;-&quot;??_);_(@_)">
                  <c:v>-9618.0307276380299</c:v>
                </c:pt>
                <c:pt idx="266" formatCode="_(&quot;$&quot;* #,##0.00_);_(&quot;$&quot;* \(#,##0.00\);_(&quot;$&quot;* &quot;-&quot;??_);_(@_)">
                  <c:v>-9826.4021634000801</c:v>
                </c:pt>
                <c:pt idx="267" formatCode="_(&quot;$&quot;* #,##0.00_);_(&quot;$&quot;* \(#,##0.00\);_(&quot;$&quot;* &quot;-&quot;??_);_(@_)">
                  <c:v>-9734.918984857668</c:v>
                </c:pt>
                <c:pt idx="268" formatCode="_(&quot;$&quot;* #,##0.00_);_(&quot;$&quot;* \(#,##0.00\);_(&quot;$&quot;* &quot;-&quot;??_);_(@_)">
                  <c:v>-9729.5631276571003</c:v>
                </c:pt>
                <c:pt idx="269" formatCode="_(&quot;$&quot;* #,##0.00_);_(&quot;$&quot;* \(#,##0.00\);_(&quot;$&quot;* &quot;-&quot;??_);_(@_)">
                  <c:v>-9499.2306894960329</c:v>
                </c:pt>
                <c:pt idx="270" formatCode="_(&quot;$&quot;* #,##0.00_);_(&quot;$&quot;* \(#,##0.00\);_(&quot;$&quot;* &quot;-&quot;??_);_(@_)">
                  <c:v>-9515.7272989748708</c:v>
                </c:pt>
                <c:pt idx="271" formatCode="_(&quot;$&quot;* #,##0.00_);_(&quot;$&quot;* \(#,##0.00\);_(&quot;$&quot;* &quot;-&quot;??_);_(@_)">
                  <c:v>-9539.5990049060911</c:v>
                </c:pt>
                <c:pt idx="272" formatCode="_(&quot;$&quot;* #,##0.00_);_(&quot;$&quot;* \(#,##0.00\);_(&quot;$&quot;* &quot;-&quot;??_);_(@_)">
                  <c:v>-9646.3927616307847</c:v>
                </c:pt>
                <c:pt idx="273" formatCode="_(&quot;$&quot;* #,##0.00_);_(&quot;$&quot;* \(#,##0.00\);_(&quot;$&quot;* &quot;-&quot;??_);_(@_)">
                  <c:v>-9742.5811353775152</c:v>
                </c:pt>
                <c:pt idx="274" formatCode="_(&quot;$&quot;* #,##0.00_);_(&quot;$&quot;* \(#,##0.00\);_(&quot;$&quot;* &quot;-&quot;??_);_(@_)">
                  <c:v>-9410.0910480979965</c:v>
                </c:pt>
                <c:pt idx="275" formatCode="_(&quot;$&quot;* #,##0.00_);_(&quot;$&quot;* \(#,##0.00\);_(&quot;$&quot;* &quot;-&quot;??_);_(@_)">
                  <c:v>-9684.3561568358982</c:v>
                </c:pt>
                <c:pt idx="276" formatCode="_(&quot;$&quot;* #,##0.00_);_(&quot;$&quot;* \(#,##0.00\);_(&quot;$&quot;* &quot;-&quot;??_);_(@_)">
                  <c:v>-9788.6406517471769</c:v>
                </c:pt>
                <c:pt idx="277" formatCode="_(&quot;$&quot;* #,##0.00_);_(&quot;$&quot;* \(#,##0.00\);_(&quot;$&quot;* &quot;-&quot;??_);_(@_)">
                  <c:v>-10006.305291035085</c:v>
                </c:pt>
                <c:pt idx="278" formatCode="_(&quot;$&quot;* #,##0.00_);_(&quot;$&quot;* \(#,##0.00\);_(&quot;$&quot;* &quot;-&quot;??_);_(@_)">
                  <c:v>-9870.0793567904493</c:v>
                </c:pt>
                <c:pt idx="279" formatCode="_(&quot;$&quot;* #,##0.00_);_(&quot;$&quot;* \(#,##0.00\);_(&quot;$&quot;* &quot;-&quot;??_);_(@_)">
                  <c:v>-9753.00930616185</c:v>
                </c:pt>
                <c:pt idx="280" formatCode="_(&quot;$&quot;* #,##0.00_);_(&quot;$&quot;* \(#,##0.00\);_(&quot;$&quot;* &quot;-&quot;??_);_(@_)">
                  <c:v>-9739.2162027135673</c:v>
                </c:pt>
                <c:pt idx="281" formatCode="_(&quot;$&quot;* #,##0.00_);_(&quot;$&quot;* \(#,##0.00\);_(&quot;$&quot;* &quot;-&quot;??_);_(@_)">
                  <c:v>-9555.3101949464944</c:v>
                </c:pt>
                <c:pt idx="282" formatCode="_(&quot;$&quot;* #,##0.00_);_(&quot;$&quot;* \(#,##0.00\);_(&quot;$&quot;* &quot;-&quot;??_);_(@_)">
                  <c:v>-9800.2149050701155</c:v>
                </c:pt>
                <c:pt idx="283" formatCode="_(&quot;$&quot;* #,##0.00_);_(&quot;$&quot;* \(#,##0.00\);_(&quot;$&quot;* &quot;-&quot;??_);_(@_)">
                  <c:v>-9685.3461152363179</c:v>
                </c:pt>
                <c:pt idx="284" formatCode="_(&quot;$&quot;* #,##0.00_);_(&quot;$&quot;* \(#,##0.00\);_(&quot;$&quot;* &quot;-&quot;??_);_(@_)">
                  <c:v>-10088.767379237466</c:v>
                </c:pt>
                <c:pt idx="285" formatCode="_(&quot;$&quot;* #,##0.00_);_(&quot;$&quot;* \(#,##0.00\);_(&quot;$&quot;* &quot;-&quot;??_);_(@_)">
                  <c:v>-10308.483670803895</c:v>
                </c:pt>
                <c:pt idx="286" formatCode="_(&quot;$&quot;* #,##0.00_);_(&quot;$&quot;* \(#,##0.00\);_(&quot;$&quot;* &quot;-&quot;??_);_(@_)">
                  <c:v>-9726.9073965324078</c:v>
                </c:pt>
                <c:pt idx="287" formatCode="_(&quot;$&quot;* #,##0.00_);_(&quot;$&quot;* \(#,##0.00\);_(&quot;$&quot;* &quot;-&quot;??_);_(@_)">
                  <c:v>-9931.4667436476229</c:v>
                </c:pt>
                <c:pt idx="288" formatCode="_(&quot;$&quot;* #,##0.00_);_(&quot;$&quot;* \(#,##0.00\);_(&quot;$&quot;* &quot;-&quot;??_);_(@_)">
                  <c:v>-9469.1846767810421</c:v>
                </c:pt>
                <c:pt idx="289" formatCode="_(&quot;$&quot;* #,##0.00_);_(&quot;$&quot;* \(#,##0.00\);_(&quot;$&quot;* &quot;-&quot;??_);_(@_)">
                  <c:v>-9587.725666926448</c:v>
                </c:pt>
                <c:pt idx="290" formatCode="_(&quot;$&quot;* #,##0.00_);_(&quot;$&quot;* \(#,##0.00\);_(&quot;$&quot;* &quot;-&quot;??_);_(@_)">
                  <c:v>-9753.6368370404361</c:v>
                </c:pt>
                <c:pt idx="291" formatCode="_(&quot;$&quot;* #,##0.00_);_(&quot;$&quot;* \(#,##0.00\);_(&quot;$&quot;* &quot;-&quot;??_);_(@_)">
                  <c:v>-9908.3423570225241</c:v>
                </c:pt>
                <c:pt idx="292" formatCode="_(&quot;$&quot;* #,##0.00_);_(&quot;$&quot;* \(#,##0.00\);_(&quot;$&quot;* &quot;-&quot;??_);_(@_)">
                  <c:v>-9944.4440900166337</c:v>
                </c:pt>
                <c:pt idx="293" formatCode="_(&quot;$&quot;* #,##0.00_);_(&quot;$&quot;* \(#,##0.00\);_(&quot;$&quot;* &quot;-&quot;??_);_(@_)">
                  <c:v>-9760.7740610671117</c:v>
                </c:pt>
                <c:pt idx="294" formatCode="_(&quot;$&quot;* #,##0.00_);_(&quot;$&quot;* \(#,##0.00\);_(&quot;$&quot;* &quot;-&quot;??_);_(@_)">
                  <c:v>-9773.3172430730756</c:v>
                </c:pt>
                <c:pt idx="295" formatCode="_(&quot;$&quot;* #,##0.00_);_(&quot;$&quot;* \(#,##0.00\);_(&quot;$&quot;* &quot;-&quot;??_);_(@_)">
                  <c:v>-9711.9297007829682</c:v>
                </c:pt>
                <c:pt idx="296" formatCode="_(&quot;$&quot;* #,##0.00_);_(&quot;$&quot;* \(#,##0.00\);_(&quot;$&quot;* &quot;-&quot;??_);_(@_)">
                  <c:v>-9461.8967149009204</c:v>
                </c:pt>
                <c:pt idx="297" formatCode="_(&quot;$&quot;* #,##0.00_);_(&quot;$&quot;* \(#,##0.00\);_(&quot;$&quot;* &quot;-&quot;??_);_(@_)">
                  <c:v>-9235.86733962383</c:v>
                </c:pt>
                <c:pt idx="298" formatCode="_(&quot;$&quot;* #,##0.00_);_(&quot;$&quot;* \(#,##0.00\);_(&quot;$&quot;* &quot;-&quot;??_);_(@_)">
                  <c:v>-9429.0832476471005</c:v>
                </c:pt>
                <c:pt idx="299" formatCode="_(&quot;$&quot;* #,##0.00_);_(&quot;$&quot;* \(#,##0.00\);_(&quot;$&quot;* &quot;-&quot;??_);_(@_)">
                  <c:v>-9486.0777797171504</c:v>
                </c:pt>
                <c:pt idx="300" formatCode="_(&quot;$&quot;* #,##0.00_);_(&quot;$&quot;* \(#,##0.00\);_(&quot;$&quot;* &quot;-&quot;??_);_(@_)">
                  <c:v>-9481.8654622141858</c:v>
                </c:pt>
                <c:pt idx="301" formatCode="_(&quot;$&quot;* #,##0.00_);_(&quot;$&quot;* \(#,##0.00\);_(&quot;$&quot;* &quot;-&quot;??_);_(@_)">
                  <c:v>-9891.6581577643701</c:v>
                </c:pt>
                <c:pt idx="302" formatCode="_(&quot;$&quot;* #,##0.00_);_(&quot;$&quot;* \(#,##0.00\);_(&quot;$&quot;* &quot;-&quot;??_);_(@_)">
                  <c:v>-9704.1373739476912</c:v>
                </c:pt>
                <c:pt idx="303" formatCode="_(&quot;$&quot;* #,##0.00_);_(&quot;$&quot;* \(#,##0.00\);_(&quot;$&quot;* &quot;-&quot;??_);_(@_)">
                  <c:v>-9950.3882752967402</c:v>
                </c:pt>
                <c:pt idx="304" formatCode="_(&quot;$&quot;* #,##0.00_);_(&quot;$&quot;* \(#,##0.00\);_(&quot;$&quot;* &quot;-&quot;??_);_(@_)">
                  <c:v>-9812.6342706869764</c:v>
                </c:pt>
                <c:pt idx="305" formatCode="_(&quot;$&quot;* #,##0.00_);_(&quot;$&quot;* \(#,##0.00\);_(&quot;$&quot;* &quot;-&quot;??_);_(@_)">
                  <c:v>-9783.8490087410773</c:v>
                </c:pt>
                <c:pt idx="306" formatCode="_(&quot;$&quot;* #,##0.00_);_(&quot;$&quot;* \(#,##0.00\);_(&quot;$&quot;* &quot;-&quot;??_);_(@_)">
                  <c:v>-9795.0010603927494</c:v>
                </c:pt>
                <c:pt idx="307" formatCode="_(&quot;$&quot;* #,##0.00_);_(&quot;$&quot;* \(#,##0.00\);_(&quot;$&quot;* &quot;-&quot;??_);_(@_)">
                  <c:v>-9895.65982172435</c:v>
                </c:pt>
                <c:pt idx="308" formatCode="_(&quot;$&quot;* #,##0.00_);_(&quot;$&quot;* \(#,##0.00\);_(&quot;$&quot;* &quot;-&quot;??_);_(@_)">
                  <c:v>-9937.3670850930303</c:v>
                </c:pt>
                <c:pt idx="309" formatCode="_(&quot;$&quot;* #,##0.00_);_(&quot;$&quot;* \(#,##0.00\);_(&quot;$&quot;* &quot;-&quot;??_);_(@_)">
                  <c:v>-9761.5073333108594</c:v>
                </c:pt>
                <c:pt idx="310" formatCode="_(&quot;$&quot;* #,##0.00_);_(&quot;$&quot;* \(#,##0.00\);_(&quot;$&quot;* &quot;-&quot;??_);_(@_)">
                  <c:v>-9788.7612523050284</c:v>
                </c:pt>
                <c:pt idx="311" formatCode="_(&quot;$&quot;* #,##0.00_);_(&quot;$&quot;* \(#,##0.00\);_(&quot;$&quot;* &quot;-&quot;??_);_(@_)">
                  <c:v>-9298.3272900035081</c:v>
                </c:pt>
                <c:pt idx="312" formatCode="_(&quot;$&quot;* #,##0.00_);_(&quot;$&quot;* \(#,##0.00\);_(&quot;$&quot;* &quot;-&quot;??_);_(@_)">
                  <c:v>-9431.3912189390176</c:v>
                </c:pt>
                <c:pt idx="313" formatCode="_(&quot;$&quot;* #,##0.00_);_(&quot;$&quot;* \(#,##0.00\);_(&quot;$&quot;* &quot;-&quot;??_);_(@_)">
                  <c:v>-9549.1619482138904</c:v>
                </c:pt>
                <c:pt idx="314" formatCode="_(&quot;$&quot;* #,##0.00_);_(&quot;$&quot;* \(#,##0.00\);_(&quot;$&quot;* &quot;-&quot;??_);_(@_)">
                  <c:v>-9690.8008437009721</c:v>
                </c:pt>
                <c:pt idx="315" formatCode="_(&quot;$&quot;* #,##0.00_);_(&quot;$&quot;* \(#,##0.00\);_(&quot;$&quot;* &quot;-&quot;??_);_(@_)">
                  <c:v>-9662.0736633524248</c:v>
                </c:pt>
                <c:pt idx="316" formatCode="_(&quot;$&quot;* #,##0.00_);_(&quot;$&quot;* \(#,##0.00\);_(&quot;$&quot;* &quot;-&quot;??_);_(@_)">
                  <c:v>-9375.1299824264188</c:v>
                </c:pt>
                <c:pt idx="317" formatCode="_(&quot;$&quot;* #,##0.00_);_(&quot;$&quot;* \(#,##0.00\);_(&quot;$&quot;* &quot;-&quot;??_);_(@_)">
                  <c:v>-9046.6517517088996</c:v>
                </c:pt>
                <c:pt idx="318" formatCode="_(&quot;$&quot;* #,##0.00_);_(&quot;$&quot;* \(#,##0.00\);_(&quot;$&quot;* &quot;-&quot;??_);_(@_)">
                  <c:v>-9247.5504521276489</c:v>
                </c:pt>
                <c:pt idx="319" formatCode="_(&quot;$&quot;* #,##0.00_);_(&quot;$&quot;* \(#,##0.00\);_(&quot;$&quot;* &quot;-&quot;??_);_(@_)">
                  <c:v>-8919.5930393803228</c:v>
                </c:pt>
                <c:pt idx="320" formatCode="_(&quot;$&quot;* #,##0.00_);_(&quot;$&quot;* \(#,##0.00\);_(&quot;$&quot;* &quot;-&quot;??_);_(@_)">
                  <c:v>-9153.066118904926</c:v>
                </c:pt>
                <c:pt idx="321" formatCode="_(&quot;$&quot;* #,##0.00_);_(&quot;$&quot;* \(#,##0.00\);_(&quot;$&quot;* &quot;-&quot;??_);_(@_)">
                  <c:v>-9198.1610917675134</c:v>
                </c:pt>
                <c:pt idx="322" formatCode="_(&quot;$&quot;* #,##0.00_);_(&quot;$&quot;* \(#,##0.00\);_(&quot;$&quot;* &quot;-&quot;??_);_(@_)">
                  <c:v>-8974.1916790546675</c:v>
                </c:pt>
                <c:pt idx="323" formatCode="_(&quot;$&quot;* #,##0.00_);_(&quot;$&quot;* \(#,##0.00\);_(&quot;$&quot;* &quot;-&quot;??_);_(@_)">
                  <c:v>-9134.0658222644579</c:v>
                </c:pt>
                <c:pt idx="324" formatCode="_(&quot;$&quot;* #,##0.00_);_(&quot;$&quot;* \(#,##0.00\);_(&quot;$&quot;* &quot;-&quot;??_);_(@_)">
                  <c:v>-9072.1647344813755</c:v>
                </c:pt>
                <c:pt idx="325" formatCode="_(&quot;$&quot;* #,##0.00_);_(&quot;$&quot;* \(#,##0.00\);_(&quot;$&quot;* &quot;-&quot;??_);_(@_)">
                  <c:v>-8749.1915320679254</c:v>
                </c:pt>
                <c:pt idx="326" formatCode="_(&quot;$&quot;* #,##0.00_);_(&quot;$&quot;* \(#,##0.00\);_(&quot;$&quot;* &quot;-&quot;??_);_(@_)">
                  <c:v>-8891.486658623342</c:v>
                </c:pt>
                <c:pt idx="327" formatCode="_(&quot;$&quot;* #,##0.00_);_(&quot;$&quot;* \(#,##0.00\);_(&quot;$&quot;* &quot;-&quot;??_);_(@_)">
                  <c:v>-9051.7749534942777</c:v>
                </c:pt>
                <c:pt idx="328" formatCode="_(&quot;$&quot;* #,##0.00_);_(&quot;$&quot;* \(#,##0.00\);_(&quot;$&quot;* &quot;-&quot;??_);_(@_)">
                  <c:v>-8953.5155486655385</c:v>
                </c:pt>
                <c:pt idx="329" formatCode="_(&quot;$&quot;* #,##0.00_);_(&quot;$&quot;* \(#,##0.00\);_(&quot;$&quot;* &quot;-&quot;??_);_(@_)">
                  <c:v>-9072.2941677500239</c:v>
                </c:pt>
                <c:pt idx="330" formatCode="_(&quot;$&quot;* #,##0.00_);_(&quot;$&quot;* \(#,##0.00\);_(&quot;$&quot;* &quot;-&quot;??_);_(@_)">
                  <c:v>-8999.4744553760465</c:v>
                </c:pt>
                <c:pt idx="331" formatCode="_(&quot;$&quot;* #,##0.00_);_(&quot;$&quot;* \(#,##0.00\);_(&quot;$&quot;* &quot;-&quot;??_);_(@_)">
                  <c:v>-9089.2404446096261</c:v>
                </c:pt>
                <c:pt idx="332" formatCode="_(&quot;$&quot;* #,##0.00_);_(&quot;$&quot;* \(#,##0.00\);_(&quot;$&quot;* &quot;-&quot;??_);_(@_)">
                  <c:v>-8966.1343301259149</c:v>
                </c:pt>
                <c:pt idx="333" formatCode="_(&quot;$&quot;* #,##0.00_);_(&quot;$&quot;* \(#,##0.00\);_(&quot;$&quot;* &quot;-&quot;??_);_(@_)">
                  <c:v>-9008.815976965996</c:v>
                </c:pt>
                <c:pt idx="334" formatCode="_(&quot;$&quot;* #,##0.00_);_(&quot;$&quot;* \(#,##0.00\);_(&quot;$&quot;* &quot;-&quot;??_);_(@_)">
                  <c:v>-8926.5348613839433</c:v>
                </c:pt>
                <c:pt idx="335" formatCode="_(&quot;$&quot;* #,##0.00_);_(&quot;$&quot;* \(#,##0.00\);_(&quot;$&quot;* &quot;-&quot;??_);_(@_)">
                  <c:v>-9154.6499510169306</c:v>
                </c:pt>
                <c:pt idx="336" formatCode="_(&quot;$&quot;* #,##0.00_);_(&quot;$&quot;* \(#,##0.00\);_(&quot;$&quot;* &quot;-&quot;??_);_(@_)">
                  <c:v>-9010.2152838117217</c:v>
                </c:pt>
                <c:pt idx="337" formatCode="_(&quot;$&quot;* #,##0.00_);_(&quot;$&quot;* \(#,##0.00\);_(&quot;$&quot;* &quot;-&quot;??_);_(@_)">
                  <c:v>-9274.7513642112208</c:v>
                </c:pt>
                <c:pt idx="338" formatCode="_(&quot;$&quot;* #,##0.00_);_(&quot;$&quot;* \(#,##0.00\);_(&quot;$&quot;* &quot;-&quot;??_);_(@_)">
                  <c:v>-9336.0034628480153</c:v>
                </c:pt>
                <c:pt idx="339" formatCode="_(&quot;$&quot;* #,##0.00_);_(&quot;$&quot;* \(#,##0.00\);_(&quot;$&quot;* &quot;-&quot;??_);_(@_)">
                  <c:v>-9353.2113243456497</c:v>
                </c:pt>
                <c:pt idx="340" formatCode="_(&quot;$&quot;* #,##0.00_);_(&quot;$&quot;* \(#,##0.00\);_(&quot;$&quot;* &quot;-&quot;??_);_(@_)">
                  <c:v>-8989.1111661090072</c:v>
                </c:pt>
                <c:pt idx="341" formatCode="_(&quot;$&quot;* #,##0.00_);_(&quot;$&quot;* \(#,##0.00\);_(&quot;$&quot;* &quot;-&quot;??_);_(@_)">
                  <c:v>-9190.917471884406</c:v>
                </c:pt>
                <c:pt idx="342" formatCode="_(&quot;$&quot;* #,##0.00_);_(&quot;$&quot;* \(#,##0.00\);_(&quot;$&quot;* &quot;-&quot;??_);_(@_)">
                  <c:v>-9268.4121787771583</c:v>
                </c:pt>
                <c:pt idx="343" formatCode="_(&quot;$&quot;* #,##0.00_);_(&quot;$&quot;* \(#,##0.00\);_(&quot;$&quot;* &quot;-&quot;??_);_(@_)">
                  <c:v>-9307.5984673899038</c:v>
                </c:pt>
                <c:pt idx="344" formatCode="_(&quot;$&quot;* #,##0.00_);_(&quot;$&quot;* \(#,##0.00\);_(&quot;$&quot;* &quot;-&quot;??_);_(@_)">
                  <c:v>-8785.7709586038418</c:v>
                </c:pt>
                <c:pt idx="345" formatCode="_(&quot;$&quot;* #,##0.00_);_(&quot;$&quot;* \(#,##0.00\);_(&quot;$&quot;* &quot;-&quot;??_);_(@_)">
                  <c:v>-9039.6797286232249</c:v>
                </c:pt>
                <c:pt idx="346" formatCode="_(&quot;$&quot;* #,##0.00_);_(&quot;$&quot;* \(#,##0.00\);_(&quot;$&quot;* &quot;-&quot;??_);_(@_)">
                  <c:v>-9023.544519113726</c:v>
                </c:pt>
                <c:pt idx="347" formatCode="_(&quot;$&quot;* #,##0.00_);_(&quot;$&quot;* \(#,##0.00\);_(&quot;$&quot;* &quot;-&quot;??_);_(@_)">
                  <c:v>-9074.2567698259663</c:v>
                </c:pt>
                <c:pt idx="348" formatCode="_(&quot;$&quot;* #,##0.00_);_(&quot;$&quot;* \(#,##0.00\);_(&quot;$&quot;* &quot;-&quot;??_);_(@_)">
                  <c:v>-9279.6770659733975</c:v>
                </c:pt>
                <c:pt idx="349" formatCode="_(&quot;$&quot;* #,##0.00_);_(&quot;$&quot;* \(#,##0.00\);_(&quot;$&quot;* &quot;-&quot;??_);_(@_)">
                  <c:v>-9592.6134819938525</c:v>
                </c:pt>
                <c:pt idx="350" formatCode="_(&quot;$&quot;* #,##0.00_);_(&quot;$&quot;* \(#,##0.00\);_(&quot;$&quot;* &quot;-&quot;??_);_(@_)">
                  <c:v>-9601.9233094885603</c:v>
                </c:pt>
                <c:pt idx="351" formatCode="_(&quot;$&quot;* #,##0.00_);_(&quot;$&quot;* \(#,##0.00\);_(&quot;$&quot;* &quot;-&quot;??_);_(@_)">
                  <c:v>-9880.1532793065744</c:v>
                </c:pt>
                <c:pt idx="352" formatCode="_(&quot;$&quot;* #,##0.00_);_(&quot;$&quot;* \(#,##0.00\);_(&quot;$&quot;* &quot;-&quot;??_);_(@_)">
                  <c:v>-10083.175267733792</c:v>
                </c:pt>
                <c:pt idx="353" formatCode="_(&quot;$&quot;* #,##0.00_);_(&quot;$&quot;* \(#,##0.00\);_(&quot;$&quot;* &quot;-&quot;??_);_(@_)">
                  <c:v>-9941.6198997424126</c:v>
                </c:pt>
                <c:pt idx="354" formatCode="_(&quot;$&quot;* #,##0.00_);_(&quot;$&quot;* \(#,##0.00\);_(&quot;$&quot;* &quot;-&quot;??_);_(@_)">
                  <c:v>-10112.58344939014</c:v>
                </c:pt>
                <c:pt idx="355" formatCode="_(&quot;$&quot;* #,##0.00_);_(&quot;$&quot;* \(#,##0.00\);_(&quot;$&quot;* &quot;-&quot;??_);_(@_)">
                  <c:v>-10434.638401121132</c:v>
                </c:pt>
                <c:pt idx="356" formatCode="_(&quot;$&quot;* #,##0.00_);_(&quot;$&quot;* \(#,##0.00\);_(&quot;$&quot;* &quot;-&quot;??_);_(@_)">
                  <c:v>-10728.942120022739</c:v>
                </c:pt>
                <c:pt idx="357" formatCode="_(&quot;$&quot;* #,##0.00_);_(&quot;$&quot;* \(#,##0.00\);_(&quot;$&quot;* &quot;-&quot;??_);_(@_)">
                  <c:v>-10938.797920102281</c:v>
                </c:pt>
                <c:pt idx="358" formatCode="_(&quot;$&quot;* #,##0.00_);_(&quot;$&quot;* \(#,##0.00\);_(&quot;$&quot;* &quot;-&quot;??_);_(@_)">
                  <c:v>-10730.422841319598</c:v>
                </c:pt>
                <c:pt idx="359" formatCode="_(&quot;$&quot;* #,##0.00_);_(&quot;$&quot;* \(#,##0.00\);_(&quot;$&quot;* &quot;-&quot;??_);_(@_)">
                  <c:v>-9793.5384902930691</c:v>
                </c:pt>
                <c:pt idx="360" formatCode="_(&quot;$&quot;* #,##0.00_);_(&quot;$&quot;* \(#,##0.00\);_(&quot;$&quot;* &quot;-&quot;??_);_(@_)">
                  <c:v>-10234.32767289213</c:v>
                </c:pt>
                <c:pt idx="361" formatCode="_(&quot;$&quot;* #,##0.00_);_(&quot;$&quot;* \(#,##0.00\);_(&quot;$&quot;* &quot;-&quot;??_);_(@_)">
                  <c:v>-10577.897286892288</c:v>
                </c:pt>
                <c:pt idx="362" formatCode="_(&quot;$&quot;* #,##0.00_);_(&quot;$&quot;* \(#,##0.00\);_(&quot;$&quot;* &quot;-&quot;??_);_(@_)">
                  <c:v>-10640.000025578935</c:v>
                </c:pt>
                <c:pt idx="363" formatCode="_(&quot;$&quot;* #,##0.00_);_(&quot;$&quot;* \(#,##0.00\);_(&quot;$&quot;* &quot;-&quot;??_);_(@_)">
                  <c:v>-10438.85732233361</c:v>
                </c:pt>
                <c:pt idx="364" formatCode="_(&quot;$&quot;* #,##0.00_);_(&quot;$&quot;* \(#,##0.00\);_(&quot;$&quot;* &quot;-&quot;??_);_(@_)">
                  <c:v>-10687.309958980681</c:v>
                </c:pt>
                <c:pt idx="365" formatCode="_(&quot;$&quot;* #,##0.00_);_(&quot;$&quot;* \(#,##0.00\);_(&quot;$&quot;* &quot;-&quot;??_);_(@_)">
                  <c:v>-10944.31524599924</c:v>
                </c:pt>
                <c:pt idx="366" formatCode="_(&quot;$&quot;* #,##0.00_);_(&quot;$&quot;* \(#,##0.00\);_(&quot;$&quot;* &quot;-&quot;??_);_(@_)">
                  <c:v>-11143.784986103812</c:v>
                </c:pt>
                <c:pt idx="367" formatCode="_(&quot;$&quot;* #,##0.00_);_(&quot;$&quot;* \(#,##0.00\);_(&quot;$&quot;* &quot;-&quot;??_);_(@_)">
                  <c:v>-11259.592303213429</c:v>
                </c:pt>
                <c:pt idx="368" formatCode="_(&quot;$&quot;* #,##0.00_);_(&quot;$&quot;* \(#,##0.00\);_(&quot;$&quot;* &quot;-&quot;??_);_(@_)">
                  <c:v>-11178.583181331704</c:v>
                </c:pt>
                <c:pt idx="369" formatCode="_(&quot;$&quot;* #,##0.00_);_(&quot;$&quot;* \(#,##0.00\);_(&quot;$&quot;* &quot;-&quot;??_);_(@_)">
                  <c:v>-11103.633785850559</c:v>
                </c:pt>
                <c:pt idx="370" formatCode="_(&quot;$&quot;* #,##0.00_);_(&quot;$&quot;* \(#,##0.00\);_(&quot;$&quot;* &quot;-&quot;??_);_(@_)">
                  <c:v>-11189.185156828167</c:v>
                </c:pt>
                <c:pt idx="371" formatCode="_(&quot;$&quot;* #,##0.00_);_(&quot;$&quot;* \(#,##0.00\);_(&quot;$&quot;* &quot;-&quot;??_);_(@_)">
                  <c:v>-10974.96279791965</c:v>
                </c:pt>
                <c:pt idx="372" formatCode="_(&quot;$&quot;* #,##0.00_);_(&quot;$&quot;* \(#,##0.00\);_(&quot;$&quot;* &quot;-&quot;??_);_(@_)">
                  <c:v>-10824.707313843248</c:v>
                </c:pt>
                <c:pt idx="373" formatCode="_(&quot;$&quot;* #,##0.00_);_(&quot;$&quot;* \(#,##0.00\);_(&quot;$&quot;* &quot;-&quot;??_);_(@_)">
                  <c:v>-10929.294663702562</c:v>
                </c:pt>
                <c:pt idx="374" formatCode="_(&quot;$&quot;* #,##0.00_);_(&quot;$&quot;* \(#,##0.00\);_(&quot;$&quot;* &quot;-&quot;??_);_(@_)">
                  <c:v>-10874.221564993006</c:v>
                </c:pt>
                <c:pt idx="375" formatCode="_(&quot;$&quot;* #,##0.00_);_(&quot;$&quot;* \(#,##0.00\);_(&quot;$&quot;* &quot;-&quot;??_);_(@_)">
                  <c:v>-11025.940372806534</c:v>
                </c:pt>
                <c:pt idx="376" formatCode="_(&quot;$&quot;* #,##0.00_);_(&quot;$&quot;* \(#,##0.00\);_(&quot;$&quot;* &quot;-&quot;??_);_(@_)">
                  <c:v>-10527.245362287773</c:v>
                </c:pt>
                <c:pt idx="377" formatCode="_(&quot;$&quot;* #,##0.00_);_(&quot;$&quot;* \(#,##0.00\);_(&quot;$&quot;* &quot;-&quot;??_);_(@_)">
                  <c:v>-10365.932422879599</c:v>
                </c:pt>
                <c:pt idx="378" formatCode="_(&quot;$&quot;* #,##0.00_);_(&quot;$&quot;* \(#,##0.00\);_(&quot;$&quot;* &quot;-&quot;??_);_(@_)">
                  <c:v>-10641.729360298456</c:v>
                </c:pt>
                <c:pt idx="379" formatCode="_(&quot;$&quot;* #,##0.00_);_(&quot;$&quot;* \(#,##0.00\);_(&quot;$&quot;* &quot;-&quot;??_);_(@_)">
                  <c:v>-10582.88552252734</c:v>
                </c:pt>
                <c:pt idx="380" formatCode="_(&quot;$&quot;* #,##0.00_);_(&quot;$&quot;* \(#,##0.00\);_(&quot;$&quot;* &quot;-&quot;??_);_(@_)">
                  <c:v>-10570.547512095347</c:v>
                </c:pt>
                <c:pt idx="381" formatCode="_(&quot;$&quot;* #,##0.00_);_(&quot;$&quot;* \(#,##0.00\);_(&quot;$&quot;* &quot;-&quot;??_);_(@_)">
                  <c:v>-10893.016062890876</c:v>
                </c:pt>
                <c:pt idx="382" formatCode="_(&quot;$&quot;* #,##0.00_);_(&quot;$&quot;* \(#,##0.00\);_(&quot;$&quot;* &quot;-&quot;??_);_(@_)">
                  <c:v>-10971.0580818247</c:v>
                </c:pt>
                <c:pt idx="383" formatCode="_(&quot;$&quot;* #,##0.00_);_(&quot;$&quot;* \(#,##0.00\);_(&quot;$&quot;* &quot;-&quot;??_);_(@_)">
                  <c:v>-10735.067611917077</c:v>
                </c:pt>
                <c:pt idx="384" formatCode="_(&quot;$&quot;* #,##0.00_);_(&quot;$&quot;* \(#,##0.00\);_(&quot;$&quot;* &quot;-&quot;??_);_(@_)">
                  <c:v>-10658.479113552188</c:v>
                </c:pt>
                <c:pt idx="385" formatCode="_(&quot;$&quot;* #,##0.00_);_(&quot;$&quot;* \(#,##0.00\);_(&quot;$&quot;* &quot;-&quot;??_);_(@_)">
                  <c:v>-11133.295347116733</c:v>
                </c:pt>
                <c:pt idx="386" formatCode="_(&quot;$&quot;* #,##0.00_);_(&quot;$&quot;* \(#,##0.00\);_(&quot;$&quot;* &quot;-&quot;??_);_(@_)">
                  <c:v>-11684.593734250571</c:v>
                </c:pt>
                <c:pt idx="387" formatCode="_(&quot;$&quot;* #,##0.00_);_(&quot;$&quot;* \(#,##0.00\);_(&quot;$&quot;* &quot;-&quot;??_);_(@_)">
                  <c:v>-11571.700708060262</c:v>
                </c:pt>
                <c:pt idx="388" formatCode="_(&quot;$&quot;* #,##0.00_);_(&quot;$&quot;* \(#,##0.00\);_(&quot;$&quot;* &quot;-&quot;??_);_(@_)">
                  <c:v>-11573.050553969706</c:v>
                </c:pt>
                <c:pt idx="389" formatCode="_(&quot;$&quot;* #,##0.00_);_(&quot;$&quot;* \(#,##0.00\);_(&quot;$&quot;* &quot;-&quot;??_);_(@_)">
                  <c:v>-11811.751992378373</c:v>
                </c:pt>
                <c:pt idx="390" formatCode="_(&quot;$&quot;* #,##0.00_);_(&quot;$&quot;* \(#,##0.00\);_(&quot;$&quot;* &quot;-&quot;??_);_(@_)">
                  <c:v>-11585.645223780368</c:v>
                </c:pt>
                <c:pt idx="391" formatCode="_(&quot;$&quot;* #,##0.00_);_(&quot;$&quot;* \(#,##0.00\);_(&quot;$&quot;* &quot;-&quot;??_);_(@_)">
                  <c:v>-11305.305695317022</c:v>
                </c:pt>
                <c:pt idx="392" formatCode="_(&quot;$&quot;* #,##0.00_);_(&quot;$&quot;* \(#,##0.00\);_(&quot;$&quot;* &quot;-&quot;??_);_(@_)">
                  <c:v>-11218.217643495394</c:v>
                </c:pt>
                <c:pt idx="393" formatCode="_(&quot;$&quot;* #,##0.00_);_(&quot;$&quot;* \(#,##0.00\);_(&quot;$&quot;* &quot;-&quot;??_);_(@_)">
                  <c:v>-11193.654714361604</c:v>
                </c:pt>
                <c:pt idx="394" formatCode="_(&quot;$&quot;* #,##0.00_);_(&quot;$&quot;* \(#,##0.00\);_(&quot;$&quot;* &quot;-&quot;??_);_(@_)">
                  <c:v>-11255.375273009395</c:v>
                </c:pt>
                <c:pt idx="395" formatCode="_(&quot;$&quot;* #,##0.00_);_(&quot;$&quot;* \(#,##0.00\);_(&quot;$&quot;* &quot;-&quot;??_);_(@_)">
                  <c:v>-11413.80240208372</c:v>
                </c:pt>
                <c:pt idx="396" formatCode="_(&quot;$&quot;* #,##0.00_);_(&quot;$&quot;* \(#,##0.00\);_(&quot;$&quot;* &quot;-&quot;??_);_(@_)">
                  <c:v>-11293.849250195197</c:v>
                </c:pt>
                <c:pt idx="397" formatCode="_(&quot;$&quot;* #,##0.00_);_(&quot;$&quot;* \(#,##0.00\);_(&quot;$&quot;* &quot;-&quot;??_);_(@_)">
                  <c:v>-11580.30403126191</c:v>
                </c:pt>
                <c:pt idx="398" formatCode="_(&quot;$&quot;* #,##0.00_);_(&quot;$&quot;* \(#,##0.00\);_(&quot;$&quot;* &quot;-&quot;??_);_(@_)">
                  <c:v>-11397.765464868171</c:v>
                </c:pt>
                <c:pt idx="399" formatCode="_(&quot;$&quot;* #,##0.00_);_(&quot;$&quot;* \(#,##0.00\);_(&quot;$&quot;* &quot;-&quot;??_);_(@_)">
                  <c:v>-11640.791885145547</c:v>
                </c:pt>
                <c:pt idx="400" formatCode="_(&quot;$&quot;* #,##0.00_);_(&quot;$&quot;* \(#,##0.00\);_(&quot;$&quot;* &quot;-&quot;??_);_(@_)">
                  <c:v>-11561.546562091233</c:v>
                </c:pt>
                <c:pt idx="401" formatCode="_(&quot;$&quot;* #,##0.00_);_(&quot;$&quot;* \(#,##0.00\);_(&quot;$&quot;* &quot;-&quot;??_);_(@_)">
                  <c:v>-11350.922455282238</c:v>
                </c:pt>
                <c:pt idx="402" formatCode="_(&quot;$&quot;* #,##0.00_);_(&quot;$&quot;* \(#,##0.00\);_(&quot;$&quot;* &quot;-&quot;??_);_(@_)">
                  <c:v>-11439.292207811006</c:v>
                </c:pt>
                <c:pt idx="403" formatCode="_(&quot;$&quot;* #,##0.00_);_(&quot;$&quot;* \(#,##0.00\);_(&quot;$&quot;* &quot;-&quot;??_);_(@_)">
                  <c:v>-11825.653914647197</c:v>
                </c:pt>
                <c:pt idx="404" formatCode="_(&quot;$&quot;* #,##0.00_);_(&quot;$&quot;* \(#,##0.00\);_(&quot;$&quot;* &quot;-&quot;??_);_(@_)">
                  <c:v>-11739.651820272056</c:v>
                </c:pt>
                <c:pt idx="405" formatCode="_(&quot;$&quot;* #,##0.00_);_(&quot;$&quot;* \(#,##0.00\);_(&quot;$&quot;* &quot;-&quot;??_);_(@_)">
                  <c:v>-11871.334497723836</c:v>
                </c:pt>
                <c:pt idx="406" formatCode="_(&quot;$&quot;* #,##0.00_);_(&quot;$&quot;* \(#,##0.00\);_(&quot;$&quot;* &quot;-&quot;??_);_(@_)">
                  <c:v>-12201.011705151475</c:v>
                </c:pt>
                <c:pt idx="407" formatCode="_(&quot;$&quot;* #,##0.00_);_(&quot;$&quot;* \(#,##0.00\);_(&quot;$&quot;* &quot;-&quot;??_);_(@_)">
                  <c:v>-12105.374343418574</c:v>
                </c:pt>
                <c:pt idx="408" formatCode="_(&quot;$&quot;* #,##0.00_);_(&quot;$&quot;* \(#,##0.00\);_(&quot;$&quot;* &quot;-&quot;??_);_(@_)">
                  <c:v>-12412.822852848674</c:v>
                </c:pt>
                <c:pt idx="409" formatCode="_(&quot;$&quot;* #,##0.00_);_(&quot;$&quot;* \(#,##0.00\);_(&quot;$&quot;* &quot;-&quot;??_);_(@_)">
                  <c:v>-12512.671766412037</c:v>
                </c:pt>
                <c:pt idx="410" formatCode="_(&quot;$&quot;* #,##0.00_);_(&quot;$&quot;* \(#,##0.00\);_(&quot;$&quot;* &quot;-&quot;??_);_(@_)">
                  <c:v>-12604.715589557616</c:v>
                </c:pt>
                <c:pt idx="411" formatCode="_(&quot;$&quot;* #,##0.00_);_(&quot;$&quot;* \(#,##0.00\);_(&quot;$&quot;* &quot;-&quot;??_);_(@_)">
                  <c:v>-12959.978631138591</c:v>
                </c:pt>
                <c:pt idx="412" formatCode="_(&quot;$&quot;* #,##0.00_);_(&quot;$&quot;* \(#,##0.00\);_(&quot;$&quot;* &quot;-&quot;??_);_(@_)">
                  <c:v>-13302.114157723005</c:v>
                </c:pt>
                <c:pt idx="413" formatCode="_(&quot;$&quot;* #,##0.00_);_(&quot;$&quot;* \(#,##0.00\);_(&quot;$&quot;* &quot;-&quot;??_);_(@_)">
                  <c:v>-13221.411417890384</c:v>
                </c:pt>
                <c:pt idx="414" formatCode="_(&quot;$&quot;* #,##0.00_);_(&quot;$&quot;* \(#,##0.00\);_(&quot;$&quot;* &quot;-&quot;??_);_(@_)">
                  <c:v>-13168.108852908776</c:v>
                </c:pt>
                <c:pt idx="415" formatCode="_(&quot;$&quot;* #,##0.00_);_(&quot;$&quot;* \(#,##0.00\);_(&quot;$&quot;* &quot;-&quot;??_);_(@_)">
                  <c:v>-13068.105227089518</c:v>
                </c:pt>
                <c:pt idx="416" formatCode="_(&quot;$&quot;* #,##0.00_);_(&quot;$&quot;* \(#,##0.00\);_(&quot;$&quot;* &quot;-&quot;??_);_(@_)">
                  <c:v>-13119.196001895685</c:v>
                </c:pt>
                <c:pt idx="417" formatCode="_(&quot;$&quot;* #,##0.00_);_(&quot;$&quot;* \(#,##0.00\);_(&quot;$&quot;* &quot;-&quot;??_);_(@_)">
                  <c:v>-13234.503215015919</c:v>
                </c:pt>
                <c:pt idx="418" formatCode="_(&quot;$&quot;* #,##0.00_);_(&quot;$&quot;* \(#,##0.00\);_(&quot;$&quot;* &quot;-&quot;??_);_(@_)">
                  <c:v>-13159.031516902716</c:v>
                </c:pt>
                <c:pt idx="419" formatCode="_(&quot;$&quot;* #,##0.00_);_(&quot;$&quot;* \(#,##0.00\);_(&quot;$&quot;* &quot;-&quot;??_);_(@_)">
                  <c:v>-13077.97270934299</c:v>
                </c:pt>
                <c:pt idx="420" formatCode="_(&quot;$&quot;* #,##0.00_);_(&quot;$&quot;* \(#,##0.00\);_(&quot;$&quot;* &quot;-&quot;??_);_(@_)">
                  <c:v>-12980.078074888161</c:v>
                </c:pt>
                <c:pt idx="421" formatCode="_(&quot;$&quot;* #,##0.00_);_(&quot;$&quot;* \(#,##0.00\);_(&quot;$&quot;* &quot;-&quot;??_);_(@_)">
                  <c:v>-13063.911547639538</c:v>
                </c:pt>
                <c:pt idx="422" formatCode="_(&quot;$&quot;* #,##0.00_);_(&quot;$&quot;* \(#,##0.00\);_(&quot;$&quot;* &quot;-&quot;??_);_(@_)">
                  <c:v>-13044.092299185433</c:v>
                </c:pt>
                <c:pt idx="423" formatCode="_(&quot;$&quot;* #,##0.00_);_(&quot;$&quot;* \(#,##0.00\);_(&quot;$&quot;* &quot;-&quot;??_);_(@_)">
                  <c:v>-12927.530976241773</c:v>
                </c:pt>
                <c:pt idx="424" formatCode="_(&quot;$&quot;* #,##0.00_);_(&quot;$&quot;* \(#,##0.00\);_(&quot;$&quot;* &quot;-&quot;??_);_(@_)">
                  <c:v>-13050.969385949425</c:v>
                </c:pt>
                <c:pt idx="425" formatCode="_(&quot;$&quot;* #,##0.00_);_(&quot;$&quot;* \(#,##0.00\);_(&quot;$&quot;* &quot;-&quot;??_);_(@_)">
                  <c:v>-13159.734132120571</c:v>
                </c:pt>
                <c:pt idx="426" formatCode="_(&quot;$&quot;* #,##0.00_);_(&quot;$&quot;* \(#,##0.00\);_(&quot;$&quot;* &quot;-&quot;??_);_(@_)">
                  <c:v>-13194.021812047595</c:v>
                </c:pt>
                <c:pt idx="427" formatCode="_(&quot;$&quot;* #,##0.00_);_(&quot;$&quot;* \(#,##0.00\);_(&quot;$&quot;* &quot;-&quot;??_);_(@_)">
                  <c:v>-13424.322326193625</c:v>
                </c:pt>
                <c:pt idx="428" formatCode="_(&quot;$&quot;* #,##0.00_);_(&quot;$&quot;* \(#,##0.00\);_(&quot;$&quot;* &quot;-&quot;??_);_(@_)">
                  <c:v>-13528.183580313387</c:v>
                </c:pt>
                <c:pt idx="429" formatCode="_(&quot;$&quot;* #,##0.00_);_(&quot;$&quot;* \(#,##0.00\);_(&quot;$&quot;* &quot;-&quot;??_);_(@_)">
                  <c:v>-13278.670869792393</c:v>
                </c:pt>
                <c:pt idx="430" formatCode="_(&quot;$&quot;* #,##0.00_);_(&quot;$&quot;* \(#,##0.00\);_(&quot;$&quot;* &quot;-&quot;??_);_(@_)">
                  <c:v>-13430.715813105744</c:v>
                </c:pt>
                <c:pt idx="431" formatCode="_(&quot;$&quot;* #,##0.00_);_(&quot;$&quot;* \(#,##0.00\);_(&quot;$&quot;* &quot;-&quot;??_);_(@_)">
                  <c:v>-13527.482446002836</c:v>
                </c:pt>
                <c:pt idx="432" formatCode="_(&quot;$&quot;* #,##0.00_);_(&quot;$&quot;* \(#,##0.00\);_(&quot;$&quot;* &quot;-&quot;??_);_(@_)">
                  <c:v>-13689.321056480694</c:v>
                </c:pt>
                <c:pt idx="433" formatCode="_(&quot;$&quot;* #,##0.00_);_(&quot;$&quot;* \(#,##0.00\);_(&quot;$&quot;* &quot;-&quot;??_);_(@_)">
                  <c:v>-13925.440038129796</c:v>
                </c:pt>
                <c:pt idx="434" formatCode="_(&quot;$&quot;* #,##0.00_);_(&quot;$&quot;* \(#,##0.00\);_(&quot;$&quot;* &quot;-&quot;??_);_(@_)">
                  <c:v>-13853.116307409366</c:v>
                </c:pt>
                <c:pt idx="435" formatCode="_(&quot;$&quot;* #,##0.00_);_(&quot;$&quot;* \(#,##0.00\);_(&quot;$&quot;* &quot;-&quot;??_);_(@_)">
                  <c:v>-13844.775912329291</c:v>
                </c:pt>
                <c:pt idx="436" formatCode="_(&quot;$&quot;* #,##0.00_);_(&quot;$&quot;* \(#,##0.00\);_(&quot;$&quot;* &quot;-&quot;??_);_(@_)">
                  <c:v>-13788.230817616268</c:v>
                </c:pt>
                <c:pt idx="437" formatCode="_(&quot;$&quot;* #,##0.00_);_(&quot;$&quot;* \(#,##0.00\);_(&quot;$&quot;* &quot;-&quot;??_);_(@_)">
                  <c:v>-13676.199549058663</c:v>
                </c:pt>
                <c:pt idx="438" formatCode="_(&quot;$&quot;* #,##0.00_);_(&quot;$&quot;* \(#,##0.00\);_(&quot;$&quot;* &quot;-&quot;??_);_(@_)">
                  <c:v>-13881.065251681199</c:v>
                </c:pt>
                <c:pt idx="439" formatCode="_(&quot;$&quot;* #,##0.00_);_(&quot;$&quot;* \(#,##0.00\);_(&quot;$&quot;* &quot;-&quot;??_);_(@_)">
                  <c:v>-14146.618614406461</c:v>
                </c:pt>
                <c:pt idx="440" formatCode="_(&quot;$&quot;* #,##0.00_);_(&quot;$&quot;* \(#,##0.00\);_(&quot;$&quot;* &quot;-&quot;??_);_(@_)">
                  <c:v>-14183.811049023718</c:v>
                </c:pt>
                <c:pt idx="441" formatCode="_(&quot;$&quot;* #,##0.00_);_(&quot;$&quot;* \(#,##0.00\);_(&quot;$&quot;* &quot;-&quot;??_);_(@_)">
                  <c:v>-13995.24224774203</c:v>
                </c:pt>
                <c:pt idx="442" formatCode="_(&quot;$&quot;* #,##0.00_);_(&quot;$&quot;* \(#,##0.00\);_(&quot;$&quot;* &quot;-&quot;??_);_(@_)">
                  <c:v>-14063.53645584778</c:v>
                </c:pt>
                <c:pt idx="443" formatCode="_(&quot;$&quot;* #,##0.00_);_(&quot;$&quot;* \(#,##0.00\);_(&quot;$&quot;* &quot;-&quot;??_);_(@_)">
                  <c:v>-14158.540632446497</c:v>
                </c:pt>
                <c:pt idx="444" formatCode="_(&quot;$&quot;* #,##0.00_);_(&quot;$&quot;* \(#,##0.00\);_(&quot;$&quot;* &quot;-&quot;??_);_(@_)">
                  <c:v>-14161.931791017854</c:v>
                </c:pt>
                <c:pt idx="445" formatCode="_(&quot;$&quot;* #,##0.00_);_(&quot;$&quot;* \(#,##0.00\);_(&quot;$&quot;* &quot;-&quot;??_);_(@_)">
                  <c:v>-14046.520349959488</c:v>
                </c:pt>
                <c:pt idx="446" formatCode="_(&quot;$&quot;* #,##0.00_);_(&quot;$&quot;* \(#,##0.00\);_(&quot;$&quot;* &quot;-&quot;??_);_(@_)">
                  <c:v>-13837.818734521301</c:v>
                </c:pt>
                <c:pt idx="447" formatCode="_(&quot;$&quot;* #,##0.00_);_(&quot;$&quot;* \(#,##0.00\);_(&quot;$&quot;* &quot;-&quot;??_);_(@_)">
                  <c:v>-13870.867438447603</c:v>
                </c:pt>
                <c:pt idx="448" formatCode="_(&quot;$&quot;* #,##0.00_);_(&quot;$&quot;* \(#,##0.00\);_(&quot;$&quot;* &quot;-&quot;??_);_(@_)">
                  <c:v>-13878.734413302513</c:v>
                </c:pt>
                <c:pt idx="449" formatCode="_(&quot;$&quot;* #,##0.00_);_(&quot;$&quot;* \(#,##0.00\);_(&quot;$&quot;* &quot;-&quot;??_);_(@_)">
                  <c:v>-13805.699970857702</c:v>
                </c:pt>
                <c:pt idx="450" formatCode="_(&quot;$&quot;* #,##0.00_);_(&quot;$&quot;* \(#,##0.00\);_(&quot;$&quot;* &quot;-&quot;??_);_(@_)">
                  <c:v>-13899.82742555129</c:v>
                </c:pt>
                <c:pt idx="451" formatCode="_(&quot;$&quot;* #,##0.00_);_(&quot;$&quot;* \(#,##0.00\);_(&quot;$&quot;* &quot;-&quot;??_);_(@_)">
                  <c:v>-13958.38104183563</c:v>
                </c:pt>
                <c:pt idx="452" formatCode="_(&quot;$&quot;* #,##0.00_);_(&quot;$&quot;* \(#,##0.00\);_(&quot;$&quot;* &quot;-&quot;??_);_(@_)">
                  <c:v>-13951.281488474051</c:v>
                </c:pt>
                <c:pt idx="453" formatCode="_(&quot;$&quot;* #,##0.00_);_(&quot;$&quot;* \(#,##0.00\);_(&quot;$&quot;* &quot;-&quot;??_);_(@_)">
                  <c:v>-13918.572203235915</c:v>
                </c:pt>
                <c:pt idx="454" formatCode="_(&quot;$&quot;* #,##0.00_);_(&quot;$&quot;* \(#,##0.00\);_(&quot;$&quot;* &quot;-&quot;??_);_(@_)">
                  <c:v>-14239.619765315334</c:v>
                </c:pt>
                <c:pt idx="455" formatCode="_(&quot;$&quot;* #,##0.00_);_(&quot;$&quot;* \(#,##0.00\);_(&quot;$&quot;* &quot;-&quot;??_);_(@_)">
                  <c:v>-14313.222652447936</c:v>
                </c:pt>
                <c:pt idx="456" formatCode="_(&quot;$&quot;* #,##0.00_);_(&quot;$&quot;* \(#,##0.00\);_(&quot;$&quot;* &quot;-&quot;??_);_(@_)">
                  <c:v>-14556.128913422443</c:v>
                </c:pt>
                <c:pt idx="457" formatCode="_(&quot;$&quot;* #,##0.00_);_(&quot;$&quot;* \(#,##0.00\);_(&quot;$&quot;* &quot;-&quot;??_);_(@_)">
                  <c:v>-14375.849925045544</c:v>
                </c:pt>
                <c:pt idx="458" formatCode="_(&quot;$&quot;* #,##0.00_);_(&quot;$&quot;* \(#,##0.00\);_(&quot;$&quot;* &quot;-&quot;??_);_(@_)">
                  <c:v>-14375.544087081716</c:v>
                </c:pt>
                <c:pt idx="459" formatCode="_(&quot;$&quot;* #,##0.00_);_(&quot;$&quot;* \(#,##0.00\);_(&quot;$&quot;* &quot;-&quot;??_);_(@_)">
                  <c:v>-14337.010887275957</c:v>
                </c:pt>
                <c:pt idx="460" formatCode="_(&quot;$&quot;* #,##0.00_);_(&quot;$&quot;* \(#,##0.00\);_(&quot;$&quot;* &quot;-&quot;??_);_(@_)">
                  <c:v>-14226.232822294338</c:v>
                </c:pt>
                <c:pt idx="461" formatCode="_(&quot;$&quot;* #,##0.00_);_(&quot;$&quot;* \(#,##0.00\);_(&quot;$&quot;* &quot;-&quot;??_);_(@_)">
                  <c:v>-14540.339083424329</c:v>
                </c:pt>
                <c:pt idx="462" formatCode="_(&quot;$&quot;* #,##0.00_);_(&quot;$&quot;* \(#,##0.00\);_(&quot;$&quot;* &quot;-&quot;??_);_(@_)">
                  <c:v>-14514.174998035502</c:v>
                </c:pt>
                <c:pt idx="463" formatCode="_(&quot;$&quot;* #,##0.00_);_(&quot;$&quot;* \(#,##0.00\);_(&quot;$&quot;* &quot;-&quot;??_);_(@_)">
                  <c:v>-14462.751523204452</c:v>
                </c:pt>
                <c:pt idx="464" formatCode="_(&quot;$&quot;* #,##0.00_);_(&quot;$&quot;* \(#,##0.00\);_(&quot;$&quot;* &quot;-&quot;??_);_(@_)">
                  <c:v>-14390.911966208394</c:v>
                </c:pt>
                <c:pt idx="465" formatCode="_(&quot;$&quot;* #,##0.00_);_(&quot;$&quot;* \(#,##0.00\);_(&quot;$&quot;* &quot;-&quot;??_);_(@_)">
                  <c:v>-14265.319102795107</c:v>
                </c:pt>
                <c:pt idx="466" formatCode="_(&quot;$&quot;* #,##0.00_);_(&quot;$&quot;* \(#,##0.00\);_(&quot;$&quot;* &quot;-&quot;??_);_(@_)">
                  <c:v>-14431.084914376643</c:v>
                </c:pt>
                <c:pt idx="467" formatCode="_(&quot;$&quot;* #,##0.00_);_(&quot;$&quot;* \(#,##0.00\);_(&quot;$&quot;* &quot;-&quot;??_);_(@_)">
                  <c:v>-14456.429620698593</c:v>
                </c:pt>
                <c:pt idx="468" formatCode="_(&quot;$&quot;* #,##0.00_);_(&quot;$&quot;* \(#,##0.00\);_(&quot;$&quot;* &quot;-&quot;??_);_(@_)">
                  <c:v>-14730.162899168816</c:v>
                </c:pt>
                <c:pt idx="469" formatCode="_(&quot;$&quot;* #,##0.00_);_(&quot;$&quot;* \(#,##0.00\);_(&quot;$&quot;* &quot;-&quot;??_);_(@_)">
                  <c:v>-14941.815430498054</c:v>
                </c:pt>
                <c:pt idx="470" formatCode="_(&quot;$&quot;* #,##0.00_);_(&quot;$&quot;* \(#,##0.00\);_(&quot;$&quot;* &quot;-&quot;??_);_(@_)">
                  <c:v>-15168.938950622995</c:v>
                </c:pt>
                <c:pt idx="471" formatCode="_(&quot;$&quot;* #,##0.00_);_(&quot;$&quot;* \(#,##0.00\);_(&quot;$&quot;* &quot;-&quot;??_);_(@_)">
                  <c:v>-15205.441254489913</c:v>
                </c:pt>
                <c:pt idx="472" formatCode="_(&quot;$&quot;* #,##0.00_);_(&quot;$&quot;* \(#,##0.00\);_(&quot;$&quot;* &quot;-&quot;??_);_(@_)">
                  <c:v>-15071.840720087765</c:v>
                </c:pt>
                <c:pt idx="473" formatCode="_(&quot;$&quot;* #,##0.00_);_(&quot;$&quot;* \(#,##0.00\);_(&quot;$&quot;* &quot;-&quot;??_);_(@_)">
                  <c:v>-15094.14177246353</c:v>
                </c:pt>
                <c:pt idx="474" formatCode="_(&quot;$&quot;* #,##0.00_);_(&quot;$&quot;* \(#,##0.00\);_(&quot;$&quot;* &quot;-&quot;??_);_(@_)">
                  <c:v>-15155.031721960237</c:v>
                </c:pt>
                <c:pt idx="475" formatCode="_(&quot;$&quot;* #,##0.00_);_(&quot;$&quot;* \(#,##0.00\);_(&quot;$&quot;* &quot;-&quot;??_);_(@_)">
                  <c:v>-15080.077164456645</c:v>
                </c:pt>
                <c:pt idx="476" formatCode="_(&quot;$&quot;* #,##0.00_);_(&quot;$&quot;* \(#,##0.00\);_(&quot;$&quot;* &quot;-&quot;??_);_(@_)">
                  <c:v>-14879.382060895567</c:v>
                </c:pt>
                <c:pt idx="477" formatCode="_(&quot;$&quot;* #,##0.00_);_(&quot;$&quot;* \(#,##0.00\);_(&quot;$&quot;* &quot;-&quot;??_);_(@_)">
                  <c:v>-15019.055650988907</c:v>
                </c:pt>
                <c:pt idx="478" formatCode="_(&quot;$&quot;* #,##0.00_);_(&quot;$&quot;* \(#,##0.00\);_(&quot;$&quot;* &quot;-&quot;??_);_(@_)">
                  <c:v>-14892.1859479422</c:v>
                </c:pt>
                <c:pt idx="479" formatCode="_(&quot;$&quot;* #,##0.00_);_(&quot;$&quot;* \(#,##0.00\);_(&quot;$&quot;* &quot;-&quot;??_);_(@_)">
                  <c:v>-15279.731402642356</c:v>
                </c:pt>
                <c:pt idx="480" formatCode="_(&quot;$&quot;* #,##0.00_);_(&quot;$&quot;* \(#,##0.00\);_(&quot;$&quot;* &quot;-&quot;??_);_(@_)">
                  <c:v>-15634.820917730865</c:v>
                </c:pt>
                <c:pt idx="481" formatCode="_(&quot;$&quot;* #,##0.00_);_(&quot;$&quot;* \(#,##0.00\);_(&quot;$&quot;* &quot;-&quot;??_);_(@_)">
                  <c:v>-15654.075762043787</c:v>
                </c:pt>
                <c:pt idx="482" formatCode="_(&quot;$&quot;* #,##0.00_);_(&quot;$&quot;* \(#,##0.00\);_(&quot;$&quot;* &quot;-&quot;??_);_(@_)">
                  <c:v>-15668.279782949619</c:v>
                </c:pt>
                <c:pt idx="483" formatCode="_(&quot;$&quot;* #,##0.00_);_(&quot;$&quot;* \(#,##0.00\);_(&quot;$&quot;* &quot;-&quot;??_);_(@_)">
                  <c:v>-15687.112761860813</c:v>
                </c:pt>
                <c:pt idx="484" formatCode="_(&quot;$&quot;* #,##0.00_);_(&quot;$&quot;* \(#,##0.00\);_(&quot;$&quot;* &quot;-&quot;??_);_(@_)">
                  <c:v>-15731.59089985133</c:v>
                </c:pt>
                <c:pt idx="485" formatCode="_(&quot;$&quot;* #,##0.00_);_(&quot;$&quot;* \(#,##0.00\);_(&quot;$&quot;* &quot;-&quot;??_);_(@_)">
                  <c:v>-15625.569284517931</c:v>
                </c:pt>
                <c:pt idx="486" formatCode="_(&quot;$&quot;* #,##0.00_);_(&quot;$&quot;* \(#,##0.00\);_(&quot;$&quot;* &quot;-&quot;??_);_(@_)">
                  <c:v>-15819.517926677172</c:v>
                </c:pt>
                <c:pt idx="487" formatCode="_(&quot;$&quot;* #,##0.00_);_(&quot;$&quot;* \(#,##0.00\);_(&quot;$&quot;* &quot;-&quot;??_);_(@_)">
                  <c:v>-15909.668177094532</c:v>
                </c:pt>
                <c:pt idx="488" formatCode="_(&quot;$&quot;* #,##0.00_);_(&quot;$&quot;* \(#,##0.00\);_(&quot;$&quot;* &quot;-&quot;??_);_(@_)">
                  <c:v>-15825.762925948191</c:v>
                </c:pt>
                <c:pt idx="489" formatCode="_(&quot;$&quot;* #,##0.00_);_(&quot;$&quot;* \(#,##0.00\);_(&quot;$&quot;* &quot;-&quot;??_);_(@_)">
                  <c:v>-16015.246721652995</c:v>
                </c:pt>
                <c:pt idx="490" formatCode="_(&quot;$&quot;* #,##0.00_);_(&quot;$&quot;* \(#,##0.00\);_(&quot;$&quot;* &quot;-&quot;??_);_(@_)">
                  <c:v>-15988.547112930477</c:v>
                </c:pt>
                <c:pt idx="491" formatCode="_(&quot;$&quot;* #,##0.00_);_(&quot;$&quot;* \(#,##0.00\);_(&quot;$&quot;* &quot;-&quot;??_);_(@_)">
                  <c:v>-15962.747319328832</c:v>
                </c:pt>
                <c:pt idx="492" formatCode="_(&quot;$&quot;* #,##0.00_);_(&quot;$&quot;* \(#,##0.00\);_(&quot;$&quot;* &quot;-&quot;??_);_(@_)">
                  <c:v>-15999.177505375535</c:v>
                </c:pt>
                <c:pt idx="493" formatCode="_(&quot;$&quot;* #,##0.00_);_(&quot;$&quot;* \(#,##0.00\);_(&quot;$&quot;* &quot;-&quot;??_);_(@_)">
                  <c:v>-16071.970456497924</c:v>
                </c:pt>
                <c:pt idx="494" formatCode="_(&quot;$&quot;* #,##0.00_);_(&quot;$&quot;* \(#,##0.00\);_(&quot;$&quot;* &quot;-&quot;??_);_(@_)">
                  <c:v>-16020.063336019499</c:v>
                </c:pt>
                <c:pt idx="495" formatCode="_(&quot;$&quot;* #,##0.00_);_(&quot;$&quot;* \(#,##0.00\);_(&quot;$&quot;* &quot;-&quot;??_);_(@_)">
                  <c:v>-16024.032673884993</c:v>
                </c:pt>
                <c:pt idx="496" formatCode="_(&quot;$&quot;* #,##0.00_);_(&quot;$&quot;* \(#,##0.00\);_(&quot;$&quot;* &quot;-&quot;??_);_(@_)">
                  <c:v>-16397.173702454642</c:v>
                </c:pt>
                <c:pt idx="497" formatCode="_(&quot;$&quot;* #,##0.00_);_(&quot;$&quot;* \(#,##0.00\);_(&quot;$&quot;* &quot;-&quot;??_);_(@_)">
                  <c:v>-16565.243725200809</c:v>
                </c:pt>
                <c:pt idx="498" formatCode="_(&quot;$&quot;* #,##0.00_);_(&quot;$&quot;* \(#,##0.00\);_(&quot;$&quot;* &quot;-&quot;??_);_(@_)">
                  <c:v>-16712.668479960645</c:v>
                </c:pt>
                <c:pt idx="499" formatCode="_(&quot;$&quot;* #,##0.00_);_(&quot;$&quot;* \(#,##0.00\);_(&quot;$&quot;* &quot;-&quot;??_);_(@_)">
                  <c:v>-17035.79830047267</c:v>
                </c:pt>
                <c:pt idx="500" formatCode="_(&quot;$&quot;* #,##0.00_);_(&quot;$&quot;* \(#,##0.00\);_(&quot;$&quot;* &quot;-&quot;??_);_(@_)">
                  <c:v>-17211.21196560148</c:v>
                </c:pt>
                <c:pt idx="501" formatCode="_(&quot;$&quot;* #,##0.00_);_(&quot;$&quot;* \(#,##0.00\);_(&quot;$&quot;* &quot;-&quot;??_);_(@_)">
                  <c:v>-17472.050990411426</c:v>
                </c:pt>
                <c:pt idx="502" formatCode="_(&quot;$&quot;* #,##0.00_);_(&quot;$&quot;* \(#,##0.00\);_(&quot;$&quot;* &quot;-&quot;??_);_(@_)">
                  <c:v>-17877.311081434469</c:v>
                </c:pt>
                <c:pt idx="503" formatCode="_(&quot;$&quot;* #,##0.00_);_(&quot;$&quot;* \(#,##0.00\);_(&quot;$&quot;* &quot;-&quot;??_);_(@_)">
                  <c:v>-17988.107042563915</c:v>
                </c:pt>
                <c:pt idx="504" formatCode="_(&quot;$&quot;* #,##0.00_);_(&quot;$&quot;* \(#,##0.00\);_(&quot;$&quot;* &quot;-&quot;??_);_(@_)">
                  <c:v>-17933.179239138364</c:v>
                </c:pt>
                <c:pt idx="505" formatCode="_(&quot;$&quot;* #,##0.00_);_(&quot;$&quot;* \(#,##0.00\);_(&quot;$&quot;* &quot;-&quot;??_);_(@_)">
                  <c:v>-18207.778683309185</c:v>
                </c:pt>
                <c:pt idx="506" formatCode="_(&quot;$&quot;* #,##0.00_);_(&quot;$&quot;* \(#,##0.00\);_(&quot;$&quot;* &quot;-&quot;??_);_(@_)">
                  <c:v>-18203.340841927893</c:v>
                </c:pt>
                <c:pt idx="507" formatCode="_(&quot;$&quot;* #,##0.00_);_(&quot;$&quot;* \(#,##0.00\);_(&quot;$&quot;* &quot;-&quot;??_);_(@_)">
                  <c:v>-18359.434702055612</c:v>
                </c:pt>
                <c:pt idx="508" formatCode="_(&quot;$&quot;* #,##0.00_);_(&quot;$&quot;* \(#,##0.00\);_(&quot;$&quot;* &quot;-&quot;??_);_(@_)">
                  <c:v>-18546.630779900577</c:v>
                </c:pt>
                <c:pt idx="509" formatCode="_(&quot;$&quot;* #,##0.00_);_(&quot;$&quot;* \(#,##0.00\);_(&quot;$&quot;* &quot;-&quot;??_);_(@_)">
                  <c:v>-18651.340388166791</c:v>
                </c:pt>
                <c:pt idx="510" formatCode="_(&quot;$&quot;* #,##0.00_);_(&quot;$&quot;* \(#,##0.00\);_(&quot;$&quot;* &quot;-&quot;??_);_(@_)">
                  <c:v>-18532.174167636655</c:v>
                </c:pt>
                <c:pt idx="511" formatCode="_(&quot;$&quot;* #,##0.00_);_(&quot;$&quot;* \(#,##0.00\);_(&quot;$&quot;* &quot;-&quot;??_);_(@_)">
                  <c:v>-18643.207497297324</c:v>
                </c:pt>
                <c:pt idx="512" formatCode="_(&quot;$&quot;* #,##0.00_);_(&quot;$&quot;* \(#,##0.00\);_(&quot;$&quot;* &quot;-&quot;??_);_(@_)">
                  <c:v>-19400.607955588715</c:v>
                </c:pt>
                <c:pt idx="513" formatCode="_(&quot;$&quot;* #,##0.00_);_(&quot;$&quot;* \(#,##0.00\);_(&quot;$&quot;* &quot;-&quot;??_);_(@_)">
                  <c:v>-19829.953064268211</c:v>
                </c:pt>
                <c:pt idx="514" formatCode="_(&quot;$&quot;* #,##0.00_);_(&quot;$&quot;* \(#,##0.00\);_(&quot;$&quot;* &quot;-&quot;??_);_(@_)">
                  <c:v>-20123.845499078245</c:v>
                </c:pt>
                <c:pt idx="515" formatCode="_(&quot;$&quot;* #,##0.00_);_(&quot;$&quot;* \(#,##0.00\);_(&quot;$&quot;* &quot;-&quot;??_);_(@_)">
                  <c:v>-20153.294316041494</c:v>
                </c:pt>
                <c:pt idx="516" formatCode="_(&quot;$&quot;* #,##0.00_);_(&quot;$&quot;* \(#,##0.00\);_(&quot;$&quot;* &quot;-&quot;??_);_(@_)">
                  <c:v>-20053.681716574651</c:v>
                </c:pt>
                <c:pt idx="517" formatCode="_(&quot;$&quot;* #,##0.00_);_(&quot;$&quot;* \(#,##0.00\);_(&quot;$&quot;* &quot;-&quot;??_);_(@_)">
                  <c:v>-19864.180201914922</c:v>
                </c:pt>
                <c:pt idx="518" formatCode="_(&quot;$&quot;* #,##0.00_);_(&quot;$&quot;* \(#,##0.00\);_(&quot;$&quot;* &quot;-&quot;??_);_(@_)">
                  <c:v>-19999.540893622579</c:v>
                </c:pt>
                <c:pt idx="519" formatCode="_(&quot;$&quot;* #,##0.00_);_(&quot;$&quot;* \(#,##0.00\);_(&quot;$&quot;* &quot;-&quot;??_);_(@_)">
                  <c:v>-19876.440432667812</c:v>
                </c:pt>
                <c:pt idx="520" formatCode="_(&quot;$&quot;* #,##0.00_);_(&quot;$&quot;* \(#,##0.00\);_(&quot;$&quot;* &quot;-&quot;??_);_(@_)">
                  <c:v>-20122.856129671745</c:v>
                </c:pt>
                <c:pt idx="521" formatCode="_(&quot;$&quot;* #,##0.00_);_(&quot;$&quot;* \(#,##0.00\);_(&quot;$&quot;* &quot;-&quot;??_);_(@_)">
                  <c:v>-19931.303325868939</c:v>
                </c:pt>
                <c:pt idx="522" formatCode="_(&quot;$&quot;* #,##0.00_);_(&quot;$&quot;* \(#,##0.00\);_(&quot;$&quot;* &quot;-&quot;??_);_(@_)">
                  <c:v>-20134.956177383257</c:v>
                </c:pt>
                <c:pt idx="523" formatCode="_(&quot;$&quot;* #,##0.00_);_(&quot;$&quot;* \(#,##0.00\);_(&quot;$&quot;* &quot;-&quot;??_);_(@_)">
                  <c:v>-20095.534213761381</c:v>
                </c:pt>
                <c:pt idx="524" formatCode="_(&quot;$&quot;* #,##0.00_);_(&quot;$&quot;* \(#,##0.00\);_(&quot;$&quot;* &quot;-&quot;??_);_(@_)">
                  <c:v>-20120.882012946357</c:v>
                </c:pt>
                <c:pt idx="525" formatCode="_(&quot;$&quot;* #,##0.00_);_(&quot;$&quot;* \(#,##0.00\);_(&quot;$&quot;* &quot;-&quot;??_);_(@_)">
                  <c:v>-20146.132004212264</c:v>
                </c:pt>
                <c:pt idx="526" formatCode="_(&quot;$&quot;* #,##0.00_);_(&quot;$&quot;* \(#,##0.00\);_(&quot;$&quot;* &quot;-&quot;??_);_(@_)">
                  <c:v>-20054.707804532649</c:v>
                </c:pt>
                <c:pt idx="527" formatCode="_(&quot;$&quot;* #,##0.00_);_(&quot;$&quot;* \(#,##0.00\);_(&quot;$&quot;* &quot;-&quot;??_);_(@_)">
                  <c:v>-20213.682626396483</c:v>
                </c:pt>
                <c:pt idx="528" formatCode="_(&quot;$&quot;* #,##0.00_);_(&quot;$&quot;* \(#,##0.00\);_(&quot;$&quot;* &quot;-&quot;??_);_(@_)">
                  <c:v>-20116.4745295139</c:v>
                </c:pt>
                <c:pt idx="529" formatCode="_(&quot;$&quot;* #,##0.00_);_(&quot;$&quot;* \(#,##0.00\);_(&quot;$&quot;* &quot;-&quot;??_);_(@_)">
                  <c:v>-20295.672346111402</c:v>
                </c:pt>
                <c:pt idx="530" formatCode="_(&quot;$&quot;* #,##0.00_);_(&quot;$&quot;* \(#,##0.00\);_(&quot;$&quot;* &quot;-&quot;??_);_(@_)">
                  <c:v>-20068.77085704029</c:v>
                </c:pt>
                <c:pt idx="531" formatCode="_(&quot;$&quot;* #,##0.00_);_(&quot;$&quot;* \(#,##0.00\);_(&quot;$&quot;* &quot;-&quot;??_);_(@_)">
                  <c:v>-20449.576158724023</c:v>
                </c:pt>
                <c:pt idx="532" formatCode="_(&quot;$&quot;* #,##0.00_);_(&quot;$&quot;* \(#,##0.00\);_(&quot;$&quot;* &quot;-&quot;??_);_(@_)">
                  <c:v>-20644.024985542143</c:v>
                </c:pt>
                <c:pt idx="533" formatCode="_(&quot;$&quot;* #,##0.00_);_(&quot;$&quot;* \(#,##0.00\);_(&quot;$&quot;* &quot;-&quot;??_);_(@_)">
                  <c:v>-20765.612861400332</c:v>
                </c:pt>
                <c:pt idx="534" formatCode="_(&quot;$&quot;* #,##0.00_);_(&quot;$&quot;* \(#,##0.00\);_(&quot;$&quot;* &quot;-&quot;??_);_(@_)">
                  <c:v>-20925.942939080036</c:v>
                </c:pt>
                <c:pt idx="535" formatCode="_(&quot;$&quot;* #,##0.00_);_(&quot;$&quot;* \(#,##0.00\);_(&quot;$&quot;* &quot;-&quot;??_);_(@_)">
                  <c:v>-21025.486008959935</c:v>
                </c:pt>
                <c:pt idx="536" formatCode="_(&quot;$&quot;* #,##0.00_);_(&quot;$&quot;* \(#,##0.00\);_(&quot;$&quot;* &quot;-&quot;??_);_(@_)">
                  <c:v>-20950.770711552868</c:v>
                </c:pt>
                <c:pt idx="537" formatCode="_(&quot;$&quot;* #,##0.00_);_(&quot;$&quot;* \(#,##0.00\);_(&quot;$&quot;* &quot;-&quot;??_);_(@_)">
                  <c:v>-20958.19864970904</c:v>
                </c:pt>
                <c:pt idx="538" formatCode="_(&quot;$&quot;* #,##0.00_);_(&quot;$&quot;* \(#,##0.00\);_(&quot;$&quot;* &quot;-&quot;??_);_(@_)">
                  <c:v>-20707.220029109547</c:v>
                </c:pt>
                <c:pt idx="539" formatCode="_(&quot;$&quot;* #,##0.00_);_(&quot;$&quot;* \(#,##0.00\);_(&quot;$&quot;* &quot;-&quot;??_);_(@_)">
                  <c:v>-20628.524694559157</c:v>
                </c:pt>
                <c:pt idx="540" formatCode="_(&quot;$&quot;* #,##0.00_);_(&quot;$&quot;* \(#,##0.00\);_(&quot;$&quot;* &quot;-&quot;??_);_(@_)">
                  <c:v>-20471.036914723634</c:v>
                </c:pt>
                <c:pt idx="541" formatCode="_(&quot;$&quot;* #,##0.00_);_(&quot;$&quot;* \(#,##0.00\);_(&quot;$&quot;* &quot;-&quot;??_);_(@_)">
                  <c:v>-20476.370543544439</c:v>
                </c:pt>
                <c:pt idx="542" formatCode="_(&quot;$&quot;* #,##0.00_);_(&quot;$&quot;* \(#,##0.00\);_(&quot;$&quot;* &quot;-&quot;??_);_(@_)">
                  <c:v>-20479.005552503673</c:v>
                </c:pt>
                <c:pt idx="543" formatCode="_(&quot;$&quot;* #,##0.00_);_(&quot;$&quot;* \(#,##0.00\);_(&quot;$&quot;* &quot;-&quot;??_);_(@_)">
                  <c:v>-20864.664949732789</c:v>
                </c:pt>
                <c:pt idx="544" formatCode="_(&quot;$&quot;* #,##0.00_);_(&quot;$&quot;* \(#,##0.00\);_(&quot;$&quot;* &quot;-&quot;??_);_(@_)">
                  <c:v>-20875.433132655835</c:v>
                </c:pt>
                <c:pt idx="545" formatCode="_(&quot;$&quot;* #,##0.00_);_(&quot;$&quot;* \(#,##0.00\);_(&quot;$&quot;* &quot;-&quot;??_);_(@_)">
                  <c:v>-20640.287917563939</c:v>
                </c:pt>
                <c:pt idx="546" formatCode="_(&quot;$&quot;* #,##0.00_);_(&quot;$&quot;* \(#,##0.00\);_(&quot;$&quot;* &quot;-&quot;??_);_(@_)">
                  <c:v>-20942.377399470108</c:v>
                </c:pt>
                <c:pt idx="547" formatCode="_(&quot;$&quot;* #,##0.00_);_(&quot;$&quot;* \(#,##0.00\);_(&quot;$&quot;* &quot;-&quot;??_);_(@_)">
                  <c:v>-21025.195005169633</c:v>
                </c:pt>
                <c:pt idx="548" formatCode="_(&quot;$&quot;* #,##0.00_);_(&quot;$&quot;* \(#,##0.00\);_(&quot;$&quot;* &quot;-&quot;??_);_(@_)">
                  <c:v>-21146.747081374757</c:v>
                </c:pt>
                <c:pt idx="549" formatCode="_(&quot;$&quot;* #,##0.00_);_(&quot;$&quot;* \(#,##0.00\);_(&quot;$&quot;* &quot;-&quot;??_);_(@_)">
                  <c:v>-21294.7848289965</c:v>
                </c:pt>
                <c:pt idx="550" formatCode="_(&quot;$&quot;* #,##0.00_);_(&quot;$&quot;* \(#,##0.00\);_(&quot;$&quot;* &quot;-&quot;??_);_(@_)">
                  <c:v>-21301.954767199615</c:v>
                </c:pt>
                <c:pt idx="551" formatCode="_(&quot;$&quot;* #,##0.00_);_(&quot;$&quot;* \(#,##0.00\);_(&quot;$&quot;* &quot;-&quot;??_);_(@_)">
                  <c:v>-21476.785886520258</c:v>
                </c:pt>
                <c:pt idx="552" formatCode="_(&quot;$&quot;* #,##0.00_);_(&quot;$&quot;* \(#,##0.00\);_(&quot;$&quot;* &quot;-&quot;??_);_(@_)">
                  <c:v>-21488.283222505361</c:v>
                </c:pt>
                <c:pt idx="553" formatCode="_(&quot;$&quot;* #,##0.00_);_(&quot;$&quot;* \(#,##0.00\);_(&quot;$&quot;* &quot;-&quot;??_);_(@_)">
                  <c:v>-21326.805217678393</c:v>
                </c:pt>
                <c:pt idx="554" formatCode="_(&quot;$&quot;* #,##0.00_);_(&quot;$&quot;* \(#,##0.00\);_(&quot;$&quot;* &quot;-&quot;??_);_(@_)">
                  <c:v>-21393.08790914444</c:v>
                </c:pt>
                <c:pt idx="555" formatCode="_(&quot;$&quot;* #,##0.00_);_(&quot;$&quot;* \(#,##0.00\);_(&quot;$&quot;* &quot;-&quot;??_);_(@_)">
                  <c:v>-21318.496602498322</c:v>
                </c:pt>
                <c:pt idx="556" formatCode="_(&quot;$&quot;* #,##0.00_);_(&quot;$&quot;* \(#,##0.00\);_(&quot;$&quot;* &quot;-&quot;??_);_(@_)">
                  <c:v>-21497.859501731975</c:v>
                </c:pt>
                <c:pt idx="557" formatCode="_(&quot;$&quot;* #,##0.00_);_(&quot;$&quot;* \(#,##0.00\);_(&quot;$&quot;* &quot;-&quot;??_);_(@_)">
                  <c:v>-21221.362530708629</c:v>
                </c:pt>
                <c:pt idx="558" formatCode="_(&quot;$&quot;* #,##0.00_);_(&quot;$&quot;* \(#,##0.00\);_(&quot;$&quot;* &quot;-&quot;??_);_(@_)">
                  <c:v>-21458.585155394794</c:v>
                </c:pt>
                <c:pt idx="559" formatCode="_(&quot;$&quot;* #,##0.00_);_(&quot;$&quot;* \(#,##0.00\);_(&quot;$&quot;* &quot;-&quot;??_);_(@_)">
                  <c:v>-21390.312554458513</c:v>
                </c:pt>
                <c:pt idx="560" formatCode="_(&quot;$&quot;* #,##0.00_);_(&quot;$&quot;* \(#,##0.00\);_(&quot;$&quot;* &quot;-&quot;??_);_(@_)">
                  <c:v>-21445.878459182841</c:v>
                </c:pt>
                <c:pt idx="561" formatCode="_(&quot;$&quot;* #,##0.00_);_(&quot;$&quot;* \(#,##0.00\);_(&quot;$&quot;* &quot;-&quot;??_);_(@_)">
                  <c:v>-21498.207419419585</c:v>
                </c:pt>
                <c:pt idx="562" formatCode="_(&quot;$&quot;* #,##0.00_);_(&quot;$&quot;* \(#,##0.00\);_(&quot;$&quot;* &quot;-&quot;??_);_(@_)">
                  <c:v>-21721.70356746074</c:v>
                </c:pt>
                <c:pt idx="563" formatCode="_(&quot;$&quot;* #,##0.00_);_(&quot;$&quot;* \(#,##0.00\);_(&quot;$&quot;* &quot;-&quot;??_);_(@_)">
                  <c:v>-21738.242880186728</c:v>
                </c:pt>
                <c:pt idx="564" formatCode="_(&quot;$&quot;* #,##0.00_);_(&quot;$&quot;* \(#,##0.00\);_(&quot;$&quot;* &quot;-&quot;??_);_(@_)">
                  <c:v>-21649.067298902344</c:v>
                </c:pt>
                <c:pt idx="565" formatCode="_(&quot;$&quot;* #,##0.00_);_(&quot;$&quot;* \(#,##0.00\);_(&quot;$&quot;* &quot;-&quot;??_);_(@_)">
                  <c:v>-21580.92852215896</c:v>
                </c:pt>
                <c:pt idx="566" formatCode="_(&quot;$&quot;* #,##0.00_);_(&quot;$&quot;* \(#,##0.00\);_(&quot;$&quot;* &quot;-&quot;??_);_(@_)">
                  <c:v>-22056.524705175911</c:v>
                </c:pt>
                <c:pt idx="567" formatCode="_(&quot;$&quot;* #,##0.00_);_(&quot;$&quot;* \(#,##0.00\);_(&quot;$&quot;* &quot;-&quot;??_);_(@_)">
                  <c:v>-22353.483983325856</c:v>
                </c:pt>
                <c:pt idx="568" formatCode="_(&quot;$&quot;* #,##0.00_);_(&quot;$&quot;* \(#,##0.00\);_(&quot;$&quot;* &quot;-&quot;??_);_(@_)">
                  <c:v>-22337.502975216994</c:v>
                </c:pt>
                <c:pt idx="569" formatCode="_(&quot;$&quot;* #,##0.00_);_(&quot;$&quot;* \(#,##0.00\);_(&quot;$&quot;* &quot;-&quot;??_);_(@_)">
                  <c:v>-22347.535317770897</c:v>
                </c:pt>
                <c:pt idx="570" formatCode="_(&quot;$&quot;* #,##0.00_);_(&quot;$&quot;* \(#,##0.00\);_(&quot;$&quot;* &quot;-&quot;??_);_(@_)">
                  <c:v>-22299.394164617432</c:v>
                </c:pt>
                <c:pt idx="571" formatCode="_(&quot;$&quot;* #,##0.00_);_(&quot;$&quot;* \(#,##0.00\);_(&quot;$&quot;* &quot;-&quot;??_);_(@_)">
                  <c:v>-22182.150745572795</c:v>
                </c:pt>
                <c:pt idx="572" formatCode="_(&quot;$&quot;* #,##0.00_);_(&quot;$&quot;* \(#,##0.00\);_(&quot;$&quot;* &quot;-&quot;??_);_(@_)">
                  <c:v>-22331.803732280947</c:v>
                </c:pt>
                <c:pt idx="573" formatCode="_(&quot;$&quot;* #,##0.00_);_(&quot;$&quot;* \(#,##0.00\);_(&quot;$&quot;* &quot;-&quot;??_);_(@_)">
                  <c:v>-22282.407607389549</c:v>
                </c:pt>
                <c:pt idx="574" formatCode="_(&quot;$&quot;* #,##0.00_);_(&quot;$&quot;* \(#,##0.00\);_(&quot;$&quot;* &quot;-&quot;??_);_(@_)">
                  <c:v>-22206.681299904772</c:v>
                </c:pt>
                <c:pt idx="575" formatCode="_(&quot;$&quot;* #,##0.00_);_(&quot;$&quot;* \(#,##0.00\);_(&quot;$&quot;* &quot;-&quot;??_);_(@_)">
                  <c:v>-22161.386630001867</c:v>
                </c:pt>
                <c:pt idx="576" formatCode="_(&quot;$&quot;* #,##0.00_);_(&quot;$&quot;* \(#,##0.00\);_(&quot;$&quot;* &quot;-&quot;??_);_(@_)">
                  <c:v>-22181.747884183016</c:v>
                </c:pt>
                <c:pt idx="577" formatCode="_(&quot;$&quot;* #,##0.00_);_(&quot;$&quot;* \(#,##0.00\);_(&quot;$&quot;* &quot;-&quot;??_);_(@_)">
                  <c:v>-22164.679131931232</c:v>
                </c:pt>
                <c:pt idx="578" formatCode="_(&quot;$&quot;* #,##0.00_);_(&quot;$&quot;* \(#,##0.00\);_(&quot;$&quot;* &quot;-&quot;??_);_(@_)">
                  <c:v>-22106.922808767886</c:v>
                </c:pt>
                <c:pt idx="579" formatCode="_(&quot;$&quot;* #,##0.00_);_(&quot;$&quot;* \(#,##0.00\);_(&quot;$&quot;* &quot;-&quot;??_);_(@_)">
                  <c:v>-22215.441528246993</c:v>
                </c:pt>
                <c:pt idx="580" formatCode="_(&quot;$&quot;* #,##0.00_);_(&quot;$&quot;* \(#,##0.00\);_(&quot;$&quot;* &quot;-&quot;??_);_(@_)">
                  <c:v>-22225.479555078298</c:v>
                </c:pt>
                <c:pt idx="581" formatCode="_(&quot;$&quot;* #,##0.00_);_(&quot;$&quot;* \(#,##0.00\);_(&quot;$&quot;* &quot;-&quot;??_);_(@_)">
                  <c:v>-22144.864767184808</c:v>
                </c:pt>
                <c:pt idx="582" formatCode="_(&quot;$&quot;* #,##0.00_);_(&quot;$&quot;* \(#,##0.00\);_(&quot;$&quot;* &quot;-&quot;??_);_(@_)">
                  <c:v>-22013.07387539979</c:v>
                </c:pt>
                <c:pt idx="583" formatCode="_(&quot;$&quot;* #,##0.00_);_(&quot;$&quot;* \(#,##0.00\);_(&quot;$&quot;* &quot;-&quot;??_);_(@_)">
                  <c:v>-22112.352215026494</c:v>
                </c:pt>
                <c:pt idx="584" formatCode="_(&quot;$&quot;* #,##0.00_);_(&quot;$&quot;* \(#,##0.00\);_(&quot;$&quot;* &quot;-&quot;??_);_(@_)">
                  <c:v>-21915.421629177985</c:v>
                </c:pt>
                <c:pt idx="585" formatCode="_(&quot;$&quot;* #,##0.00_);_(&quot;$&quot;* \(#,##0.00\);_(&quot;$&quot;* &quot;-&quot;??_);_(@_)">
                  <c:v>-22016.089026586276</c:v>
                </c:pt>
                <c:pt idx="586" formatCode="_(&quot;$&quot;* #,##0.00_);_(&quot;$&quot;* \(#,##0.00\);_(&quot;$&quot;* &quot;-&quot;??_);_(@_)">
                  <c:v>-21927.873616989356</c:v>
                </c:pt>
                <c:pt idx="587" formatCode="_(&quot;$&quot;* #,##0.00_);_(&quot;$&quot;* \(#,##0.00\);_(&quot;$&quot;* &quot;-&quot;??_);_(@_)">
                  <c:v>-21952.87405182996</c:v>
                </c:pt>
                <c:pt idx="588" formatCode="_(&quot;$&quot;* #,##0.00_);_(&quot;$&quot;* \(#,##0.00\);_(&quot;$&quot;* &quot;-&quot;??_);_(@_)">
                  <c:v>-22119.513183688035</c:v>
                </c:pt>
                <c:pt idx="589" formatCode="_(&quot;$&quot;* #,##0.00_);_(&quot;$&quot;* \(#,##0.00\);_(&quot;$&quot;* &quot;-&quot;??_);_(@_)">
                  <c:v>-22189.783761631144</c:v>
                </c:pt>
                <c:pt idx="590" formatCode="_(&quot;$&quot;* #,##0.00_);_(&quot;$&quot;* \(#,##0.00\);_(&quot;$&quot;* &quot;-&quot;??_);_(@_)">
                  <c:v>-22018.552130611224</c:v>
                </c:pt>
                <c:pt idx="591" formatCode="_(&quot;$&quot;* #,##0.00_);_(&quot;$&quot;* \(#,##0.00\);_(&quot;$&quot;* &quot;-&quot;??_);_(@_)">
                  <c:v>-22330.942061089725</c:v>
                </c:pt>
                <c:pt idx="592" formatCode="_(&quot;$&quot;* #,##0.00_);_(&quot;$&quot;* \(#,##0.00\);_(&quot;$&quot;* &quot;-&quot;??_);_(@_)">
                  <c:v>-22016.780364579885</c:v>
                </c:pt>
                <c:pt idx="593" formatCode="_(&quot;$&quot;* #,##0.00_);_(&quot;$&quot;* \(#,##0.00\);_(&quot;$&quot;* &quot;-&quot;??_);_(@_)">
                  <c:v>-22016.780364579885</c:v>
                </c:pt>
                <c:pt idx="594" formatCode="_(&quot;$&quot;* #,##0.00_);_(&quot;$&quot;* \(#,##0.00\);_(&quot;$&quot;* &quot;-&quot;??_);_(@_)">
                  <c:v>-22243.705886948828</c:v>
                </c:pt>
                <c:pt idx="595" formatCode="_(&quot;$&quot;* #,##0.00_);_(&quot;$&quot;* \(#,##0.00\);_(&quot;$&quot;* &quot;-&quot;??_);_(@_)">
                  <c:v>-22335.948374566076</c:v>
                </c:pt>
                <c:pt idx="596" formatCode="_(&quot;$&quot;* #,##0.00_);_(&quot;$&quot;* \(#,##0.00\);_(&quot;$&quot;* &quot;-&quot;??_);_(@_)">
                  <c:v>-22239.652692338845</c:v>
                </c:pt>
                <c:pt idx="597" formatCode="_(&quot;$&quot;* #,##0.00_);_(&quot;$&quot;* \(#,##0.00\);_(&quot;$&quot;* &quot;-&quot;??_);_(@_)">
                  <c:v>-22357.399068906798</c:v>
                </c:pt>
                <c:pt idx="598" formatCode="_(&quot;$&quot;* #,##0.00_);_(&quot;$&quot;* \(#,##0.00\);_(&quot;$&quot;* &quot;-&quot;??_);_(@_)">
                  <c:v>-22213.999386079693</c:v>
                </c:pt>
                <c:pt idx="599" formatCode="_(&quot;$&quot;* #,##0.00_);_(&quot;$&quot;* \(#,##0.00\);_(&quot;$&quot;* &quot;-&quot;??_);_(@_)">
                  <c:v>-22399.353768348567</c:v>
                </c:pt>
                <c:pt idx="600" formatCode="_(&quot;$&quot;* #,##0.00_);_(&quot;$&quot;* \(#,##0.00\);_(&quot;$&quot;* &quot;-&quot;??_);_(@_)">
                  <c:v>-22414.432050942782</c:v>
                </c:pt>
                <c:pt idx="601" formatCode="_(&quot;$&quot;* #,##0.00_);_(&quot;$&quot;* \(#,##0.00\);_(&quot;$&quot;* &quot;-&quot;??_);_(@_)">
                  <c:v>-22423.758410935174</c:v>
                </c:pt>
                <c:pt idx="602" formatCode="_(&quot;$&quot;* #,##0.00_);_(&quot;$&quot;* \(#,##0.00\);_(&quot;$&quot;* &quot;-&quot;??_);_(@_)">
                  <c:v>-22315.231212897746</c:v>
                </c:pt>
                <c:pt idx="603" formatCode="_(&quot;$&quot;* #,##0.00_);_(&quot;$&quot;* \(#,##0.00\);_(&quot;$&quot;* &quot;-&quot;??_);_(@_)">
                  <c:v>-22477.258813530774</c:v>
                </c:pt>
                <c:pt idx="604" formatCode="_(&quot;$&quot;* #,##0.00_);_(&quot;$&quot;* \(#,##0.00\);_(&quot;$&quot;* &quot;-&quot;??_);_(@_)">
                  <c:v>-22574.418000021109</c:v>
                </c:pt>
                <c:pt idx="605" formatCode="_(&quot;$&quot;* #,##0.00_);_(&quot;$&quot;* \(#,##0.00\);_(&quot;$&quot;* &quot;-&quot;??_);_(@_)">
                  <c:v>-22565.564996738689</c:v>
                </c:pt>
                <c:pt idx="606" formatCode="_(&quot;$&quot;* #,##0.00_);_(&quot;$&quot;* \(#,##0.00\);_(&quot;$&quot;* &quot;-&quot;??_);_(@_)">
                  <c:v>-22929.444781879421</c:v>
                </c:pt>
                <c:pt idx="607" formatCode="_(&quot;$&quot;* #,##0.00_);_(&quot;$&quot;* \(#,##0.00\);_(&quot;$&quot;* &quot;-&quot;??_);_(@_)">
                  <c:v>-23009.011263234974</c:v>
                </c:pt>
                <c:pt idx="608" formatCode="_(&quot;$&quot;* #,##0.00_);_(&quot;$&quot;* \(#,##0.00\);_(&quot;$&quot;* &quot;-&quot;??_);_(@_)">
                  <c:v>-23119.172680629941</c:v>
                </c:pt>
                <c:pt idx="609" formatCode="_(&quot;$&quot;* #,##0.00_);_(&quot;$&quot;* \(#,##0.00\);_(&quot;$&quot;* &quot;-&quot;??_);_(@_)">
                  <c:v>-23118.114181069432</c:v>
                </c:pt>
                <c:pt idx="610" formatCode="_(&quot;$&quot;* #,##0.00_);_(&quot;$&quot;* \(#,##0.00\);_(&quot;$&quot;* &quot;-&quot;??_);_(@_)">
                  <c:v>-23147.255405393229</c:v>
                </c:pt>
                <c:pt idx="611" formatCode="_(&quot;$&quot;* #,##0.00_);_(&quot;$&quot;* \(#,##0.00\);_(&quot;$&quot;* &quot;-&quot;??_);_(@_)">
                  <c:v>-23027.286140603544</c:v>
                </c:pt>
                <c:pt idx="612" formatCode="_(&quot;$&quot;* #,##0.00_);_(&quot;$&quot;* \(#,##0.00\);_(&quot;$&quot;* &quot;-&quot;??_);_(@_)">
                  <c:v>-23260.68172606064</c:v>
                </c:pt>
                <c:pt idx="613" formatCode="_(&quot;$&quot;* #,##0.00_);_(&quot;$&quot;* \(#,##0.00\);_(&quot;$&quot;* &quot;-&quot;??_);_(@_)">
                  <c:v>-23298.332461537091</c:v>
                </c:pt>
                <c:pt idx="614" formatCode="_(&quot;$&quot;* #,##0.00_);_(&quot;$&quot;* \(#,##0.00\);_(&quot;$&quot;* &quot;-&quot;??_);_(@_)">
                  <c:v>-23139.524695170669</c:v>
                </c:pt>
                <c:pt idx="615" formatCode="_(&quot;$&quot;* #,##0.00_);_(&quot;$&quot;* \(#,##0.00\);_(&quot;$&quot;* &quot;-&quot;??_);_(@_)">
                  <c:v>-23283.959876954636</c:v>
                </c:pt>
                <c:pt idx="616" formatCode="_(&quot;$&quot;* #,##0.00_);_(&quot;$&quot;* \(#,##0.00\);_(&quot;$&quot;* &quot;-&quot;??_);_(@_)">
                  <c:v>-23307.036042095158</c:v>
                </c:pt>
                <c:pt idx="617" formatCode="_(&quot;$&quot;* #,##0.00_);_(&quot;$&quot;* \(#,##0.00\);_(&quot;$&quot;* &quot;-&quot;??_);_(@_)">
                  <c:v>-23104.131293626124</c:v>
                </c:pt>
                <c:pt idx="618" formatCode="_(&quot;$&quot;* #,##0.00_);_(&quot;$&quot;* \(#,##0.00\);_(&quot;$&quot;* &quot;-&quot;??_);_(@_)">
                  <c:v>-23224.574616202008</c:v>
                </c:pt>
                <c:pt idx="619" formatCode="_(&quot;$&quot;* #,##0.00_);_(&quot;$&quot;* \(#,##0.00\);_(&quot;$&quot;* &quot;-&quot;??_);_(@_)">
                  <c:v>-23286.413664580872</c:v>
                </c:pt>
                <c:pt idx="620" formatCode="_(&quot;$&quot;* #,##0.00_);_(&quot;$&quot;* \(#,##0.00\);_(&quot;$&quot;* &quot;-&quot;??_);_(@_)">
                  <c:v>-23081.879341512242</c:v>
                </c:pt>
                <c:pt idx="621" formatCode="_(&quot;$&quot;* #,##0.00_);_(&quot;$&quot;* \(#,##0.00\);_(&quot;$&quot;* &quot;-&quot;??_);_(@_)">
                  <c:v>-23101.33676831198</c:v>
                </c:pt>
                <c:pt idx="622" formatCode="_(&quot;$&quot;* #,##0.00_);_(&quot;$&quot;* \(#,##0.00\);_(&quot;$&quot;* &quot;-&quot;??_);_(@_)">
                  <c:v>-23146.844864135215</c:v>
                </c:pt>
                <c:pt idx="623" formatCode="_(&quot;$&quot;* #,##0.00_);_(&quot;$&quot;* \(#,##0.00\);_(&quot;$&quot;* &quot;-&quot;??_);_(@_)">
                  <c:v>-23145.330232362619</c:v>
                </c:pt>
                <c:pt idx="624" formatCode="_(&quot;$&quot;* #,##0.00_);_(&quot;$&quot;* \(#,##0.00\);_(&quot;$&quot;* &quot;-&quot;??_);_(@_)">
                  <c:v>-23589.177303053566</c:v>
                </c:pt>
                <c:pt idx="625" formatCode="_(&quot;$&quot;* #,##0.00_);_(&quot;$&quot;* \(#,##0.00\);_(&quot;$&quot;* &quot;-&quot;??_);_(@_)">
                  <c:v>-23727.906149310551</c:v>
                </c:pt>
                <c:pt idx="626" formatCode="_(&quot;$&quot;* #,##0.00_);_(&quot;$&quot;* \(#,##0.00\);_(&quot;$&quot;* &quot;-&quot;??_);_(@_)">
                  <c:v>-23973.468708094184</c:v>
                </c:pt>
                <c:pt idx="627" formatCode="_(&quot;$&quot;* #,##0.00_);_(&quot;$&quot;* \(#,##0.00\);_(&quot;$&quot;* &quot;-&quot;??_);_(@_)">
                  <c:v>-24059.476949594693</c:v>
                </c:pt>
                <c:pt idx="628" formatCode="_(&quot;$&quot;* #,##0.00_);_(&quot;$&quot;* \(#,##0.00\);_(&quot;$&quot;* &quot;-&quot;??_);_(@_)">
                  <c:v>-23979.220798275644</c:v>
                </c:pt>
                <c:pt idx="629" formatCode="_(&quot;$&quot;* #,##0.00_);_(&quot;$&quot;* \(#,##0.00\);_(&quot;$&quot;* &quot;-&quot;??_);_(@_)">
                  <c:v>-24082.615405912024</c:v>
                </c:pt>
                <c:pt idx="630" formatCode="_(&quot;$&quot;* #,##0.00_);_(&quot;$&quot;* \(#,##0.00\);_(&quot;$&quot;* &quot;-&quot;??_);_(@_)">
                  <c:v>-24025.817122765588</c:v>
                </c:pt>
                <c:pt idx="631" formatCode="_(&quot;$&quot;* #,##0.00_);_(&quot;$&quot;* \(#,##0.00\);_(&quot;$&quot;* &quot;-&quot;??_);_(@_)">
                  <c:v>-23937.545449307956</c:v>
                </c:pt>
                <c:pt idx="632" formatCode="_(&quot;$&quot;* #,##0.00_);_(&quot;$&quot;* \(#,##0.00\);_(&quot;$&quot;* &quot;-&quot;??_);_(@_)">
                  <c:v>-23958.309972480434</c:v>
                </c:pt>
                <c:pt idx="633" formatCode="_(&quot;$&quot;* #,##0.00_);_(&quot;$&quot;* \(#,##0.00\);_(&quot;$&quot;* &quot;-&quot;??_);_(@_)">
                  <c:v>-24046.152032858703</c:v>
                </c:pt>
                <c:pt idx="634" formatCode="_(&quot;$&quot;* #,##0.00_);_(&quot;$&quot;* \(#,##0.00\);_(&quot;$&quot;* &quot;-&quot;??_);_(@_)">
                  <c:v>-24033.883296761182</c:v>
                </c:pt>
                <c:pt idx="635" formatCode="_(&quot;$&quot;* #,##0.00_);_(&quot;$&quot;* \(#,##0.00\);_(&quot;$&quot;* &quot;-&quot;??_);_(@_)">
                  <c:v>-23987.291258382502</c:v>
                </c:pt>
                <c:pt idx="636" formatCode="_(&quot;$&quot;* #,##0.00_);_(&quot;$&quot;* \(#,##0.00\);_(&quot;$&quot;* &quot;-&quot;??_);_(@_)">
                  <c:v>-23963.58508624012</c:v>
                </c:pt>
                <c:pt idx="637" formatCode="_(&quot;$&quot;* #,##0.00_);_(&quot;$&quot;* \(#,##0.00\);_(&quot;$&quot;* &quot;-&quot;??_);_(@_)">
                  <c:v>-23958.244847487393</c:v>
                </c:pt>
                <c:pt idx="638" formatCode="_(&quot;$&quot;* #,##0.00_);_(&quot;$&quot;* \(#,##0.00\);_(&quot;$&quot;* &quot;-&quot;??_);_(@_)">
                  <c:v>-23902.604068373072</c:v>
                </c:pt>
                <c:pt idx="639" formatCode="_(&quot;$&quot;* #,##0.00_);_(&quot;$&quot;* \(#,##0.00\);_(&quot;$&quot;* &quot;-&quot;??_);_(@_)">
                  <c:v>-23963.735456890576</c:v>
                </c:pt>
                <c:pt idx="640" formatCode="_(&quot;$&quot;* #,##0.00_);_(&quot;$&quot;* \(#,##0.00\);_(&quot;$&quot;* &quot;-&quot;??_);_(@_)">
                  <c:v>-23898.636778944459</c:v>
                </c:pt>
                <c:pt idx="641" formatCode="_(&quot;$&quot;* #,##0.00_);_(&quot;$&quot;* \(#,##0.00\);_(&quot;$&quot;* &quot;-&quot;??_);_(@_)">
                  <c:v>-23817.40970459659</c:v>
                </c:pt>
                <c:pt idx="642" formatCode="_(&quot;$&quot;* #,##0.00_);_(&quot;$&quot;* \(#,##0.00\);_(&quot;$&quot;* &quot;-&quot;??_);_(@_)">
                  <c:v>-23874.451455280472</c:v>
                </c:pt>
                <c:pt idx="643" formatCode="_(&quot;$&quot;* #,##0.00_);_(&quot;$&quot;* \(#,##0.00\);_(&quot;$&quot;* &quot;-&quot;??_);_(@_)">
                  <c:v>-23870.853984713169</c:v>
                </c:pt>
                <c:pt idx="644" formatCode="_(&quot;$&quot;* #,##0.00_);_(&quot;$&quot;* \(#,##0.00\);_(&quot;$&quot;* &quot;-&quot;??_);_(@_)">
                  <c:v>-23789.309882687357</c:v>
                </c:pt>
                <c:pt idx="645" formatCode="_(&quot;$&quot;* #,##0.00_);_(&quot;$&quot;* \(#,##0.00\);_(&quot;$&quot;* &quot;-&quot;??_);_(@_)">
                  <c:v>-23731.475826892645</c:v>
                </c:pt>
                <c:pt idx="646" formatCode="_(&quot;$&quot;* #,##0.00_);_(&quot;$&quot;* \(#,##0.00\);_(&quot;$&quot;* &quot;-&quot;??_);_(@_)">
                  <c:v>-23687.846991009148</c:v>
                </c:pt>
                <c:pt idx="647" formatCode="_(&quot;$&quot;* #,##0.00_);_(&quot;$&quot;* \(#,##0.00\);_(&quot;$&quot;* &quot;-&quot;??_);_(@_)">
                  <c:v>-23867.701415448086</c:v>
                </c:pt>
                <c:pt idx="648" formatCode="_(&quot;$&quot;* #,##0.00_);_(&quot;$&quot;* \(#,##0.00\);_(&quot;$&quot;* &quot;-&quot;??_);_(@_)">
                  <c:v>-23953.620885413693</c:v>
                </c:pt>
                <c:pt idx="649" formatCode="_(&quot;$&quot;* #,##0.00_);_(&quot;$&quot;* \(#,##0.00\);_(&quot;$&quot;* &quot;-&quot;??_);_(@_)">
                  <c:v>-23950.372474519343</c:v>
                </c:pt>
                <c:pt idx="650" formatCode="_(&quot;$&quot;* #,##0.00_);_(&quot;$&quot;* \(#,##0.00\);_(&quot;$&quot;* &quot;-&quot;??_);_(@_)">
                  <c:v>-23874.104519771659</c:v>
                </c:pt>
                <c:pt idx="651" formatCode="_(&quot;$&quot;* #,##0.00_);_(&quot;$&quot;* \(#,##0.00\);_(&quot;$&quot;* &quot;-&quot;??_);_(@_)">
                  <c:v>-23759.081408729762</c:v>
                </c:pt>
                <c:pt idx="652" formatCode="_(&quot;$&quot;* #,##0.00_);_(&quot;$&quot;* \(#,##0.00\);_(&quot;$&quot;* &quot;-&quot;??_);_(@_)">
                  <c:v>-23827.945313451812</c:v>
                </c:pt>
                <c:pt idx="653" formatCode="_(&quot;$&quot;* #,##0.00_);_(&quot;$&quot;* \(#,##0.00\);_(&quot;$&quot;* &quot;-&quot;??_);_(@_)">
                  <c:v>-24192.359811100341</c:v>
                </c:pt>
                <c:pt idx="654" formatCode="_(&quot;$&quot;* #,##0.00_);_(&quot;$&quot;* \(#,##0.00\);_(&quot;$&quot;* &quot;-&quot;??_);_(@_)">
                  <c:v>-24111.005611616805</c:v>
                </c:pt>
                <c:pt idx="655" formatCode="_(&quot;$&quot;* #,##0.00_);_(&quot;$&quot;* \(#,##0.00\);_(&quot;$&quot;* &quot;-&quot;??_);_(@_)">
                  <c:v>-24087.585705761201</c:v>
                </c:pt>
                <c:pt idx="656" formatCode="_(&quot;$&quot;* #,##0.00_);_(&quot;$&quot;* \(#,##0.00\);_(&quot;$&quot;* &quot;-&quot;??_);_(@_)">
                  <c:v>-24052.551903048883</c:v>
                </c:pt>
                <c:pt idx="657" formatCode="_(&quot;$&quot;* #,##0.00_);_(&quot;$&quot;* \(#,##0.00\);_(&quot;$&quot;* &quot;-&quot;??_);_(@_)">
                  <c:v>-24093.273633190143</c:v>
                </c:pt>
                <c:pt idx="658" formatCode="_(&quot;$&quot;* #,##0.00_);_(&quot;$&quot;* \(#,##0.00\);_(&quot;$&quot;* &quot;-&quot;??_);_(@_)">
                  <c:v>-24120.778678843788</c:v>
                </c:pt>
                <c:pt idx="659" formatCode="_(&quot;$&quot;* #,##0.00_);_(&quot;$&quot;* \(#,##0.00\);_(&quot;$&quot;* &quot;-&quot;??_);_(@_)">
                  <c:v>-24022.942761889553</c:v>
                </c:pt>
                <c:pt idx="660" formatCode="_(&quot;$&quot;* #,##0.00_);_(&quot;$&quot;* \(#,##0.00\);_(&quot;$&quot;* &quot;-&quot;??_);_(@_)">
                  <c:v>-24174.479085013336</c:v>
                </c:pt>
                <c:pt idx="661" formatCode="_(&quot;$&quot;* #,##0.00_);_(&quot;$&quot;* \(#,##0.00\);_(&quot;$&quot;* &quot;-&quot;??_);_(@_)">
                  <c:v>-24061.27153784352</c:v>
                </c:pt>
                <c:pt idx="662" formatCode="_(&quot;$&quot;* #,##0.00_);_(&quot;$&quot;* \(#,##0.00\);_(&quot;$&quot;* &quot;-&quot;??_);_(@_)">
                  <c:v>-24034.164081139887</c:v>
                </c:pt>
                <c:pt idx="663" formatCode="_(&quot;$&quot;* #,##0.00_);_(&quot;$&quot;* \(#,##0.00\);_(&quot;$&quot;* &quot;-&quot;??_);_(@_)">
                  <c:v>-24130.139516890216</c:v>
                </c:pt>
                <c:pt idx="664" formatCode="_(&quot;$&quot;* #,##0.00_);_(&quot;$&quot;* \(#,##0.00\);_(&quot;$&quot;* &quot;-&quot;??_);_(@_)">
                  <c:v>-24074.809042589597</c:v>
                </c:pt>
                <c:pt idx="665" formatCode="_(&quot;$&quot;* #,##0.00_);_(&quot;$&quot;* \(#,##0.00\);_(&quot;$&quot;* &quot;-&quot;??_);_(@_)">
                  <c:v>-24207.651857067394</c:v>
                </c:pt>
                <c:pt idx="666" formatCode="_(&quot;$&quot;* #,##0.00_);_(&quot;$&quot;* \(#,##0.00\);_(&quot;$&quot;* &quot;-&quot;??_);_(@_)">
                  <c:v>-24125.884343801023</c:v>
                </c:pt>
                <c:pt idx="667" formatCode="_(&quot;$&quot;* #,##0.00_);_(&quot;$&quot;* \(#,##0.00\);_(&quot;$&quot;* &quot;-&quot;??_);_(@_)">
                  <c:v>-24179.189924076287</c:v>
                </c:pt>
                <c:pt idx="668" formatCode="_(&quot;$&quot;* #,##0.00_);_(&quot;$&quot;* \(#,##0.00\);_(&quot;$&quot;* &quot;-&quot;??_);_(@_)">
                  <c:v>-24188.594575022686</c:v>
                </c:pt>
                <c:pt idx="669" formatCode="_(&quot;$&quot;* #,##0.00_);_(&quot;$&quot;* \(#,##0.00\);_(&quot;$&quot;* &quot;-&quot;??_);_(@_)">
                  <c:v>-24231.802803828221</c:v>
                </c:pt>
                <c:pt idx="670" formatCode="_(&quot;$&quot;* #,##0.00_);_(&quot;$&quot;* \(#,##0.00\);_(&quot;$&quot;* &quot;-&quot;??_);_(@_)">
                  <c:v>-24304.190011788756</c:v>
                </c:pt>
                <c:pt idx="671" formatCode="_(&quot;$&quot;* #,##0.00_);_(&quot;$&quot;* \(#,##0.00\);_(&quot;$&quot;* &quot;-&quot;??_);_(@_)">
                  <c:v>-24436.359427791831</c:v>
                </c:pt>
                <c:pt idx="672" formatCode="_(&quot;$&quot;* #,##0.00_);_(&quot;$&quot;* \(#,##0.00\);_(&quot;$&quot;* &quot;-&quot;??_);_(@_)">
                  <c:v>-24509.261708092512</c:v>
                </c:pt>
                <c:pt idx="673" formatCode="_(&quot;$&quot;* #,##0.00_);_(&quot;$&quot;* \(#,##0.00\);_(&quot;$&quot;* &quot;-&quot;??_);_(@_)">
                  <c:v>-24610.903583593663</c:v>
                </c:pt>
                <c:pt idx="674" formatCode="_(&quot;$&quot;* #,##0.00_);_(&quot;$&quot;* \(#,##0.00\);_(&quot;$&quot;* &quot;-&quot;??_);_(@_)">
                  <c:v>-24609.940462996346</c:v>
                </c:pt>
                <c:pt idx="675" formatCode="_(&quot;$&quot;* #,##0.00_);_(&quot;$&quot;* \(#,##0.00\);_(&quot;$&quot;* &quot;-&quot;??_);_(@_)">
                  <c:v>-24545.291293643462</c:v>
                </c:pt>
                <c:pt idx="676" formatCode="_(&quot;$&quot;* #,##0.00_);_(&quot;$&quot;* \(#,##0.00\);_(&quot;$&quot;* &quot;-&quot;??_);_(@_)">
                  <c:v>-24490.291803572509</c:v>
                </c:pt>
                <c:pt idx="677" formatCode="_(&quot;$&quot;* #,##0.00_);_(&quot;$&quot;* \(#,##0.00\);_(&quot;$&quot;* &quot;-&quot;??_);_(@_)">
                  <c:v>-24619.573778467315</c:v>
                </c:pt>
                <c:pt idx="678" formatCode="_(&quot;$&quot;* #,##0.00_);_(&quot;$&quot;* \(#,##0.00\);_(&quot;$&quot;* &quot;-&quot;??_);_(@_)">
                  <c:v>-24544.812309378311</c:v>
                </c:pt>
                <c:pt idx="679" formatCode="_(&quot;$&quot;* #,##0.00_);_(&quot;$&quot;* \(#,##0.00\);_(&quot;$&quot;* &quot;-&quot;??_);_(@_)">
                  <c:v>-24582.204866876011</c:v>
                </c:pt>
                <c:pt idx="680" formatCode="_(&quot;$&quot;* #,##0.00_);_(&quot;$&quot;* \(#,##0.00\);_(&quot;$&quot;* &quot;-&quot;??_);_(@_)">
                  <c:v>-24630.877581448556</c:v>
                </c:pt>
                <c:pt idx="681" formatCode="_(&quot;$&quot;* #,##0.00_);_(&quot;$&quot;* \(#,##0.00\);_(&quot;$&quot;* &quot;-&quot;??_);_(@_)">
                  <c:v>-24681.704030223678</c:v>
                </c:pt>
                <c:pt idx="682" formatCode="_(&quot;$&quot;* #,##0.00_);_(&quot;$&quot;* \(#,##0.00\);_(&quot;$&quot;* &quot;-&quot;??_);_(@_)">
                  <c:v>-24631.608287150077</c:v>
                </c:pt>
                <c:pt idx="683" formatCode="_(&quot;$&quot;* #,##0.00_);_(&quot;$&quot;* \(#,##0.00\);_(&quot;$&quot;* &quot;-&quot;??_);_(@_)">
                  <c:v>-24707.141331912746</c:v>
                </c:pt>
                <c:pt idx="684" formatCode="_(&quot;$&quot;* #,##0.00_);_(&quot;$&quot;* \(#,##0.00\);_(&quot;$&quot;* &quot;-&quot;??_);_(@_)">
                  <c:v>-24692.441697788996</c:v>
                </c:pt>
                <c:pt idx="685" formatCode="_(&quot;$&quot;* #,##0.00_);_(&quot;$&quot;* \(#,##0.00\);_(&quot;$&quot;* &quot;-&quot;??_);_(@_)">
                  <c:v>-24405.488668935788</c:v>
                </c:pt>
                <c:pt idx="686" formatCode="_(&quot;$&quot;* #,##0.00_);_(&quot;$&quot;* \(#,##0.00\);_(&quot;$&quot;* &quot;-&quot;??_);_(@_)">
                  <c:v>-24434.06521550558</c:v>
                </c:pt>
                <c:pt idx="687" formatCode="_(&quot;$&quot;* #,##0.00_);_(&quot;$&quot;* \(#,##0.00\);_(&quot;$&quot;* &quot;-&quot;??_);_(@_)">
                  <c:v>-24639.68509469015</c:v>
                </c:pt>
                <c:pt idx="688" formatCode="_(&quot;$&quot;* #,##0.00_);_(&quot;$&quot;* \(#,##0.00\);_(&quot;$&quot;* &quot;-&quot;??_);_(@_)">
                  <c:v>-24650.369741764571</c:v>
                </c:pt>
                <c:pt idx="689" formatCode="_(&quot;$&quot;* #,##0.00_);_(&quot;$&quot;* \(#,##0.00\);_(&quot;$&quot;* &quot;-&quot;??_);_(@_)">
                  <c:v>-24843.067029915939</c:v>
                </c:pt>
                <c:pt idx="690" formatCode="_(&quot;$&quot;* #,##0.00_);_(&quot;$&quot;* \(#,##0.00\);_(&quot;$&quot;* &quot;-&quot;??_);_(@_)">
                  <c:v>-25056.573068341619</c:v>
                </c:pt>
                <c:pt idx="691" formatCode="_(&quot;$&quot;* #,##0.00_);_(&quot;$&quot;* \(#,##0.00\);_(&quot;$&quot;* &quot;-&quot;??_);_(@_)">
                  <c:v>-24900.936788219675</c:v>
                </c:pt>
                <c:pt idx="692" formatCode="_(&quot;$&quot;* #,##0.00_);_(&quot;$&quot;* \(#,##0.00\);_(&quot;$&quot;* &quot;-&quot;??_);_(@_)">
                  <c:v>-25281.532009368148</c:v>
                </c:pt>
                <c:pt idx="693" formatCode="_(&quot;$&quot;* #,##0.00_);_(&quot;$&quot;* \(#,##0.00\);_(&quot;$&quot;* &quot;-&quot;??_);_(@_)">
                  <c:v>-25436.244830211297</c:v>
                </c:pt>
                <c:pt idx="694" formatCode="_(&quot;$&quot;* #,##0.00_);_(&quot;$&quot;* \(#,##0.00\);_(&quot;$&quot;* &quot;-&quot;??_);_(@_)">
                  <c:v>-25382.316683515844</c:v>
                </c:pt>
                <c:pt idx="695" formatCode="_(&quot;$&quot;* #,##0.00_);_(&quot;$&quot;* \(#,##0.00\);_(&quot;$&quot;* &quot;-&quot;??_);_(@_)">
                  <c:v>-25223.144774550881</c:v>
                </c:pt>
                <c:pt idx="696" formatCode="_(&quot;$&quot;* #,##0.00_);_(&quot;$&quot;* \(#,##0.00\);_(&quot;$&quot;* &quot;-&quot;??_);_(@_)">
                  <c:v>-25349.085680739197</c:v>
                </c:pt>
                <c:pt idx="697" formatCode="_(&quot;$&quot;* #,##0.00_);_(&quot;$&quot;* \(#,##0.00\);_(&quot;$&quot;* &quot;-&quot;??_);_(@_)">
                  <c:v>-25300.243728714555</c:v>
                </c:pt>
                <c:pt idx="698" formatCode="_(&quot;$&quot;* #,##0.00_);_(&quot;$&quot;* \(#,##0.00\);_(&quot;$&quot;* &quot;-&quot;??_);_(@_)">
                  <c:v>-25408.286054538134</c:v>
                </c:pt>
                <c:pt idx="699" formatCode="_(&quot;$&quot;* #,##0.00_);_(&quot;$&quot;* \(#,##0.00\);_(&quot;$&quot;* &quot;-&quot;??_);_(@_)">
                  <c:v>-25253.518550467648</c:v>
                </c:pt>
                <c:pt idx="700" formatCode="_(&quot;$&quot;* #,##0.00_);_(&quot;$&quot;* \(#,##0.00\);_(&quot;$&quot;* &quot;-&quot;??_);_(@_)">
                  <c:v>-25330.308500605624</c:v>
                </c:pt>
                <c:pt idx="701" formatCode="_(&quot;$&quot;* #,##0.00_);_(&quot;$&quot;* \(#,##0.00\);_(&quot;$&quot;* &quot;-&quot;??_);_(@_)">
                  <c:v>-25346.591820779806</c:v>
                </c:pt>
                <c:pt idx="702" formatCode="_(&quot;$&quot;* #,##0.00_);_(&quot;$&quot;* \(#,##0.00\);_(&quot;$&quot;* &quot;-&quot;??_);_(@_)">
                  <c:v>-25324.863090540355</c:v>
                </c:pt>
                <c:pt idx="703" formatCode="_(&quot;$&quot;* #,##0.00_);_(&quot;$&quot;* \(#,##0.00\);_(&quot;$&quot;* &quot;-&quot;??_);_(@_)">
                  <c:v>-25205.798574583452</c:v>
                </c:pt>
                <c:pt idx="704" formatCode="_(&quot;$&quot;* #,##0.00_);_(&quot;$&quot;* \(#,##0.00\);_(&quot;$&quot;* &quot;-&quot;??_);_(@_)">
                  <c:v>-25305.041185294045</c:v>
                </c:pt>
                <c:pt idx="705" formatCode="_(&quot;$&quot;* #,##0.00_);_(&quot;$&quot;* \(#,##0.00\);_(&quot;$&quot;* &quot;-&quot;??_);_(@_)">
                  <c:v>-25533.937876288001</c:v>
                </c:pt>
                <c:pt idx="706" formatCode="_(&quot;$&quot;* #,##0.00_);_(&quot;$&quot;* \(#,##0.00\);_(&quot;$&quot;* &quot;-&quot;??_);_(@_)">
                  <c:v>-25681.573416014278</c:v>
                </c:pt>
                <c:pt idx="707" formatCode="_(&quot;$&quot;* #,##0.00_);_(&quot;$&quot;* \(#,##0.00\);_(&quot;$&quot;* &quot;-&quot;??_);_(@_)">
                  <c:v>-25722.588991705961</c:v>
                </c:pt>
                <c:pt idx="708" formatCode="_(&quot;$&quot;* #,##0.00_);_(&quot;$&quot;* \(#,##0.00\);_(&quot;$&quot;* &quot;-&quot;??_);_(@_)">
                  <c:v>-25887.663432483419</c:v>
                </c:pt>
                <c:pt idx="709" formatCode="_(&quot;$&quot;* #,##0.00_);_(&quot;$&quot;* \(#,##0.00\);_(&quot;$&quot;* &quot;-&quot;??_);_(@_)">
                  <c:v>-26082.817571280437</c:v>
                </c:pt>
                <c:pt idx="710" formatCode="_(&quot;$&quot;* #,##0.00_);_(&quot;$&quot;* \(#,##0.00\);_(&quot;$&quot;* &quot;-&quot;??_);_(@_)">
                  <c:v>-25846.946776675395</c:v>
                </c:pt>
                <c:pt idx="711" formatCode="_(&quot;$&quot;* #,##0.00_);_(&quot;$&quot;* \(#,##0.00\);_(&quot;$&quot;* &quot;-&quot;??_);_(@_)">
                  <c:v>-25963.818014979533</c:v>
                </c:pt>
                <c:pt idx="712" formatCode="_(&quot;$&quot;* #,##0.00_);_(&quot;$&quot;* \(#,##0.00\);_(&quot;$&quot;* &quot;-&quot;??_);_(@_)">
                  <c:v>-25694.611872453941</c:v>
                </c:pt>
                <c:pt idx="713" formatCode="_(&quot;$&quot;* #,##0.00_);_(&quot;$&quot;* \(#,##0.00\);_(&quot;$&quot;* &quot;-&quot;??_);_(@_)">
                  <c:v>-25739.554854362097</c:v>
                </c:pt>
                <c:pt idx="714" formatCode="_(&quot;$&quot;* #,##0.00_);_(&quot;$&quot;* \(#,##0.00\);_(&quot;$&quot;* &quot;-&quot;??_);_(@_)">
                  <c:v>-26017.718971191029</c:v>
                </c:pt>
                <c:pt idx="715" formatCode="_(&quot;$&quot;* #,##0.00_);_(&quot;$&quot;* \(#,##0.00\);_(&quot;$&quot;* &quot;-&quot;??_);_(@_)">
                  <c:v>-25897.721288264733</c:v>
                </c:pt>
                <c:pt idx="716" formatCode="_(&quot;$&quot;* #,##0.00_);_(&quot;$&quot;* \(#,##0.00\);_(&quot;$&quot;* &quot;-&quot;??_);_(@_)">
                  <c:v>-25903.077253697269</c:v>
                </c:pt>
                <c:pt idx="717" formatCode="_(&quot;$&quot;* #,##0.00_);_(&quot;$&quot;* \(#,##0.00\);_(&quot;$&quot;* &quot;-&quot;??_);_(@_)">
                  <c:v>-25884.125767426562</c:v>
                </c:pt>
                <c:pt idx="718" formatCode="_(&quot;$&quot;* #,##0.00_);_(&quot;$&quot;* \(#,##0.00\);_(&quot;$&quot;* &quot;-&quot;??_);_(@_)">
                  <c:v>-26165.204601016037</c:v>
                </c:pt>
                <c:pt idx="719" formatCode="_(&quot;$&quot;* #,##0.00_);_(&quot;$&quot;* \(#,##0.00\);_(&quot;$&quot;* &quot;-&quot;??_);_(@_)">
                  <c:v>-26350.513986630918</c:v>
                </c:pt>
                <c:pt idx="720" formatCode="_(&quot;$&quot;* #,##0.00_);_(&quot;$&quot;* \(#,##0.00\);_(&quot;$&quot;* &quot;-&quot;??_);_(@_)">
                  <c:v>-26343.552889639079</c:v>
                </c:pt>
                <c:pt idx="721" formatCode="_(&quot;$&quot;* #,##0.00_);_(&quot;$&quot;* \(#,##0.00\);_(&quot;$&quot;* &quot;-&quot;??_);_(@_)">
                  <c:v>-26272.383522720269</c:v>
                </c:pt>
                <c:pt idx="722" formatCode="_(&quot;$&quot;* #,##0.00_);_(&quot;$&quot;* \(#,##0.00\);_(&quot;$&quot;* &quot;-&quot;??_);_(@_)">
                  <c:v>-26302.62936496405</c:v>
                </c:pt>
                <c:pt idx="723" formatCode="_(&quot;$&quot;* #,##0.00_);_(&quot;$&quot;* \(#,##0.00\);_(&quot;$&quot;* &quot;-&quot;??_);_(@_)">
                  <c:v>-26358.670470373243</c:v>
                </c:pt>
                <c:pt idx="724" formatCode="_(&quot;$&quot;* #,##0.00_);_(&quot;$&quot;* \(#,##0.00\);_(&quot;$&quot;* &quot;-&quot;??_);_(@_)">
                  <c:v>-26363.287836608299</c:v>
                </c:pt>
                <c:pt idx="725" formatCode="_(&quot;$&quot;* #,##0.00_);_(&quot;$&quot;* \(#,##0.00\);_(&quot;$&quot;* &quot;-&quot;??_);_(@_)">
                  <c:v>-26306.576266827713</c:v>
                </c:pt>
                <c:pt idx="726" formatCode="_(&quot;$&quot;* #,##0.00_);_(&quot;$&quot;* \(#,##0.00\);_(&quot;$&quot;* &quot;-&quot;??_);_(@_)">
                  <c:v>-26354.893334785844</c:v>
                </c:pt>
                <c:pt idx="727" formatCode="_(&quot;$&quot;* #,##0.00_);_(&quot;$&quot;* \(#,##0.00\);_(&quot;$&quot;* &quot;-&quot;??_);_(@_)">
                  <c:v>-26514.389909294583</c:v>
                </c:pt>
                <c:pt idx="728" formatCode="_(&quot;$&quot;* #,##0.00_);_(&quot;$&quot;* \(#,##0.00\);_(&quot;$&quot;* &quot;-&quot;??_);_(@_)">
                  <c:v>-26591.196657677516</c:v>
                </c:pt>
                <c:pt idx="729" formatCode="_(&quot;$&quot;* #,##0.00_);_(&quot;$&quot;* \(#,##0.00\);_(&quot;$&quot;* &quot;-&quot;??_);_(@_)">
                  <c:v>-26674.608628067344</c:v>
                </c:pt>
                <c:pt idx="730" formatCode="_(&quot;$&quot;* #,##0.00_);_(&quot;$&quot;* \(#,##0.00\);_(&quot;$&quot;* &quot;-&quot;??_);_(@_)">
                  <c:v>-26742.872780740989</c:v>
                </c:pt>
                <c:pt idx="731" formatCode="_(&quot;$&quot;* #,##0.00_);_(&quot;$&quot;* \(#,##0.00\);_(&quot;$&quot;* &quot;-&quot;??_);_(@_)">
                  <c:v>-26817.991294085627</c:v>
                </c:pt>
                <c:pt idx="732" formatCode="_(&quot;$&quot;* #,##0.00_);_(&quot;$&quot;* \(#,##0.00\);_(&quot;$&quot;* &quot;-&quot;??_);_(@_)">
                  <c:v>-26669.331463248855</c:v>
                </c:pt>
                <c:pt idx="733" formatCode="_(&quot;$&quot;* #,##0.00_);_(&quot;$&quot;* \(#,##0.00\);_(&quot;$&quot;* &quot;-&quot;??_);_(@_)">
                  <c:v>-26841.839061291277</c:v>
                </c:pt>
                <c:pt idx="734" formatCode="_(&quot;$&quot;* #,##0.00_);_(&quot;$&quot;* \(#,##0.00\);_(&quot;$&quot;* &quot;-&quot;??_);_(@_)">
                  <c:v>-26877.578911671855</c:v>
                </c:pt>
                <c:pt idx="735" formatCode="_(&quot;$&quot;* #,##0.00_);_(&quot;$&quot;* \(#,##0.00\);_(&quot;$&quot;* &quot;-&quot;??_);_(@_)">
                  <c:v>-26846.957521099983</c:v>
                </c:pt>
                <c:pt idx="736" formatCode="_(&quot;$&quot;* #,##0.00_);_(&quot;$&quot;* \(#,##0.00\);_(&quot;$&quot;* &quot;-&quot;??_);_(@_)">
                  <c:v>-26984.218202711956</c:v>
                </c:pt>
                <c:pt idx="737" formatCode="_(&quot;$&quot;* #,##0.00_);_(&quot;$&quot;* \(#,##0.00\);_(&quot;$&quot;* &quot;-&quot;??_);_(@_)">
                  <c:v>-26780.265873429016</c:v>
                </c:pt>
                <c:pt idx="738" formatCode="_(&quot;$&quot;* #,##0.00_);_(&quot;$&quot;* \(#,##0.00\);_(&quot;$&quot;* &quot;-&quot;??_);_(@_)">
                  <c:v>-26675.838575938575</c:v>
                </c:pt>
                <c:pt idx="739" formatCode="_(&quot;$&quot;* #,##0.00_);_(&quot;$&quot;* \(#,##0.00\);_(&quot;$&quot;* &quot;-&quot;??_);_(@_)">
                  <c:v>-27054.700281954028</c:v>
                </c:pt>
                <c:pt idx="740" formatCode="_(&quot;$&quot;* #,##0.00_);_(&quot;$&quot;* \(#,##0.00\);_(&quot;$&quot;* &quot;-&quot;??_);_(@_)">
                  <c:v>-27099.148700386722</c:v>
                </c:pt>
                <c:pt idx="741" formatCode="_(&quot;$&quot;* #,##0.00_);_(&quot;$&quot;* \(#,##0.00\);_(&quot;$&quot;* &quot;-&quot;??_);_(@_)">
                  <c:v>-26975.353503473976</c:v>
                </c:pt>
                <c:pt idx="742" formatCode="_(&quot;$&quot;* #,##0.00_);_(&quot;$&quot;* \(#,##0.00\);_(&quot;$&quot;* &quot;-&quot;??_);_(@_)">
                  <c:v>-27173.362740943929</c:v>
                </c:pt>
                <c:pt idx="743" formatCode="_(&quot;$&quot;* #,##0.00_);_(&quot;$&quot;* \(#,##0.00\);_(&quot;$&quot;* &quot;-&quot;??_);_(@_)">
                  <c:v>-27675.135834664601</c:v>
                </c:pt>
                <c:pt idx="744" formatCode="_(&quot;$&quot;* #,##0.00_);_(&quot;$&quot;* \(#,##0.00\);_(&quot;$&quot;* &quot;-&quot;??_);_(@_)">
                  <c:v>-28115.472925738311</c:v>
                </c:pt>
                <c:pt idx="745" formatCode="_(&quot;$&quot;* #,##0.00_);_(&quot;$&quot;* \(#,##0.00\);_(&quot;$&quot;* &quot;-&quot;??_);_(@_)">
                  <c:v>-28193.222336367737</c:v>
                </c:pt>
                <c:pt idx="746" formatCode="_(&quot;$&quot;* #,##0.00_);_(&quot;$&quot;* \(#,##0.00\);_(&quot;$&quot;* &quot;-&quot;??_);_(@_)">
                  <c:v>-27983.49744874072</c:v>
                </c:pt>
                <c:pt idx="747" formatCode="_(&quot;$&quot;* #,##0.00_);_(&quot;$&quot;* \(#,##0.00\);_(&quot;$&quot;* &quot;-&quot;??_);_(@_)">
                  <c:v>-28010.389879838414</c:v>
                </c:pt>
                <c:pt idx="748" formatCode="_(&quot;$&quot;* #,##0.00_);_(&quot;$&quot;* \(#,##0.00\);_(&quot;$&quot;* &quot;-&quot;??_);_(@_)">
                  <c:v>-28231.517986962226</c:v>
                </c:pt>
                <c:pt idx="749" formatCode="_(&quot;$&quot;* #,##0.00_);_(&quot;$&quot;* \(#,##0.00\);_(&quot;$&quot;* &quot;-&quot;??_);_(@_)">
                  <c:v>-28309.471751439916</c:v>
                </c:pt>
                <c:pt idx="750" formatCode="_(&quot;$&quot;* #,##0.00_);_(&quot;$&quot;* \(#,##0.00\);_(&quot;$&quot;* &quot;-&quot;??_);_(@_)">
                  <c:v>-28552.747364557868</c:v>
                </c:pt>
                <c:pt idx="751" formatCode="_(&quot;$&quot;* #,##0.00_);_(&quot;$&quot;* \(#,##0.00\);_(&quot;$&quot;* &quot;-&quot;??_);_(@_)">
                  <c:v>-28101.37621824547</c:v>
                </c:pt>
                <c:pt idx="752" formatCode="_(&quot;$&quot;* #,##0.00_);_(&quot;$&quot;* \(#,##0.00\);_(&quot;$&quot;* &quot;-&quot;??_);_(@_)">
                  <c:v>-28784.835824703383</c:v>
                </c:pt>
                <c:pt idx="753" formatCode="_(&quot;$&quot;* #,##0.00_);_(&quot;$&quot;* \(#,##0.00\);_(&quot;$&quot;* &quot;-&quot;??_);_(@_)">
                  <c:v>-29371.422180635156</c:v>
                </c:pt>
                <c:pt idx="754" formatCode="_(&quot;$&quot;* #,##0.00_);_(&quot;$&quot;* \(#,##0.00\);_(&quot;$&quot;* &quot;-&quot;??_);_(@_)">
                  <c:v>-30201.059798423448</c:v>
                </c:pt>
                <c:pt idx="755" formatCode="_(&quot;$&quot;* #,##0.00_);_(&quot;$&quot;* \(#,##0.00\);_(&quot;$&quot;* &quot;-&quot;??_);_(@_)">
                  <c:v>-30236.012759757341</c:v>
                </c:pt>
                <c:pt idx="756" formatCode="_(&quot;$&quot;* #,##0.00_);_(&quot;$&quot;* \(#,##0.00\);_(&quot;$&quot;* &quot;-&quot;??_);_(@_)">
                  <c:v>-30254.851036779255</c:v>
                </c:pt>
                <c:pt idx="757" formatCode="_(&quot;$&quot;* #,##0.00_);_(&quot;$&quot;* \(#,##0.00\);_(&quot;$&quot;* &quot;-&quot;??_);_(@_)">
                  <c:v>-30533.492496078678</c:v>
                </c:pt>
                <c:pt idx="758" formatCode="_(&quot;$&quot;* #,##0.00_);_(&quot;$&quot;* \(#,##0.00\);_(&quot;$&quot;* &quot;-&quot;??_);_(@_)">
                  <c:v>-30929.159428532708</c:v>
                </c:pt>
                <c:pt idx="759" formatCode="_(&quot;$&quot;* #,##0.00_);_(&quot;$&quot;* \(#,##0.00\);_(&quot;$&quot;* &quot;-&quot;??_);_(@_)">
                  <c:v>-30975.098903810976</c:v>
                </c:pt>
                <c:pt idx="760" formatCode="_(&quot;$&quot;* #,##0.00_);_(&quot;$&quot;* \(#,##0.00\);_(&quot;$&quot;* &quot;-&quot;??_);_(@_)">
                  <c:v>-30912.414992187754</c:v>
                </c:pt>
                <c:pt idx="761" formatCode="_(&quot;$&quot;* #,##0.00_);_(&quot;$&quot;* \(#,##0.00\);_(&quot;$&quot;* &quot;-&quot;??_);_(@_)">
                  <c:v>-30818.12451055655</c:v>
                </c:pt>
                <c:pt idx="762" formatCode="_(&quot;$&quot;* #,##0.00_);_(&quot;$&quot;* \(#,##0.00\);_(&quot;$&quot;* &quot;-&quot;??_);_(@_)">
                  <c:v>-31089.175169520233</c:v>
                </c:pt>
                <c:pt idx="763" formatCode="_(&quot;$&quot;* #,##0.00_);_(&quot;$&quot;* \(#,##0.00\);_(&quot;$&quot;* &quot;-&quot;??_);_(@_)">
                  <c:v>-31017.515130727254</c:v>
                </c:pt>
                <c:pt idx="764" formatCode="_(&quot;$&quot;* #,##0.00_);_(&quot;$&quot;* \(#,##0.00\);_(&quot;$&quot;* &quot;-&quot;??_);_(@_)">
                  <c:v>-30855.601794050999</c:v>
                </c:pt>
                <c:pt idx="765" formatCode="_(&quot;$&quot;* #,##0.00_);_(&quot;$&quot;* \(#,##0.00\);_(&quot;$&quot;* &quot;-&quot;??_);_(@_)">
                  <c:v>-30985.415733993792</c:v>
                </c:pt>
                <c:pt idx="766" formatCode="_(&quot;$&quot;* #,##0.00_);_(&quot;$&quot;* \(#,##0.00\);_(&quot;$&quot;* &quot;-&quot;??_);_(@_)">
                  <c:v>-31038.819424221681</c:v>
                </c:pt>
                <c:pt idx="767" formatCode="_(&quot;$&quot;* #,##0.00_);_(&quot;$&quot;* \(#,##0.00\);_(&quot;$&quot;* &quot;-&quot;??_);_(@_)">
                  <c:v>-30876.585667908384</c:v>
                </c:pt>
                <c:pt idx="768" formatCode="_(&quot;$&quot;* #,##0.00_);_(&quot;$&quot;* \(#,##0.00\);_(&quot;$&quot;* &quot;-&quot;??_);_(@_)">
                  <c:v>-30999.842554601833</c:v>
                </c:pt>
                <c:pt idx="769" formatCode="_(&quot;$&quot;* #,##0.00_);_(&quot;$&quot;* \(#,##0.00\);_(&quot;$&quot;* &quot;-&quot;??_);_(@_)">
                  <c:v>-30898.431891241278</c:v>
                </c:pt>
                <c:pt idx="770" formatCode="_(&quot;$&quot;* #,##0.00_);_(&quot;$&quot;* \(#,##0.00\);_(&quot;$&quot;* &quot;-&quot;??_);_(@_)">
                  <c:v>-31051.221548405185</c:v>
                </c:pt>
                <c:pt idx="771" formatCode="_(&quot;$&quot;* #,##0.00_);_(&quot;$&quot;* \(#,##0.00\);_(&quot;$&quot;* &quot;-&quot;??_);_(@_)">
                  <c:v>-31192.932952220577</c:v>
                </c:pt>
                <c:pt idx="772" formatCode="_(&quot;$&quot;* #,##0.00_);_(&quot;$&quot;* \(#,##0.00\);_(&quot;$&quot;* &quot;-&quot;??_);_(@_)">
                  <c:v>-31163.609965889638</c:v>
                </c:pt>
                <c:pt idx="773" formatCode="_(&quot;$&quot;* #,##0.00_);_(&quot;$&quot;* \(#,##0.00\);_(&quot;$&quot;* &quot;-&quot;??_);_(@_)">
                  <c:v>-31380.482732526882</c:v>
                </c:pt>
                <c:pt idx="774" formatCode="_(&quot;$&quot;* #,##0.00_);_(&quot;$&quot;* \(#,##0.00\);_(&quot;$&quot;* &quot;-&quot;??_);_(@_)">
                  <c:v>-31446.632017408308</c:v>
                </c:pt>
                <c:pt idx="775" formatCode="_(&quot;$&quot;* #,##0.00_);_(&quot;$&quot;* \(#,##0.00\);_(&quot;$&quot;* &quot;-&quot;??_);_(@_)">
                  <c:v>-31356.821681353518</c:v>
                </c:pt>
                <c:pt idx="776" formatCode="_(&quot;$&quot;* #,##0.00_);_(&quot;$&quot;* \(#,##0.00\);_(&quot;$&quot;* &quot;-&quot;??_);_(@_)">
                  <c:v>-31573.90145259085</c:v>
                </c:pt>
                <c:pt idx="777" formatCode="_(&quot;$&quot;* #,##0.00_);_(&quot;$&quot;* \(#,##0.00\);_(&quot;$&quot;* &quot;-&quot;??_);_(@_)">
                  <c:v>-31870.376580258395</c:v>
                </c:pt>
                <c:pt idx="778" formatCode="_(&quot;$&quot;* #,##0.00_);_(&quot;$&quot;* \(#,##0.00\);_(&quot;$&quot;* &quot;-&quot;??_);_(@_)">
                  <c:v>-31957.017475826771</c:v>
                </c:pt>
                <c:pt idx="779" formatCode="_(&quot;$&quot;* #,##0.00_);_(&quot;$&quot;* \(#,##0.00\);_(&quot;$&quot;* &quot;-&quot;??_);_(@_)">
                  <c:v>-31871.195370952468</c:v>
                </c:pt>
                <c:pt idx="780" formatCode="_(&quot;$&quot;* #,##0.00_);_(&quot;$&quot;* \(#,##0.00\);_(&quot;$&quot;* &quot;-&quot;??_);_(@_)">
                  <c:v>-31842.857500255115</c:v>
                </c:pt>
                <c:pt idx="781" formatCode="_(&quot;$&quot;* #,##0.00_);_(&quot;$&quot;* \(#,##0.00\);_(&quot;$&quot;* &quot;-&quot;??_);_(@_)">
                  <c:v>-31987.627556975982</c:v>
                </c:pt>
                <c:pt idx="782" formatCode="_(&quot;$&quot;* #,##0.00_);_(&quot;$&quot;* \(#,##0.00\);_(&quot;$&quot;* &quot;-&quot;??_);_(@_)">
                  <c:v>-31957.809017784431</c:v>
                </c:pt>
                <c:pt idx="783" formatCode="_(&quot;$&quot;* #,##0.00_);_(&quot;$&quot;* \(#,##0.00\);_(&quot;$&quot;* &quot;-&quot;??_);_(@_)">
                  <c:v>-32053.936498458763</c:v>
                </c:pt>
                <c:pt idx="784" formatCode="_(&quot;$&quot;* #,##0.00_);_(&quot;$&quot;* \(#,##0.00\);_(&quot;$&quot;* &quot;-&quot;??_);_(@_)">
                  <c:v>-31970.959579288516</c:v>
                </c:pt>
                <c:pt idx="785" formatCode="_(&quot;$&quot;* #,##0.00_);_(&quot;$&quot;* \(#,##0.00\);_(&quot;$&quot;* &quot;-&quot;??_);_(@_)">
                  <c:v>-32084.624403349422</c:v>
                </c:pt>
                <c:pt idx="786" formatCode="_(&quot;$&quot;* #,##0.00_);_(&quot;$&quot;* \(#,##0.00\);_(&quot;$&quot;* &quot;-&quot;??_);_(@_)">
                  <c:v>-31993.119629477489</c:v>
                </c:pt>
                <c:pt idx="787" formatCode="_(&quot;$&quot;* #,##0.00_);_(&quot;$&quot;* \(#,##0.00\);_(&quot;$&quot;* &quot;-&quot;??_);_(@_)">
                  <c:v>-31828.323823646588</c:v>
                </c:pt>
                <c:pt idx="788" formatCode="_(&quot;$&quot;* #,##0.00_);_(&quot;$&quot;* \(#,##0.00\);_(&quot;$&quot;* &quot;-&quot;??_);_(@_)">
                  <c:v>-31906.407872535827</c:v>
                </c:pt>
                <c:pt idx="789" formatCode="_(&quot;$&quot;* #,##0.00_);_(&quot;$&quot;* \(#,##0.00\);_(&quot;$&quot;* &quot;-&quot;??_);_(@_)">
                  <c:v>-31768.319234194543</c:v>
                </c:pt>
                <c:pt idx="790" formatCode="_(&quot;$&quot;* #,##0.00_);_(&quot;$&quot;* \(#,##0.00\);_(&quot;$&quot;* &quot;-&quot;??_);_(@_)">
                  <c:v>-31959.913055293808</c:v>
                </c:pt>
                <c:pt idx="791" formatCode="_(&quot;$&quot;* #,##0.00_);_(&quot;$&quot;* \(#,##0.00\);_(&quot;$&quot;* &quot;-&quot;??_);_(@_)">
                  <c:v>-31748.499246985364</c:v>
                </c:pt>
                <c:pt idx="792" formatCode="_(&quot;$&quot;* #,##0.00_);_(&quot;$&quot;* \(#,##0.00\);_(&quot;$&quot;* &quot;-&quot;??_);_(@_)">
                  <c:v>-31770.469918295625</c:v>
                </c:pt>
                <c:pt idx="793" formatCode="_(&quot;$&quot;* #,##0.00_);_(&quot;$&quot;* \(#,##0.00\);_(&quot;$&quot;* &quot;-&quot;??_);_(@_)">
                  <c:v>-31762.667304628656</c:v>
                </c:pt>
                <c:pt idx="794" formatCode="_(&quot;$&quot;* #,##0.00_);_(&quot;$&quot;* \(#,##0.00\);_(&quot;$&quot;* &quot;-&quot;??_);_(@_)">
                  <c:v>-31773.950744334001</c:v>
                </c:pt>
                <c:pt idx="795" formatCode="_(&quot;$&quot;* #,##0.00_);_(&quot;$&quot;* \(#,##0.00\);_(&quot;$&quot;* &quot;-&quot;??_);_(@_)">
                  <c:v>-31911.899980176262</c:v>
                </c:pt>
                <c:pt idx="796" formatCode="_(&quot;$&quot;* #,##0.00_);_(&quot;$&quot;* \(#,##0.00\);_(&quot;$&quot;* &quot;-&quot;??_);_(@_)">
                  <c:v>-31962.065660671917</c:v>
                </c:pt>
                <c:pt idx="797" formatCode="_(&quot;$&quot;* #,##0.00_);_(&quot;$&quot;* \(#,##0.00\);_(&quot;$&quot;* &quot;-&quot;??_);_(@_)">
                  <c:v>-32130.299288584174</c:v>
                </c:pt>
                <c:pt idx="798" formatCode="_(&quot;$&quot;* #,##0.00_);_(&quot;$&quot;* \(#,##0.00\);_(&quot;$&quot;* &quot;-&quot;??_);_(@_)">
                  <c:v>-32199.968249698639</c:v>
                </c:pt>
                <c:pt idx="799" formatCode="_(&quot;$&quot;* #,##0.00_);_(&quot;$&quot;* \(#,##0.00\);_(&quot;$&quot;* &quot;-&quot;??_);_(@_)">
                  <c:v>-31987.436861888968</c:v>
                </c:pt>
                <c:pt idx="800" formatCode="_(&quot;$&quot;* #,##0.00_);_(&quot;$&quot;* \(#,##0.00\);_(&quot;$&quot;* &quot;-&quot;??_);_(@_)">
                  <c:v>-32065.143457306101</c:v>
                </c:pt>
                <c:pt idx="801" formatCode="_(&quot;$&quot;* #,##0.00_);_(&quot;$&quot;* \(#,##0.00\);_(&quot;$&quot;* &quot;-&quot;??_);_(@_)">
                  <c:v>-32061.822560786241</c:v>
                </c:pt>
                <c:pt idx="802" formatCode="_(&quot;$&quot;* #,##0.00_);_(&quot;$&quot;* \(#,##0.00\);_(&quot;$&quot;* &quot;-&quot;??_);_(@_)">
                  <c:v>-32138.519796336455</c:v>
                </c:pt>
                <c:pt idx="803" formatCode="_(&quot;$&quot;* #,##0.00_);_(&quot;$&quot;* \(#,##0.00\);_(&quot;$&quot;* &quot;-&quot;??_);_(@_)">
                  <c:v>-32151.362368288334</c:v>
                </c:pt>
                <c:pt idx="804" formatCode="_(&quot;$&quot;* #,##0.00_);_(&quot;$&quot;* \(#,##0.00\);_(&quot;$&quot;* &quot;-&quot;??_);_(@_)">
                  <c:v>-32138.449577143947</c:v>
                </c:pt>
                <c:pt idx="805" formatCode="_(&quot;$&quot;* #,##0.00_);_(&quot;$&quot;* \(#,##0.00\);_(&quot;$&quot;* &quot;-&quot;??_);_(@_)">
                  <c:v>-32151.27403244629</c:v>
                </c:pt>
                <c:pt idx="806" formatCode="_(&quot;$&quot;* #,##0.00_);_(&quot;$&quot;* \(#,##0.00\);_(&quot;$&quot;* &quot;-&quot;??_);_(@_)">
                  <c:v>-32089.958829827294</c:v>
                </c:pt>
                <c:pt idx="807" formatCode="_(&quot;$&quot;* #,##0.00_);_(&quot;$&quot;* \(#,##0.00\);_(&quot;$&quot;* &quot;-&quot;??_);_(@_)">
                  <c:v>-32163.818250104392</c:v>
                </c:pt>
                <c:pt idx="808" formatCode="_(&quot;$&quot;* #,##0.00_);_(&quot;$&quot;* \(#,##0.00\);_(&quot;$&quot;* &quot;-&quot;??_);_(@_)">
                  <c:v>-32207.129499660292</c:v>
                </c:pt>
                <c:pt idx="809" formatCode="_(&quot;$&quot;* #,##0.00_);_(&quot;$&quot;* \(#,##0.00\);_(&quot;$&quot;* &quot;-&quot;??_);_(@_)">
                  <c:v>-32446.449619351493</c:v>
                </c:pt>
                <c:pt idx="810" formatCode="_(&quot;$&quot;* #,##0.00_);_(&quot;$&quot;* \(#,##0.00\);_(&quot;$&quot;* &quot;-&quot;??_);_(@_)">
                  <c:v>-32370.175868287137</c:v>
                </c:pt>
                <c:pt idx="811" formatCode="_(&quot;$&quot;* #,##0.00_);_(&quot;$&quot;* \(#,##0.00\);_(&quot;$&quot;* &quot;-&quot;??_);_(@_)">
                  <c:v>-32435.966020838187</c:v>
                </c:pt>
                <c:pt idx="812" formatCode="_(&quot;$&quot;* #,##0.00_);_(&quot;$&quot;* \(#,##0.00\);_(&quot;$&quot;* &quot;-&quot;??_);_(@_)">
                  <c:v>-32575.052023194428</c:v>
                </c:pt>
                <c:pt idx="813" formatCode="_(&quot;$&quot;* #,##0.00_);_(&quot;$&quot;* \(#,##0.00\);_(&quot;$&quot;* &quot;-&quot;??_);_(@_)">
                  <c:v>-32414.129662261428</c:v>
                </c:pt>
                <c:pt idx="814" formatCode="_(&quot;$&quot;* #,##0.00_);_(&quot;$&quot;* \(#,##0.00\);_(&quot;$&quot;* &quot;-&quot;??_);_(@_)">
                  <c:v>-32550.372115625818</c:v>
                </c:pt>
                <c:pt idx="815" formatCode="_(&quot;$&quot;* #,##0.00_);_(&quot;$&quot;* \(#,##0.00\);_(&quot;$&quot;* &quot;-&quot;??_);_(@_)">
                  <c:v>-32667.828057512445</c:v>
                </c:pt>
                <c:pt idx="816" formatCode="_(&quot;$&quot;* #,##0.00_);_(&quot;$&quot;* \(#,##0.00\);_(&quot;$&quot;* &quot;-&quot;??_);_(@_)">
                  <c:v>-32908.478684729431</c:v>
                </c:pt>
                <c:pt idx="817" formatCode="_(&quot;$&quot;* #,##0.00_);_(&quot;$&quot;* \(#,##0.00\);_(&quot;$&quot;* &quot;-&quot;??_);_(@_)">
                  <c:v>-32506.98235921673</c:v>
                </c:pt>
                <c:pt idx="818" formatCode="_(&quot;$&quot;* #,##0.00_);_(&quot;$&quot;* \(#,##0.00\);_(&quot;$&quot;* &quot;-&quot;??_);_(@_)">
                  <c:v>-32644.566587770179</c:v>
                </c:pt>
                <c:pt idx="819" formatCode="_(&quot;$&quot;* #,##0.00_);_(&quot;$&quot;* \(#,##0.00\);_(&quot;$&quot;* &quot;-&quot;??_);_(@_)">
                  <c:v>-33005.312429102953</c:v>
                </c:pt>
                <c:pt idx="820" formatCode="_(&quot;$&quot;* #,##0.00_);_(&quot;$&quot;* \(#,##0.00\);_(&quot;$&quot;* &quot;-&quot;??_);_(@_)">
                  <c:v>-33080.755881588004</c:v>
                </c:pt>
                <c:pt idx="821" formatCode="_(&quot;$&quot;* #,##0.00_);_(&quot;$&quot;* \(#,##0.00\);_(&quot;$&quot;* &quot;-&quot;??_);_(@_)">
                  <c:v>-33260.214257604959</c:v>
                </c:pt>
                <c:pt idx="822" formatCode="_(&quot;$&quot;* #,##0.00_);_(&quot;$&quot;* \(#,##0.00\);_(&quot;$&quot;* &quot;-&quot;??_);_(@_)">
                  <c:v>-33326.73883440216</c:v>
                </c:pt>
                <c:pt idx="823" formatCode="_(&quot;$&quot;* #,##0.00_);_(&quot;$&quot;* \(#,##0.00\);_(&quot;$&quot;* &quot;-&quot;??_);_(@_)">
                  <c:v>-33197.774004363193</c:v>
                </c:pt>
                <c:pt idx="824" formatCode="_(&quot;$&quot;* #,##0.00_);_(&quot;$&quot;* \(#,##0.00\);_(&quot;$&quot;* &quot;-&quot;??_);_(@_)">
                  <c:v>-33324.873459635477</c:v>
                </c:pt>
                <c:pt idx="825" formatCode="_(&quot;$&quot;* #,##0.00_);_(&quot;$&quot;* \(#,##0.00\);_(&quot;$&quot;* &quot;-&quot;??_);_(@_)">
                  <c:v>-33274.229820458844</c:v>
                </c:pt>
                <c:pt idx="826" formatCode="_(&quot;$&quot;* #,##0.00_);_(&quot;$&quot;* \(#,##0.00\);_(&quot;$&quot;* &quot;-&quot;??_);_(@_)">
                  <c:v>-33317.382224871551</c:v>
                </c:pt>
                <c:pt idx="827" formatCode="_(&quot;$&quot;* #,##0.00_);_(&quot;$&quot;* \(#,##0.00\);_(&quot;$&quot;* &quot;-&quot;??_);_(@_)">
                  <c:v>-33231.234444144116</c:v>
                </c:pt>
                <c:pt idx="828" formatCode="_(&quot;$&quot;* #,##0.00_);_(&quot;$&quot;* \(#,##0.00\);_(&quot;$&quot;* &quot;-&quot;??_);_(@_)">
                  <c:v>-33223.713894241504</c:v>
                </c:pt>
                <c:pt idx="829" formatCode="_(&quot;$&quot;* #,##0.00_);_(&quot;$&quot;* \(#,##0.00\);_(&quot;$&quot;* &quot;-&quot;??_);_(@_)">
                  <c:v>-33244.977376452327</c:v>
                </c:pt>
                <c:pt idx="830" formatCode="_(&quot;$&quot;* #,##0.00_);_(&quot;$&quot;* \(#,##0.00\);_(&quot;$&quot;* &quot;-&quot;??_);_(@_)">
                  <c:v>-33092.554171369789</c:v>
                </c:pt>
                <c:pt idx="831" formatCode="_(&quot;$&quot;* #,##0.00_);_(&quot;$&quot;* \(#,##0.00\);_(&quot;$&quot;* &quot;-&quot;??_);_(@_)">
                  <c:v>-33114.765094932547</c:v>
                </c:pt>
                <c:pt idx="832" formatCode="_(&quot;$&quot;* #,##0.00_);_(&quot;$&quot;* \(#,##0.00\);_(&quot;$&quot;* &quot;-&quot;??_);_(@_)">
                  <c:v>-33266.722804636069</c:v>
                </c:pt>
                <c:pt idx="833" formatCode="_(&quot;$&quot;* #,##0.00_);_(&quot;$&quot;* \(#,##0.00\);_(&quot;$&quot;* &quot;-&quot;??_);_(@_)">
                  <c:v>-33134.665057680497</c:v>
                </c:pt>
                <c:pt idx="834" formatCode="_(&quot;$&quot;* #,##0.00_);_(&quot;$&quot;* \(#,##0.00\);_(&quot;$&quot;* &quot;-&quot;??_);_(@_)">
                  <c:v>-32312.034935617037</c:v>
                </c:pt>
                <c:pt idx="835" formatCode="_(&quot;$&quot;* #,##0.00_);_(&quot;$&quot;* \(#,##0.00\);_(&quot;$&quot;* &quot;-&quot;??_);_(@_)">
                  <c:v>-33207.728886293073</c:v>
                </c:pt>
                <c:pt idx="836" formatCode="_(&quot;$&quot;* #,##0.00_);_(&quot;$&quot;* \(#,##0.00\);_(&quot;$&quot;* &quot;-&quot;??_);_(@_)">
                  <c:v>-33420.581724760603</c:v>
                </c:pt>
                <c:pt idx="837" formatCode="_(&quot;$&quot;* #,##0.00_);_(&quot;$&quot;* \(#,##0.00\);_(&quot;$&quot;* &quot;-&quot;??_);_(@_)">
                  <c:v>-33646.979210129139</c:v>
                </c:pt>
                <c:pt idx="838" formatCode="_(&quot;$&quot;* #,##0.00_);_(&quot;$&quot;* \(#,##0.00\);_(&quot;$&quot;* &quot;-&quot;??_);_(@_)">
                  <c:v>-33624.317891185688</c:v>
                </c:pt>
                <c:pt idx="839" formatCode="_(&quot;$&quot;* #,##0.00_);_(&quot;$&quot;* \(#,##0.00\);_(&quot;$&quot;* &quot;-&quot;??_);_(@_)">
                  <c:v>-33526.587648526736</c:v>
                </c:pt>
                <c:pt idx="840" formatCode="_(&quot;$&quot;* #,##0.00_);_(&quot;$&quot;* \(#,##0.00\);_(&quot;$&quot;* &quot;-&quot;??_);_(@_)">
                  <c:v>-33959.063318068431</c:v>
                </c:pt>
                <c:pt idx="841" formatCode="_(&quot;$&quot;* #,##0.00_);_(&quot;$&quot;* \(#,##0.00\);_(&quot;$&quot;* &quot;-&quot;??_);_(@_)">
                  <c:v>-34253.393691581681</c:v>
                </c:pt>
                <c:pt idx="842" formatCode="_(&quot;$&quot;* #,##0.00_);_(&quot;$&quot;* \(#,##0.00\);_(&quot;$&quot;* &quot;-&quot;??_);_(@_)">
                  <c:v>-34454.242985664401</c:v>
                </c:pt>
                <c:pt idx="843" formatCode="_(&quot;$&quot;* #,##0.00_);_(&quot;$&quot;* \(#,##0.00\);_(&quot;$&quot;* &quot;-&quot;??_);_(@_)">
                  <c:v>-34509.635833162414</c:v>
                </c:pt>
                <c:pt idx="844" formatCode="_(&quot;$&quot;* #,##0.00_);_(&quot;$&quot;* \(#,##0.00\);_(&quot;$&quot;* &quot;-&quot;??_);_(@_)">
                  <c:v>-34535.573085399352</c:v>
                </c:pt>
                <c:pt idx="845" formatCode="_(&quot;$&quot;* #,##0.00_);_(&quot;$&quot;* \(#,##0.00\);_(&quot;$&quot;* &quot;-&quot;??_);_(@_)">
                  <c:v>-34521.924715386798</c:v>
                </c:pt>
                <c:pt idx="846" formatCode="_(&quot;$&quot;* #,##0.00_);_(&quot;$&quot;* \(#,##0.00\);_(&quot;$&quot;* &quot;-&quot;??_);_(@_)">
                  <c:v>-34446.916965940567</c:v>
                </c:pt>
                <c:pt idx="847" formatCode="_(&quot;$&quot;* #,##0.00_);_(&quot;$&quot;* \(#,##0.00\);_(&quot;$&quot;* &quot;-&quot;??_);_(@_)">
                  <c:v>-34864.659136590613</c:v>
                </c:pt>
                <c:pt idx="848" formatCode="_(&quot;$&quot;* #,##0.00_);_(&quot;$&quot;* \(#,##0.00\);_(&quot;$&quot;* &quot;-&quot;??_);_(@_)">
                  <c:v>-35127.54097355374</c:v>
                </c:pt>
                <c:pt idx="849" formatCode="_(&quot;$&quot;* #,##0.00_);_(&quot;$&quot;* \(#,##0.00\);_(&quot;$&quot;* &quot;-&quot;??_);_(@_)">
                  <c:v>-35126.448977709842</c:v>
                </c:pt>
                <c:pt idx="850" formatCode="_(&quot;$&quot;* #,##0.00_);_(&quot;$&quot;* \(#,##0.00\);_(&quot;$&quot;* &quot;-&quot;??_);_(@_)">
                  <c:v>-35244.005888414395</c:v>
                </c:pt>
                <c:pt idx="851" formatCode="_(&quot;$&quot;* #,##0.00_);_(&quot;$&quot;* \(#,##0.00\);_(&quot;$&quot;* &quot;-&quot;??_);_(@_)">
                  <c:v>-35287.317636401363</c:v>
                </c:pt>
                <c:pt idx="852" formatCode="_(&quot;$&quot;* #,##0.00_);_(&quot;$&quot;* \(#,##0.00\);_(&quot;$&quot;* &quot;-&quot;??_);_(@_)">
                  <c:v>-35280.485083906249</c:v>
                </c:pt>
                <c:pt idx="853" formatCode="_(&quot;$&quot;* #,##0.00_);_(&quot;$&quot;* \(#,##0.00\);_(&quot;$&quot;* &quot;-&quot;??_);_(@_)">
                  <c:v>-35141.258373806282</c:v>
                </c:pt>
                <c:pt idx="854" formatCode="_(&quot;$&quot;* #,##0.00_);_(&quot;$&quot;* \(#,##0.00\);_(&quot;$&quot;* &quot;-&quot;??_);_(@_)">
                  <c:v>-35346.690597137072</c:v>
                </c:pt>
                <c:pt idx="855" formatCode="_(&quot;$&quot;* #,##0.00_);_(&quot;$&quot;* \(#,##0.00\);_(&quot;$&quot;* &quot;-&quot;??_);_(@_)">
                  <c:v>-35264.310090913525</c:v>
                </c:pt>
                <c:pt idx="856" formatCode="_(&quot;$&quot;* #,##0.00_);_(&quot;$&quot;* \(#,##0.00\);_(&quot;$&quot;* &quot;-&quot;??_);_(@_)">
                  <c:v>-35450.383955886493</c:v>
                </c:pt>
                <c:pt idx="857" formatCode="_(&quot;$&quot;* #,##0.00_);_(&quot;$&quot;* \(#,##0.00\);_(&quot;$&quot;* &quot;-&quot;??_);_(@_)">
                  <c:v>-35481.5822785774</c:v>
                </c:pt>
                <c:pt idx="858" formatCode="_(&quot;$&quot;* #,##0.00_);_(&quot;$&quot;* \(#,##0.00\);_(&quot;$&quot;* &quot;-&quot;??_);_(@_)">
                  <c:v>-35585.63171691983</c:v>
                </c:pt>
                <c:pt idx="859" formatCode="_(&quot;$&quot;* #,##0.00_);_(&quot;$&quot;* \(#,##0.00\);_(&quot;$&quot;* &quot;-&quot;??_);_(@_)">
                  <c:v>-35581.265990854787</c:v>
                </c:pt>
                <c:pt idx="860" formatCode="_(&quot;$&quot;* #,##0.00_);_(&quot;$&quot;* \(#,##0.00\);_(&quot;$&quot;* &quot;-&quot;??_);_(@_)">
                  <c:v>-35589.440111962584</c:v>
                </c:pt>
                <c:pt idx="861" formatCode="_(&quot;$&quot;* #,##0.00_);_(&quot;$&quot;* \(#,##0.00\);_(&quot;$&quot;* &quot;-&quot;??_);_(@_)">
                  <c:v>-35633.218239239141</c:v>
                </c:pt>
                <c:pt idx="862" formatCode="_(&quot;$&quot;* #,##0.00_);_(&quot;$&quot;* \(#,##0.00\);_(&quot;$&quot;* &quot;-&quot;??_);_(@_)">
                  <c:v>-35573.114654779762</c:v>
                </c:pt>
                <c:pt idx="863" formatCode="_(&quot;$&quot;* #,##0.00_);_(&quot;$&quot;* \(#,##0.00\);_(&quot;$&quot;* &quot;-&quot;??_);_(@_)">
                  <c:v>-35883.64556375541</c:v>
                </c:pt>
                <c:pt idx="864" formatCode="_(&quot;$&quot;* #,##0.00_);_(&quot;$&quot;* \(#,##0.00\);_(&quot;$&quot;* &quot;-&quot;??_);_(@_)">
                  <c:v>-35950.391018426999</c:v>
                </c:pt>
                <c:pt idx="865" formatCode="_(&quot;$&quot;* #,##0.00_);_(&quot;$&quot;* \(#,##0.00\);_(&quot;$&quot;* &quot;-&quot;??_);_(@_)">
                  <c:v>-35978.064481672664</c:v>
                </c:pt>
                <c:pt idx="866" formatCode="_(&quot;$&quot;* #,##0.00_);_(&quot;$&quot;* \(#,##0.00\);_(&quot;$&quot;* &quot;-&quot;??_);_(@_)">
                  <c:v>-36070.954031109453</c:v>
                </c:pt>
                <c:pt idx="867" formatCode="_(&quot;$&quot;* #,##0.00_);_(&quot;$&quot;* \(#,##0.00\);_(&quot;$&quot;* &quot;-&quot;??_);_(@_)">
                  <c:v>-36049.116368644813</c:v>
                </c:pt>
                <c:pt idx="868" formatCode="_(&quot;$&quot;* #,##0.00_);_(&quot;$&quot;* \(#,##0.00\);_(&quot;$&quot;* &quot;-&quot;??_);_(@_)">
                  <c:v>-36023.287944581418</c:v>
                </c:pt>
                <c:pt idx="869" formatCode="_(&quot;$&quot;* #,##0.00_);_(&quot;$&quot;* \(#,##0.00\);_(&quot;$&quot;* &quot;-&quot;??_);_(@_)">
                  <c:v>-35959.104021707535</c:v>
                </c:pt>
                <c:pt idx="870" formatCode="_(&quot;$&quot;* #,##0.00_);_(&quot;$&quot;* \(#,##0.00\);_(&quot;$&quot;* &quot;-&quot;??_);_(@_)">
                  <c:v>-36048.978445498353</c:v>
                </c:pt>
                <c:pt idx="871" formatCode="_(&quot;$&quot;* #,##0.00_);_(&quot;$&quot;* \(#,##0.00\);_(&quot;$&quot;* &quot;-&quot;??_);_(@_)">
                  <c:v>-36223.499528914937</c:v>
                </c:pt>
                <c:pt idx="872" formatCode="_(&quot;$&quot;* #,##0.00_);_(&quot;$&quot;* \(#,##0.00\);_(&quot;$&quot;* &quot;-&quot;??_);_(@_)">
                  <c:v>-36269.239952013857</c:v>
                </c:pt>
                <c:pt idx="873" formatCode="_(&quot;$&quot;* #,##0.00_);_(&quot;$&quot;* \(#,##0.00\);_(&quot;$&quot;* &quot;-&quot;??_);_(@_)">
                  <c:v>-36259.239656005091</c:v>
                </c:pt>
                <c:pt idx="874" formatCode="_(&quot;$&quot;* #,##0.00_);_(&quot;$&quot;* \(#,##0.00\);_(&quot;$&quot;* &quot;-&quot;??_);_(@_)">
                  <c:v>-36163.922729867001</c:v>
                </c:pt>
                <c:pt idx="875" formatCode="_(&quot;$&quot;* #,##0.00_);_(&quot;$&quot;* \(#,##0.00\);_(&quot;$&quot;* &quot;-&quot;??_);_(@_)">
                  <c:v>-36229.547500967543</c:v>
                </c:pt>
                <c:pt idx="876" formatCode="_(&quot;$&quot;* #,##0.00_);_(&quot;$&quot;* \(#,##0.00\);_(&quot;$&quot;* &quot;-&quot;??_);_(@_)">
                  <c:v>-36279.864232274304</c:v>
                </c:pt>
                <c:pt idx="877" formatCode="_(&quot;$&quot;* #,##0.00_);_(&quot;$&quot;* \(#,##0.00\);_(&quot;$&quot;* &quot;-&quot;??_);_(@_)">
                  <c:v>-36181.261667977684</c:v>
                </c:pt>
                <c:pt idx="878" formatCode="_(&quot;$&quot;* #,##0.00_);_(&quot;$&quot;* \(#,##0.00\);_(&quot;$&quot;* &quot;-&quot;??_);_(@_)">
                  <c:v>-36264.385055653482</c:v>
                </c:pt>
                <c:pt idx="879" formatCode="_(&quot;$&quot;* #,##0.00_);_(&quot;$&quot;* \(#,##0.00\);_(&quot;$&quot;* &quot;-&quot;??_);_(@_)">
                  <c:v>-36274.726734537762</c:v>
                </c:pt>
                <c:pt idx="880" formatCode="_(&quot;$&quot;* #,##0.00_);_(&quot;$&quot;* \(#,##0.00\);_(&quot;$&quot;* &quot;-&quot;??_);_(@_)">
                  <c:v>-36016.093742155594</c:v>
                </c:pt>
                <c:pt idx="881" formatCode="_(&quot;$&quot;* #,##0.00_);_(&quot;$&quot;* \(#,##0.00\);_(&quot;$&quot;* &quot;-&quot;??_);_(@_)">
                  <c:v>-36008.425722460808</c:v>
                </c:pt>
                <c:pt idx="882" formatCode="_(&quot;$&quot;* #,##0.00_);_(&quot;$&quot;* \(#,##0.00\);_(&quot;$&quot;* &quot;-&quot;??_);_(@_)">
                  <c:v>-36047.716794803979</c:v>
                </c:pt>
                <c:pt idx="883" formatCode="_(&quot;$&quot;* #,##0.00_);_(&quot;$&quot;* \(#,##0.00\);_(&quot;$&quot;* &quot;-&quot;??_);_(@_)">
                  <c:v>-36121.560328785577</c:v>
                </c:pt>
                <c:pt idx="884" formatCode="_(&quot;$&quot;* #,##0.00_);_(&quot;$&quot;* \(#,##0.00\);_(&quot;$&quot;* &quot;-&quot;??_);_(@_)">
                  <c:v>-36194.031415183315</c:v>
                </c:pt>
                <c:pt idx="885" formatCode="_(&quot;$&quot;* #,##0.00_);_(&quot;$&quot;* \(#,##0.00\);_(&quot;$&quot;* &quot;-&quot;??_);_(@_)">
                  <c:v>-36018.427805288076</c:v>
                </c:pt>
                <c:pt idx="886" formatCode="_(&quot;$&quot;* #,##0.00_);_(&quot;$&quot;* \(#,##0.00\);_(&quot;$&quot;* &quot;-&quot;??_);_(@_)">
                  <c:v>-36206.565452939401</c:v>
                </c:pt>
                <c:pt idx="887" formatCode="_(&quot;$&quot;* #,##0.00_);_(&quot;$&quot;* \(#,##0.00\);_(&quot;$&quot;* &quot;-&quot;??_);_(@_)">
                  <c:v>-36011.377189072839</c:v>
                </c:pt>
                <c:pt idx="888" formatCode="_(&quot;$&quot;* #,##0.00_);_(&quot;$&quot;* \(#,##0.00\);_(&quot;$&quot;* &quot;-&quot;??_);_(@_)">
                  <c:v>-36061.901804697998</c:v>
                </c:pt>
                <c:pt idx="889" formatCode="_(&quot;$&quot;* #,##0.00_);_(&quot;$&quot;* \(#,##0.00\);_(&quot;$&quot;* &quot;-&quot;??_);_(@_)">
                  <c:v>-36126.630386078621</c:v>
                </c:pt>
                <c:pt idx="890" formatCode="_(&quot;$&quot;* #,##0.00_);_(&quot;$&quot;* \(#,##0.00\);_(&quot;$&quot;* &quot;-&quot;??_);_(@_)">
                  <c:v>-36172.483260008405</c:v>
                </c:pt>
                <c:pt idx="891" formatCode="_(&quot;$&quot;* #,##0.00_);_(&quot;$&quot;* \(#,##0.00\);_(&quot;$&quot;* &quot;-&quot;??_);_(@_)">
                  <c:v>-36208.65401714496</c:v>
                </c:pt>
                <c:pt idx="892" formatCode="_(&quot;$&quot;* #,##0.00_);_(&quot;$&quot;* \(#,##0.00\);_(&quot;$&quot;* &quot;-&quot;??_);_(@_)">
                  <c:v>-36375.574683580729</c:v>
                </c:pt>
                <c:pt idx="893" formatCode="_(&quot;$&quot;* #,##0.00_);_(&quot;$&quot;* \(#,##0.00\);_(&quot;$&quot;* &quot;-&quot;??_);_(@_)">
                  <c:v>-36292.87881973265</c:v>
                </c:pt>
                <c:pt idx="894" formatCode="_(&quot;$&quot;* #,##0.00_);_(&quot;$&quot;* \(#,##0.00\);_(&quot;$&quot;* &quot;-&quot;??_);_(@_)">
                  <c:v>-36553.345737569485</c:v>
                </c:pt>
                <c:pt idx="895" formatCode="_(&quot;$&quot;* #,##0.00_);_(&quot;$&quot;* \(#,##0.00\);_(&quot;$&quot;* &quot;-&quot;??_);_(@_)">
                  <c:v>-36501.558713177481</c:v>
                </c:pt>
                <c:pt idx="896" formatCode="_(&quot;$&quot;* #,##0.00_);_(&quot;$&quot;* \(#,##0.00\);_(&quot;$&quot;* &quot;-&quot;??_);_(@_)">
                  <c:v>-36465.863023999525</c:v>
                </c:pt>
                <c:pt idx="897" formatCode="_(&quot;$&quot;* #,##0.00_);_(&quot;$&quot;* \(#,##0.00\);_(&quot;$&quot;* &quot;-&quot;??_);_(@_)">
                  <c:v>-36495.605635830776</c:v>
                </c:pt>
                <c:pt idx="898" formatCode="_(&quot;$&quot;* #,##0.00_);_(&quot;$&quot;* \(#,##0.00\);_(&quot;$&quot;* &quot;-&quot;??_);_(@_)">
                  <c:v>-36575.904509011722</c:v>
                </c:pt>
                <c:pt idx="899" formatCode="_(&quot;$&quot;* #,##0.00_);_(&quot;$&quot;* \(#,##0.00\);_(&quot;$&quot;* &quot;-&quot;??_);_(@_)">
                  <c:v>-36735.002550241203</c:v>
                </c:pt>
                <c:pt idx="900" formatCode="_(&quot;$&quot;* #,##0.00_);_(&quot;$&quot;* \(#,##0.00\);_(&quot;$&quot;* &quot;-&quot;??_);_(@_)">
                  <c:v>-36891.623935326839</c:v>
                </c:pt>
                <c:pt idx="901" formatCode="_(&quot;$&quot;* #,##0.00_);_(&quot;$&quot;* \(#,##0.00\);_(&quot;$&quot;* &quot;-&quot;??_);_(@_)">
                  <c:v>-36900.85832477767</c:v>
                </c:pt>
                <c:pt idx="902" formatCode="_(&quot;$&quot;* #,##0.00_);_(&quot;$&quot;* \(#,##0.00\);_(&quot;$&quot;* &quot;-&quot;??_);_(@_)">
                  <c:v>-37055.389082567148</c:v>
                </c:pt>
                <c:pt idx="903" formatCode="_(&quot;$&quot;* #,##0.00_);_(&quot;$&quot;* \(#,##0.00\);_(&quot;$&quot;* &quot;-&quot;??_);_(@_)">
                  <c:v>-37262.919943322311</c:v>
                </c:pt>
                <c:pt idx="904" formatCode="_(&quot;$&quot;* #,##0.00_);_(&quot;$&quot;* \(#,##0.00\);_(&quot;$&quot;* &quot;-&quot;??_);_(@_)">
                  <c:v>-37392.307865790586</c:v>
                </c:pt>
                <c:pt idx="905" formatCode="_(&quot;$&quot;* #,##0.00_);_(&quot;$&quot;* \(#,##0.00\);_(&quot;$&quot;* &quot;-&quot;??_);_(@_)">
                  <c:v>-37344.849838099653</c:v>
                </c:pt>
                <c:pt idx="906" formatCode="_(&quot;$&quot;* #,##0.00_);_(&quot;$&quot;* \(#,##0.00\);_(&quot;$&quot;* &quot;-&quot;??_);_(@_)">
                  <c:v>-37519.691439087263</c:v>
                </c:pt>
                <c:pt idx="907" formatCode="_(&quot;$&quot;* #,##0.00_);_(&quot;$&quot;* \(#,##0.00\);_(&quot;$&quot;* &quot;-&quot;??_);_(@_)">
                  <c:v>-37563.758417950121</c:v>
                </c:pt>
                <c:pt idx="908" formatCode="_(&quot;$&quot;* #,##0.00_);_(&quot;$&quot;* \(#,##0.00\);_(&quot;$&quot;* &quot;-&quot;??_);_(@_)">
                  <c:v>-37414.006369695759</c:v>
                </c:pt>
                <c:pt idx="909" formatCode="_(&quot;$&quot;* #,##0.00_);_(&quot;$&quot;* \(#,##0.00\);_(&quot;$&quot;* &quot;-&quot;??_);_(@_)">
                  <c:v>-37260.714524382689</c:v>
                </c:pt>
                <c:pt idx="910" formatCode="_(&quot;$&quot;* #,##0.00_);_(&quot;$&quot;* \(#,##0.00\);_(&quot;$&quot;* &quot;-&quot;??_);_(@_)">
                  <c:v>-37350.723906865591</c:v>
                </c:pt>
                <c:pt idx="911" formatCode="_(&quot;$&quot;* #,##0.00_);_(&quot;$&quot;* \(#,##0.00\);_(&quot;$&quot;* &quot;-&quot;??_);_(@_)">
                  <c:v>-37307.198520128914</c:v>
                </c:pt>
                <c:pt idx="912" formatCode="_(&quot;$&quot;* #,##0.00_);_(&quot;$&quot;* \(#,##0.00\);_(&quot;$&quot;* &quot;-&quot;??_);_(@_)">
                  <c:v>-37521.342226982611</c:v>
                </c:pt>
                <c:pt idx="913" formatCode="_(&quot;$&quot;* #,##0.00_);_(&quot;$&quot;* \(#,##0.00\);_(&quot;$&quot;* &quot;-&quot;??_);_(@_)">
                  <c:v>-37416.06474323845</c:v>
                </c:pt>
                <c:pt idx="914" formatCode="_(&quot;$&quot;* #,##0.00_);_(&quot;$&quot;* \(#,##0.00\);_(&quot;$&quot;* &quot;-&quot;??_);_(@_)">
                  <c:v>-37402.163302610134</c:v>
                </c:pt>
                <c:pt idx="915" formatCode="_(&quot;$&quot;* #,##0.00_);_(&quot;$&quot;* \(#,##0.00\);_(&quot;$&quot;* &quot;-&quot;??_);_(@_)">
                  <c:v>-37336.864042902569</c:v>
                </c:pt>
                <c:pt idx="916" formatCode="_(&quot;$&quot;* #,##0.00_);_(&quot;$&quot;* \(#,##0.00\);_(&quot;$&quot;* &quot;-&quot;??_);_(@_)">
                  <c:v>-37261.086167833266</c:v>
                </c:pt>
                <c:pt idx="917" formatCode="_(&quot;$&quot;* #,##0.00_);_(&quot;$&quot;* \(#,##0.00\);_(&quot;$&quot;* &quot;-&quot;??_);_(@_)">
                  <c:v>-37521.205308995341</c:v>
                </c:pt>
                <c:pt idx="918" formatCode="_(&quot;$&quot;* #,##0.00_);_(&quot;$&quot;* \(#,##0.00\);_(&quot;$&quot;* &quot;-&quot;??_);_(@_)">
                  <c:v>-37027.127460252465</c:v>
                </c:pt>
                <c:pt idx="919" formatCode="_(&quot;$&quot;* #,##0.00_);_(&quot;$&quot;* \(#,##0.00\);_(&quot;$&quot;* &quot;-&quot;??_);_(@_)">
                  <c:v>-37225.635826874539</c:v>
                </c:pt>
                <c:pt idx="920" formatCode="_(&quot;$&quot;* #,##0.00_);_(&quot;$&quot;* \(#,##0.00\);_(&quot;$&quot;* &quot;-&quot;??_);_(@_)">
                  <c:v>-36944.902875847452</c:v>
                </c:pt>
                <c:pt idx="921" formatCode="_(&quot;$&quot;* #,##0.00_);_(&quot;$&quot;* \(#,##0.00\);_(&quot;$&quot;* &quot;-&quot;??_);_(@_)">
                  <c:v>-37541.63590891019</c:v>
                </c:pt>
                <c:pt idx="922" formatCode="_(&quot;$&quot;* #,##0.00_);_(&quot;$&quot;* \(#,##0.00\);_(&quot;$&quot;* &quot;-&quot;??_);_(@_)">
                  <c:v>-38572.179474068536</c:v>
                </c:pt>
                <c:pt idx="923" formatCode="_(&quot;$&quot;* #,##0.00_);_(&quot;$&quot;* \(#,##0.00\);_(&quot;$&quot;* &quot;-&quot;??_);_(@_)">
                  <c:v>-39225.918984722251</c:v>
                </c:pt>
                <c:pt idx="924" formatCode="_(&quot;$&quot;* #,##0.00_);_(&quot;$&quot;* \(#,##0.00\);_(&quot;$&quot;* &quot;-&quot;??_);_(@_)">
                  <c:v>-39410.903504846094</c:v>
                </c:pt>
                <c:pt idx="925" formatCode="_(&quot;$&quot;* #,##0.00_);_(&quot;$&quot;* \(#,##0.00\);_(&quot;$&quot;* &quot;-&quot;??_);_(@_)">
                  <c:v>-39363.626295243303</c:v>
                </c:pt>
                <c:pt idx="926" formatCode="_(&quot;$&quot;* #,##0.00_);_(&quot;$&quot;* \(#,##0.00\);_(&quot;$&quot;* &quot;-&quot;??_);_(@_)">
                  <c:v>-39269.095757269482</c:v>
                </c:pt>
                <c:pt idx="927" formatCode="_(&quot;$&quot;* #,##0.00_);_(&quot;$&quot;* \(#,##0.00\);_(&quot;$&quot;* &quot;-&quot;??_);_(@_)">
                  <c:v>-39486.148597679807</c:v>
                </c:pt>
                <c:pt idx="928" formatCode="_(&quot;$&quot;* #,##0.00_);_(&quot;$&quot;* \(#,##0.00\);_(&quot;$&quot;* &quot;-&quot;??_);_(@_)">
                  <c:v>-39232.719251507879</c:v>
                </c:pt>
                <c:pt idx="929" formatCode="_(&quot;$&quot;* #,##0.00_);_(&quot;$&quot;* \(#,##0.00\);_(&quot;$&quot;* &quot;-&quot;??_);_(@_)">
                  <c:v>-39630.589979218305</c:v>
                </c:pt>
                <c:pt idx="930" formatCode="_(&quot;$&quot;* #,##0.00_);_(&quot;$&quot;* \(#,##0.00\);_(&quot;$&quot;* &quot;-&quot;??_);_(@_)">
                  <c:v>-39707.308471165306</c:v>
                </c:pt>
                <c:pt idx="931" formatCode="_(&quot;$&quot;* #,##0.00_);_(&quot;$&quot;* \(#,##0.00\);_(&quot;$&quot;* &quot;-&quot;??_);_(@_)">
                  <c:v>-39536.119682098273</c:v>
                </c:pt>
                <c:pt idx="932" formatCode="_(&quot;$&quot;* #,##0.00_);_(&quot;$&quot;* \(#,##0.00\);_(&quot;$&quot;* &quot;-&quot;??_);_(@_)">
                  <c:v>-39443.261031370668</c:v>
                </c:pt>
                <c:pt idx="933" formatCode="_(&quot;$&quot;* #,##0.00_);_(&quot;$&quot;* \(#,##0.00\);_(&quot;$&quot;* &quot;-&quot;??_);_(@_)">
                  <c:v>-39404.428615740617</c:v>
                </c:pt>
                <c:pt idx="934" formatCode="_(&quot;$&quot;* #,##0.00_);_(&quot;$&quot;* \(#,##0.00\);_(&quot;$&quot;* &quot;-&quot;??_);_(@_)">
                  <c:v>-39650.023378648453</c:v>
                </c:pt>
                <c:pt idx="935" formatCode="_(&quot;$&quot;* #,##0.00_);_(&quot;$&quot;* \(#,##0.00\);_(&quot;$&quot;* &quot;-&quot;??_);_(@_)">
                  <c:v>-39668.648755804388</c:v>
                </c:pt>
                <c:pt idx="936" formatCode="_(&quot;$&quot;* #,##0.00_);_(&quot;$&quot;* \(#,##0.00\);_(&quot;$&quot;* &quot;-&quot;??_);_(@_)">
                  <c:v>-39586.554150948359</c:v>
                </c:pt>
                <c:pt idx="937" formatCode="_(&quot;$&quot;* #,##0.00_);_(&quot;$&quot;* \(#,##0.00\);_(&quot;$&quot;* &quot;-&quot;??_);_(@_)">
                  <c:v>-39749.012778151293</c:v>
                </c:pt>
                <c:pt idx="938" formatCode="_(&quot;$&quot;* #,##0.00_);_(&quot;$&quot;* \(#,##0.00\);_(&quot;$&quot;* &quot;-&quot;??_);_(@_)">
                  <c:v>-39733.126992620557</c:v>
                </c:pt>
                <c:pt idx="939" formatCode="_(&quot;$&quot;* #,##0.00_);_(&quot;$&quot;* \(#,##0.00\);_(&quot;$&quot;* &quot;-&quot;??_);_(@_)">
                  <c:v>-39418.767157567287</c:v>
                </c:pt>
                <c:pt idx="940" formatCode="_(&quot;$&quot;* #,##0.00_);_(&quot;$&quot;* \(#,##0.00\);_(&quot;$&quot;* &quot;-&quot;??_);_(@_)">
                  <c:v>-39401.688435130651</c:v>
                </c:pt>
                <c:pt idx="941" formatCode="_(&quot;$&quot;* #,##0.00_);_(&quot;$&quot;* \(#,##0.00\);_(&quot;$&quot;* &quot;-&quot;??_);_(@_)">
                  <c:v>-39689.113632646076</c:v>
                </c:pt>
                <c:pt idx="942" formatCode="_(&quot;$&quot;* #,##0.00_);_(&quot;$&quot;* \(#,##0.00\);_(&quot;$&quot;* &quot;-&quot;??_);_(@_)">
                  <c:v>-39733.319029830869</c:v>
                </c:pt>
                <c:pt idx="943" formatCode="_(&quot;$&quot;* #,##0.00_);_(&quot;$&quot;* \(#,##0.00\);_(&quot;$&quot;* &quot;-&quot;??_);_(@_)">
                  <c:v>-40020.228930235942</c:v>
                </c:pt>
                <c:pt idx="944" formatCode="_(&quot;$&quot;* #,##0.00_);_(&quot;$&quot;* \(#,##0.00\);_(&quot;$&quot;* &quot;-&quot;??_);_(@_)">
                  <c:v>-39922.300507909735</c:v>
                </c:pt>
                <c:pt idx="945" formatCode="_(&quot;$&quot;* #,##0.00_);_(&quot;$&quot;* \(#,##0.00\);_(&quot;$&quot;* &quot;-&quot;??_);_(@_)">
                  <c:v>-39812.477121535776</c:v>
                </c:pt>
                <c:pt idx="946" formatCode="_(&quot;$&quot;* #,##0.00_);_(&quot;$&quot;* \(#,##0.00\);_(&quot;$&quot;* &quot;-&quot;??_);_(@_)">
                  <c:v>-39681.630533655341</c:v>
                </c:pt>
                <c:pt idx="947" formatCode="_(&quot;$&quot;* #,##0.00_);_(&quot;$&quot;* \(#,##0.00\);_(&quot;$&quot;* &quot;-&quot;??_);_(@_)">
                  <c:v>-39720.820135709444</c:v>
                </c:pt>
                <c:pt idx="948" formatCode="_(&quot;$&quot;* #,##0.00_);_(&quot;$&quot;* \(#,##0.00\);_(&quot;$&quot;* &quot;-&quot;??_);_(@_)">
                  <c:v>-39765.305094022027</c:v>
                </c:pt>
                <c:pt idx="949" formatCode="_(&quot;$&quot;* #,##0.00_);_(&quot;$&quot;* \(#,##0.00\);_(&quot;$&quot;* &quot;-&quot;??_);_(@_)">
                  <c:v>-39600.493026761891</c:v>
                </c:pt>
                <c:pt idx="950" formatCode="_(&quot;$&quot;* #,##0.00_);_(&quot;$&quot;* \(#,##0.00\);_(&quot;$&quot;* &quot;-&quot;??_);_(@_)">
                  <c:v>-39897.68294428652</c:v>
                </c:pt>
                <c:pt idx="951" formatCode="_(&quot;$&quot;* #,##0.00_);_(&quot;$&quot;* \(#,##0.00\);_(&quot;$&quot;* &quot;-&quot;??_);_(@_)">
                  <c:v>-39870.513666814855</c:v>
                </c:pt>
                <c:pt idx="952" formatCode="_(&quot;$&quot;* #,##0.00_);_(&quot;$&quot;* \(#,##0.00\);_(&quot;$&quot;* &quot;-&quot;??_);_(@_)">
                  <c:v>-39810.645976708089</c:v>
                </c:pt>
                <c:pt idx="953" formatCode="_(&quot;$&quot;* #,##0.00_);_(&quot;$&quot;* \(#,##0.00\);_(&quot;$&quot;* &quot;-&quot;??_);_(@_)">
                  <c:v>-39899.045711475555</c:v>
                </c:pt>
                <c:pt idx="954" formatCode="_(&quot;$&quot;* #,##0.00_);_(&quot;$&quot;* \(#,##0.00\);_(&quot;$&quot;* &quot;-&quot;??_);_(@_)">
                  <c:v>-39836.095866639975</c:v>
                </c:pt>
                <c:pt idx="955" formatCode="_(&quot;$&quot;* #,##0.00_);_(&quot;$&quot;* \(#,##0.00\);_(&quot;$&quot;* &quot;-&quot;??_);_(@_)">
                  <c:v>-39913.309062444911</c:v>
                </c:pt>
                <c:pt idx="956" formatCode="_(&quot;$&quot;* #,##0.00_);_(&quot;$&quot;* \(#,##0.00\);_(&quot;$&quot;* &quot;-&quot;??_);_(@_)">
                  <c:v>-40048.318853588265</c:v>
                </c:pt>
                <c:pt idx="957" formatCode="_(&quot;$&quot;* #,##0.00_);_(&quot;$&quot;* \(#,##0.00\);_(&quot;$&quot;* &quot;-&quot;??_);_(@_)">
                  <c:v>-39943.87104776418</c:v>
                </c:pt>
                <c:pt idx="958" formatCode="_(&quot;$&quot;* #,##0.00_);_(&quot;$&quot;* \(#,##0.00\);_(&quot;$&quot;* &quot;-&quot;??_);_(@_)">
                  <c:v>-40050.158689385084</c:v>
                </c:pt>
                <c:pt idx="959" formatCode="_(&quot;$&quot;* #,##0.00_);_(&quot;$&quot;* \(#,##0.00\);_(&quot;$&quot;* &quot;-&quot;??_);_(@_)">
                  <c:v>-39881.156735167278</c:v>
                </c:pt>
                <c:pt idx="960" formatCode="_(&quot;$&quot;* #,##0.00_);_(&quot;$&quot;* \(#,##0.00\);_(&quot;$&quot;* &quot;-&quot;??_);_(@_)">
                  <c:v>-39975.970061441745</c:v>
                </c:pt>
                <c:pt idx="961" formatCode="_(&quot;$&quot;* #,##0.00_);_(&quot;$&quot;* \(#,##0.00\);_(&quot;$&quot;* &quot;-&quot;??_);_(@_)">
                  <c:v>-40382.106339962666</c:v>
                </c:pt>
                <c:pt idx="962" formatCode="_(&quot;$&quot;* #,##0.00_);_(&quot;$&quot;* \(#,##0.00\);_(&quot;$&quot;* &quot;-&quot;??_);_(@_)">
                  <c:v>-40617.593245792945</c:v>
                </c:pt>
                <c:pt idx="963" formatCode="_(&quot;$&quot;* #,##0.00_);_(&quot;$&quot;* \(#,##0.00\);_(&quot;$&quot;* &quot;-&quot;??_);_(@_)">
                  <c:v>-40708.924034015698</c:v>
                </c:pt>
                <c:pt idx="964" formatCode="_(&quot;$&quot;* #,##0.00_);_(&quot;$&quot;* \(#,##0.00\);_(&quot;$&quot;* &quot;-&quot;??_);_(@_)">
                  <c:v>-40681.068589218798</c:v>
                </c:pt>
                <c:pt idx="965" formatCode="_(&quot;$&quot;* #,##0.00_);_(&quot;$&quot;* \(#,##0.00\);_(&quot;$&quot;* &quot;-&quot;??_);_(@_)">
                  <c:v>-40797.387750927577</c:v>
                </c:pt>
                <c:pt idx="966" formatCode="_(&quot;$&quot;* #,##0.00_);_(&quot;$&quot;* \(#,##0.00\);_(&quot;$&quot;* &quot;-&quot;??_);_(@_)">
                  <c:v>-40671.047505528775</c:v>
                </c:pt>
                <c:pt idx="967" formatCode="_(&quot;$&quot;* #,##0.00_);_(&quot;$&quot;* \(#,##0.00\);_(&quot;$&quot;* &quot;-&quot;??_);_(@_)">
                  <c:v>-40746.129396920136</c:v>
                </c:pt>
                <c:pt idx="968" formatCode="_(&quot;$&quot;* #,##0.00_);_(&quot;$&quot;* \(#,##0.00\);_(&quot;$&quot;* &quot;-&quot;??_);_(@_)">
                  <c:v>-40610.230564543352</c:v>
                </c:pt>
                <c:pt idx="969" formatCode="_(&quot;$&quot;* #,##0.00_);_(&quot;$&quot;* \(#,##0.00\);_(&quot;$&quot;* &quot;-&quot;??_);_(@_)">
                  <c:v>-40621.765019180581</c:v>
                </c:pt>
                <c:pt idx="970" formatCode="_(&quot;$&quot;* #,##0.00_);_(&quot;$&quot;* \(#,##0.00\);_(&quot;$&quot;* &quot;-&quot;??_);_(@_)">
                  <c:v>-40605.302482882966</c:v>
                </c:pt>
                <c:pt idx="971" formatCode="_(&quot;$&quot;* #,##0.00_);_(&quot;$&quot;* \(#,##0.00\);_(&quot;$&quot;* &quot;-&quot;??_);_(@_)">
                  <c:v>-40633.56973698322</c:v>
                </c:pt>
                <c:pt idx="972" formatCode="_(&quot;$&quot;* #,##0.00_);_(&quot;$&quot;* \(#,##0.00\);_(&quot;$&quot;* &quot;-&quot;??_);_(@_)">
                  <c:v>-40577.784047666719</c:v>
                </c:pt>
                <c:pt idx="973" formatCode="_(&quot;$&quot;* #,##0.00_);_(&quot;$&quot;* \(#,##0.00\);_(&quot;$&quot;* &quot;-&quot;??_);_(@_)">
                  <c:v>-40483.759184900722</c:v>
                </c:pt>
                <c:pt idx="974" formatCode="_(&quot;$&quot;* #,##0.00_);_(&quot;$&quot;* \(#,##0.00\);_(&quot;$&quot;* &quot;-&quot;??_);_(@_)">
                  <c:v>-40578.27020471546</c:v>
                </c:pt>
                <c:pt idx="975" formatCode="_(&quot;$&quot;* #,##0.00_);_(&quot;$&quot;* \(#,##0.00\);_(&quot;$&quot;* &quot;-&quot;??_);_(@_)">
                  <c:v>-40785.385214462054</c:v>
                </c:pt>
                <c:pt idx="976" formatCode="_(&quot;$&quot;* #,##0.00_);_(&quot;$&quot;* \(#,##0.00\);_(&quot;$&quot;* &quot;-&quot;??_);_(@_)">
                  <c:v>-40766.441048026725</c:v>
                </c:pt>
                <c:pt idx="977" formatCode="_(&quot;$&quot;* #,##0.00_);_(&quot;$&quot;* \(#,##0.00\);_(&quot;$&quot;* &quot;-&quot;??_);_(@_)">
                  <c:v>-40315.056681434566</c:v>
                </c:pt>
                <c:pt idx="978" formatCode="_(&quot;$&quot;* #,##0.00_);_(&quot;$&quot;* \(#,##0.00\);_(&quot;$&quot;* &quot;-&quot;??_);_(@_)">
                  <c:v>-40373.933816445213</c:v>
                </c:pt>
                <c:pt idx="979" formatCode="_(&quot;$&quot;* #,##0.00_);_(&quot;$&quot;* \(#,##0.00\);_(&quot;$&quot;* &quot;-&quot;??_);_(@_)">
                  <c:v>-40416.564439443653</c:v>
                </c:pt>
                <c:pt idx="980" formatCode="_(&quot;$&quot;* #,##0.00_);_(&quot;$&quot;* \(#,##0.00\);_(&quot;$&quot;* &quot;-&quot;??_);_(@_)">
                  <c:v>-40515.119142890275</c:v>
                </c:pt>
                <c:pt idx="981" formatCode="_(&quot;$&quot;* #,##0.00_);_(&quot;$&quot;* \(#,##0.00\);_(&quot;$&quot;* &quot;-&quot;??_);_(@_)">
                  <c:v>-40361.618691490032</c:v>
                </c:pt>
                <c:pt idx="982" formatCode="_(&quot;$&quot;* #,##0.00_);_(&quot;$&quot;* \(#,##0.00\);_(&quot;$&quot;* &quot;-&quot;??_);_(@_)">
                  <c:v>-40348.690920225003</c:v>
                </c:pt>
                <c:pt idx="983" formatCode="_(&quot;$&quot;* #,##0.00_);_(&quot;$&quot;* \(#,##0.00\);_(&quot;$&quot;* &quot;-&quot;??_);_(@_)">
                  <c:v>-40292.663927594462</c:v>
                </c:pt>
                <c:pt idx="984" formatCode="_(&quot;$&quot;* #,##0.00_);_(&quot;$&quot;* \(#,##0.00\);_(&quot;$&quot;* &quot;-&quot;??_);_(@_)">
                  <c:v>-40411.231145323349</c:v>
                </c:pt>
                <c:pt idx="985" formatCode="_(&quot;$&quot;* #,##0.00_);_(&quot;$&quot;* \(#,##0.00\);_(&quot;$&quot;* &quot;-&quot;??_);_(@_)">
                  <c:v>-40396.485255295673</c:v>
                </c:pt>
                <c:pt idx="986" formatCode="_(&quot;$&quot;* #,##0.00_);_(&quot;$&quot;* \(#,##0.00\);_(&quot;$&quot;* &quot;-&quot;??_);_(@_)">
                  <c:v>-40450.208277894591</c:v>
                </c:pt>
                <c:pt idx="987" formatCode="_(&quot;$&quot;* #,##0.00_);_(&quot;$&quot;* \(#,##0.00\);_(&quot;$&quot;* &quot;-&quot;??_);_(@_)">
                  <c:v>-40425.205966756577</c:v>
                </c:pt>
                <c:pt idx="988" formatCode="_(&quot;$&quot;* #,##0.00_);_(&quot;$&quot;* \(#,##0.00\);_(&quot;$&quot;* &quot;-&quot;??_);_(@_)">
                  <c:v>-41006.659139173942</c:v>
                </c:pt>
                <c:pt idx="989" formatCode="_(&quot;$&quot;* #,##0.00_);_(&quot;$&quot;* \(#,##0.00\);_(&quot;$&quot;* &quot;-&quot;??_);_(@_)">
                  <c:v>-41466.564799551299</c:v>
                </c:pt>
                <c:pt idx="990" formatCode="_(&quot;$&quot;* #,##0.00_);_(&quot;$&quot;* \(#,##0.00\);_(&quot;$&quot;* &quot;-&quot;??_);_(@_)">
                  <c:v>-41758.136155842149</c:v>
                </c:pt>
                <c:pt idx="991" formatCode="_(&quot;$&quot;* #,##0.00_);_(&quot;$&quot;* \(#,##0.00\);_(&quot;$&quot;* &quot;-&quot;??_);_(@_)">
                  <c:v>-41972.919308990538</c:v>
                </c:pt>
                <c:pt idx="992" formatCode="_(&quot;$&quot;* #,##0.00_);_(&quot;$&quot;* \(#,##0.00\);_(&quot;$&quot;* &quot;-&quot;??_);_(@_)">
                  <c:v>-41918.755992632097</c:v>
                </c:pt>
                <c:pt idx="993" formatCode="_(&quot;$&quot;* #,##0.00_);_(&quot;$&quot;* \(#,##0.00\);_(&quot;$&quot;* &quot;-&quot;??_);_(@_)">
                  <c:v>-41962.953928304509</c:v>
                </c:pt>
                <c:pt idx="994" formatCode="_(&quot;$&quot;* #,##0.00_);_(&quot;$&quot;* \(#,##0.00\);_(&quot;$&quot;* &quot;-&quot;??_);_(@_)">
                  <c:v>-41979.446055501721</c:v>
                </c:pt>
                <c:pt idx="995" formatCode="_(&quot;$&quot;* #,##0.00_);_(&quot;$&quot;* \(#,##0.00\);_(&quot;$&quot;* &quot;-&quot;??_);_(@_)">
                  <c:v>-41815.719572382026</c:v>
                </c:pt>
                <c:pt idx="996" formatCode="_(&quot;$&quot;* #,##0.00_);_(&quot;$&quot;* \(#,##0.00\);_(&quot;$&quot;* &quot;-&quot;??_);_(@_)">
                  <c:v>-41710.331507664894</c:v>
                </c:pt>
                <c:pt idx="997" formatCode="_(&quot;$&quot;* #,##0.00_);_(&quot;$&quot;* \(#,##0.00\);_(&quot;$&quot;* &quot;-&quot;??_);_(@_)">
                  <c:v>-41881.854371450092</c:v>
                </c:pt>
                <c:pt idx="998" formatCode="_(&quot;$&quot;* #,##0.00_);_(&quot;$&quot;* \(#,##0.00\);_(&quot;$&quot;* &quot;-&quot;??_);_(@_)">
                  <c:v>-41777.57927068889</c:v>
                </c:pt>
                <c:pt idx="999" formatCode="_(&quot;$&quot;* #,##0.00_);_(&quot;$&quot;* \(#,##0.00\);_(&quot;$&quot;* &quot;-&quot;??_);_(@_)">
                  <c:v>-41831.988730829544</c:v>
                </c:pt>
                <c:pt idx="1000" formatCode="_(&quot;$&quot;* #,##0.00_);_(&quot;$&quot;* \(#,##0.00\);_(&quot;$&quot;* &quot;-&quot;??_);_(@_)">
                  <c:v>-41620.261992564214</c:v>
                </c:pt>
                <c:pt idx="1001" formatCode="_(&quot;$&quot;* #,##0.00_);_(&quot;$&quot;* \(#,##0.00\);_(&quot;$&quot;* &quot;-&quot;??_);_(@_)">
                  <c:v>-41765.69164486877</c:v>
                </c:pt>
                <c:pt idx="1002" formatCode="_(&quot;$&quot;* #,##0.00_);_(&quot;$&quot;* \(#,##0.00\);_(&quot;$&quot;* &quot;-&quot;??_);_(@_)">
                  <c:v>-41840.791529569353</c:v>
                </c:pt>
                <c:pt idx="1003" formatCode="_(&quot;$&quot;* #,##0.00_);_(&quot;$&quot;* \(#,##0.00\);_(&quot;$&quot;* &quot;-&quot;??_);_(@_)">
                  <c:v>-42065.998874965306</c:v>
                </c:pt>
                <c:pt idx="1004" formatCode="_(&quot;$&quot;* #,##0.00_);_(&quot;$&quot;* \(#,##0.00\);_(&quot;$&quot;* &quot;-&quot;??_);_(@_)">
                  <c:v>-42062.310434977422</c:v>
                </c:pt>
                <c:pt idx="1005" formatCode="_(&quot;$&quot;* #,##0.00_);_(&quot;$&quot;* \(#,##0.00\);_(&quot;$&quot;* &quot;-&quot;??_);_(@_)">
                  <c:v>-42217.552002902827</c:v>
                </c:pt>
                <c:pt idx="1006" formatCode="_(&quot;$&quot;* #,##0.00_);_(&quot;$&quot;* \(#,##0.00\);_(&quot;$&quot;* &quot;-&quot;??_);_(@_)">
                  <c:v>-42072.944796186275</c:v>
                </c:pt>
                <c:pt idx="1007" formatCode="_(&quot;$&quot;* #,##0.00_);_(&quot;$&quot;* \(#,##0.00\);_(&quot;$&quot;* &quot;-&quot;??_);_(@_)">
                  <c:v>-42091.015652149072</c:v>
                </c:pt>
                <c:pt idx="1008" formatCode="_(&quot;$&quot;* #,##0.00_);_(&quot;$&quot;* \(#,##0.00\);_(&quot;$&quot;* &quot;-&quot;??_);_(@_)">
                  <c:v>-42048.818879943399</c:v>
                </c:pt>
                <c:pt idx="1009" formatCode="_(&quot;$&quot;* #,##0.00_);_(&quot;$&quot;* \(#,##0.00\);_(&quot;$&quot;* &quot;-&quot;??_);_(@_)">
                  <c:v>-42203.021674824042</c:v>
                </c:pt>
                <c:pt idx="1010" formatCode="_(&quot;$&quot;* #,##0.00_);_(&quot;$&quot;* \(#,##0.00\);_(&quot;$&quot;* &quot;-&quot;??_);_(@_)">
                  <c:v>-42183.902232696615</c:v>
                </c:pt>
                <c:pt idx="1011" formatCode="_(&quot;$&quot;* #,##0.00_);_(&quot;$&quot;* \(#,##0.00\);_(&quot;$&quot;* &quot;-&quot;??_);_(@_)">
                  <c:v>-42312.745419343868</c:v>
                </c:pt>
                <c:pt idx="1012" formatCode="_(&quot;$&quot;* #,##0.00_);_(&quot;$&quot;* \(#,##0.00\);_(&quot;$&quot;* &quot;-&quot;??_);_(@_)">
                  <c:v>-42286.236638533475</c:v>
                </c:pt>
                <c:pt idx="1013" formatCode="_(&quot;$&quot;* #,##0.00_);_(&quot;$&quot;* \(#,##0.00\);_(&quot;$&quot;* &quot;-&quot;??_);_(@_)">
                  <c:v>-42304.94510685424</c:v>
                </c:pt>
                <c:pt idx="1014" formatCode="_(&quot;$&quot;* #,##0.00_);_(&quot;$&quot;* \(#,##0.00\);_(&quot;$&quot;* &quot;-&quot;??_);_(@_)">
                  <c:v>-42166.1647625841</c:v>
                </c:pt>
                <c:pt idx="1015" formatCode="_(&quot;$&quot;* #,##0.00_);_(&quot;$&quot;* \(#,##0.00\);_(&quot;$&quot;* &quot;-&quot;??_);_(@_)">
                  <c:v>-42231.878627793136</c:v>
                </c:pt>
                <c:pt idx="1016" formatCode="_(&quot;$&quot;* #,##0.00_);_(&quot;$&quot;* \(#,##0.00\);_(&quot;$&quot;* &quot;-&quot;??_);_(@_)">
                  <c:v>-42184.279673015939</c:v>
                </c:pt>
                <c:pt idx="1017" formatCode="_(&quot;$&quot;* #,##0.00_);_(&quot;$&quot;* \(#,##0.00\);_(&quot;$&quot;* &quot;-&quot;??_);_(@_)">
                  <c:v>-42358.551596523401</c:v>
                </c:pt>
                <c:pt idx="1018" formatCode="_(&quot;$&quot;* #,##0.00_);_(&quot;$&quot;* \(#,##0.00\);_(&quot;$&quot;* &quot;-&quot;??_);_(@_)">
                  <c:v>-41940.347130800539</c:v>
                </c:pt>
                <c:pt idx="1019" formatCode="_(&quot;$&quot;* #,##0.00_);_(&quot;$&quot;* \(#,##0.00\);_(&quot;$&quot;* &quot;-&quot;??_);_(@_)">
                  <c:v>-41887.075979107598</c:v>
                </c:pt>
                <c:pt idx="1020" formatCode="_(&quot;$&quot;* #,##0.00_);_(&quot;$&quot;* \(#,##0.00\);_(&quot;$&quot;* &quot;-&quot;??_);_(@_)">
                  <c:v>-41800.491446200715</c:v>
                </c:pt>
                <c:pt idx="1021" formatCode="_(&quot;$&quot;* #,##0.00_);_(&quot;$&quot;* \(#,##0.00\);_(&quot;$&quot;* &quot;-&quot;??_);_(@_)">
                  <c:v>-41692.30553638962</c:v>
                </c:pt>
                <c:pt idx="1022" formatCode="_(&quot;$&quot;* #,##0.00_);_(&quot;$&quot;* \(#,##0.00\);_(&quot;$&quot;* &quot;-&quot;??_);_(@_)">
                  <c:v>-41770.112121059363</c:v>
                </c:pt>
                <c:pt idx="1023" formatCode="_(&quot;$&quot;* #,##0.00_);_(&quot;$&quot;* \(#,##0.00\);_(&quot;$&quot;* &quot;-&quot;??_);_(@_)">
                  <c:v>-41598.345554663974</c:v>
                </c:pt>
                <c:pt idx="1024" formatCode="_(&quot;$&quot;* #,##0.00_);_(&quot;$&quot;* \(#,##0.00\);_(&quot;$&quot;* &quot;-&quot;??_);_(@_)">
                  <c:v>-41452.630795456702</c:v>
                </c:pt>
                <c:pt idx="1025" formatCode="_(&quot;$&quot;* #,##0.00_);_(&quot;$&quot;* \(#,##0.00\);_(&quot;$&quot;* &quot;-&quot;??_);_(@_)">
                  <c:v>-41589.521354920114</c:v>
                </c:pt>
                <c:pt idx="1026" formatCode="_(&quot;$&quot;* #,##0.00_);_(&quot;$&quot;* \(#,##0.00\);_(&quot;$&quot;* &quot;-&quot;??_);_(@_)">
                  <c:v>-41488.265917428893</c:v>
                </c:pt>
                <c:pt idx="1027" formatCode="_(&quot;$&quot;* #,##0.00_);_(&quot;$&quot;* \(#,##0.00\);_(&quot;$&quot;* &quot;-&quot;??_);_(@_)">
                  <c:v>-41255.949602026514</c:v>
                </c:pt>
                <c:pt idx="1028" formatCode="_(&quot;$&quot;* #,##0.00_);_(&quot;$&quot;* \(#,##0.00\);_(&quot;$&quot;* &quot;-&quot;??_);_(@_)">
                  <c:v>-41393.634523586647</c:v>
                </c:pt>
                <c:pt idx="1029" formatCode="_(&quot;$&quot;* #,##0.00_);_(&quot;$&quot;* \(#,##0.00\);_(&quot;$&quot;* &quot;-&quot;??_);_(@_)">
                  <c:v>-41345.37164319359</c:v>
                </c:pt>
                <c:pt idx="1030" formatCode="_(&quot;$&quot;* #,##0.00_);_(&quot;$&quot;* \(#,##0.00\);_(&quot;$&quot;* &quot;-&quot;??_);_(@_)">
                  <c:v>-41389.258798860057</c:v>
                </c:pt>
                <c:pt idx="1031" formatCode="_(&quot;$&quot;* #,##0.00_);_(&quot;$&quot;* \(#,##0.00\);_(&quot;$&quot;* &quot;-&quot;??_);_(@_)">
                  <c:v>-41148.484679781061</c:v>
                </c:pt>
                <c:pt idx="1032" formatCode="_(&quot;$&quot;* #,##0.00_);_(&quot;$&quot;* \(#,##0.00\);_(&quot;$&quot;* &quot;-&quot;??_);_(@_)">
                  <c:v>-41229.184141936494</c:v>
                </c:pt>
                <c:pt idx="1033" formatCode="_(&quot;$&quot;* #,##0.00_);_(&quot;$&quot;* \(#,##0.00\);_(&quot;$&quot;* &quot;-&quot;??_);_(@_)">
                  <c:v>-41230.780541674991</c:v>
                </c:pt>
                <c:pt idx="1034" formatCode="_(&quot;$&quot;* #,##0.00_);_(&quot;$&quot;* \(#,##0.00\);_(&quot;$&quot;* &quot;-&quot;??_);_(@_)">
                  <c:v>-41076.868610747377</c:v>
                </c:pt>
                <c:pt idx="1035" formatCode="_(&quot;$&quot;* #,##0.00_);_(&quot;$&quot;* \(#,##0.00\);_(&quot;$&quot;* &quot;-&quot;??_);_(@_)">
                  <c:v>-41222.091600564119</c:v>
                </c:pt>
                <c:pt idx="1036" formatCode="_(&quot;$&quot;* #,##0.00_);_(&quot;$&quot;* \(#,##0.00\);_(&quot;$&quot;* &quot;-&quot;??_);_(@_)">
                  <c:v>-41027.573363916519</c:v>
                </c:pt>
                <c:pt idx="1037" formatCode="_(&quot;$&quot;* #,##0.00_);_(&quot;$&quot;* \(#,##0.00\);_(&quot;$&quot;* &quot;-&quot;??_);_(@_)">
                  <c:v>-41126.547183801769</c:v>
                </c:pt>
                <c:pt idx="1038" formatCode="_(&quot;$&quot;* #,##0.00_);_(&quot;$&quot;* \(#,##0.00\);_(&quot;$&quot;* &quot;-&quot;??_);_(@_)">
                  <c:v>-41130.411900691106</c:v>
                </c:pt>
                <c:pt idx="1039" formatCode="_(&quot;$&quot;* #,##0.00_);_(&quot;$&quot;* \(#,##0.00\);_(&quot;$&quot;* &quot;-&quot;??_);_(@_)">
                  <c:v>-40963.076172631838</c:v>
                </c:pt>
                <c:pt idx="1040" formatCode="_(&quot;$&quot;* #,##0.00_);_(&quot;$&quot;* \(#,##0.00\);_(&quot;$&quot;* &quot;-&quot;??_);_(@_)">
                  <c:v>-40896.18631120948</c:v>
                </c:pt>
                <c:pt idx="1041" formatCode="_(&quot;$&quot;* #,##0.00_);_(&quot;$&quot;* \(#,##0.00\);_(&quot;$&quot;* &quot;-&quot;??_);_(@_)">
                  <c:v>-41032.648466871979</c:v>
                </c:pt>
                <c:pt idx="1042" formatCode="_(&quot;$&quot;* #,##0.00_);_(&quot;$&quot;* \(#,##0.00\);_(&quot;$&quot;* &quot;-&quot;??_);_(@_)">
                  <c:v>-40943.082861037794</c:v>
                </c:pt>
                <c:pt idx="1043" formatCode="_(&quot;$&quot;* #,##0.00_);_(&quot;$&quot;* \(#,##0.00\);_(&quot;$&quot;* &quot;-&quot;??_);_(@_)">
                  <c:v>-40946.675073390921</c:v>
                </c:pt>
                <c:pt idx="1044" formatCode="_(&quot;$&quot;* #,##0.00_);_(&quot;$&quot;* \(#,##0.00\);_(&quot;$&quot;* &quot;-&quot;??_);_(@_)">
                  <c:v>-41072.651745327137</c:v>
                </c:pt>
                <c:pt idx="1045" formatCode="_(&quot;$&quot;* #,##0.00_);_(&quot;$&quot;* \(#,##0.00\);_(&quot;$&quot;* &quot;-&quot;??_);_(@_)">
                  <c:v>-40785.576620102773</c:v>
                </c:pt>
                <c:pt idx="1046" formatCode="_(&quot;$&quot;* #,##0.00_);_(&quot;$&quot;* \(#,##0.00\);_(&quot;$&quot;* &quot;-&quot;??_);_(@_)">
                  <c:v>-41141.466657814301</c:v>
                </c:pt>
                <c:pt idx="1047" formatCode="_(&quot;$&quot;* #,##0.00_);_(&quot;$&quot;* \(#,##0.00\);_(&quot;$&quot;* &quot;-&quot;??_);_(@_)">
                  <c:v>-41251.318539352818</c:v>
                </c:pt>
                <c:pt idx="1048" formatCode="_(&quot;$&quot;* #,##0.00_);_(&quot;$&quot;* \(#,##0.00\);_(&quot;$&quot;* &quot;-&quot;??_);_(@_)">
                  <c:v>-41233.716528237521</c:v>
                </c:pt>
                <c:pt idx="1049" formatCode="_(&quot;$&quot;* #,##0.00_);_(&quot;$&quot;* \(#,##0.00\);_(&quot;$&quot;* &quot;-&quot;??_);_(@_)">
                  <c:v>-41411.621348008201</c:v>
                </c:pt>
                <c:pt idx="1050" formatCode="_(&quot;$&quot;* #,##0.00_);_(&quot;$&quot;* \(#,##0.00\);_(&quot;$&quot;* &quot;-&quot;??_);_(@_)">
                  <c:v>-41762.149927856059</c:v>
                </c:pt>
                <c:pt idx="1051" formatCode="_(&quot;$&quot;* #,##0.00_);_(&quot;$&quot;* \(#,##0.00\);_(&quot;$&quot;* &quot;-&quot;??_);_(@_)">
                  <c:v>-41678.649477382765</c:v>
                </c:pt>
                <c:pt idx="1052" formatCode="_(&quot;$&quot;* #,##0.00_);_(&quot;$&quot;* \(#,##0.00\);_(&quot;$&quot;* &quot;-&quot;??_);_(@_)">
                  <c:v>-41751.155043425337</c:v>
                </c:pt>
                <c:pt idx="1053" formatCode="_(&quot;$&quot;* #,##0.00_);_(&quot;$&quot;* \(#,##0.00\);_(&quot;$&quot;* &quot;-&quot;??_);_(@_)">
                  <c:v>-41789.867359950134</c:v>
                </c:pt>
                <c:pt idx="1054" formatCode="_(&quot;$&quot;* #,##0.00_);_(&quot;$&quot;* \(#,##0.00\);_(&quot;$&quot;* &quot;-&quot;??_);_(@_)">
                  <c:v>-41827.557960429061</c:v>
                </c:pt>
                <c:pt idx="1055" formatCode="_(&quot;$&quot;* #,##0.00_);_(&quot;$&quot;* \(#,##0.00\);_(&quot;$&quot;* &quot;-&quot;??_);_(@_)">
                  <c:v>-41713.500202900759</c:v>
                </c:pt>
                <c:pt idx="1056" formatCode="_(&quot;$&quot;* #,##0.00_);_(&quot;$&quot;* \(#,##0.00\);_(&quot;$&quot;* &quot;-&quot;??_);_(@_)">
                  <c:v>-41849.591560619912</c:v>
                </c:pt>
                <c:pt idx="1057" formatCode="_(&quot;$&quot;* #,##0.00_);_(&quot;$&quot;* \(#,##0.00\);_(&quot;$&quot;* &quot;-&quot;??_);_(@_)">
                  <c:v>-41914.576008561307</c:v>
                </c:pt>
                <c:pt idx="1058" formatCode="_(&quot;$&quot;* #,##0.00_);_(&quot;$&quot;* \(#,##0.00\);_(&quot;$&quot;* &quot;-&quot;??_);_(@_)">
                  <c:v>-42108.843366754933</c:v>
                </c:pt>
                <c:pt idx="1059" formatCode="_(&quot;$&quot;* #,##0.00_);_(&quot;$&quot;* \(#,##0.00\);_(&quot;$&quot;* &quot;-&quot;??_);_(@_)">
                  <c:v>-41974.369506899318</c:v>
                </c:pt>
                <c:pt idx="1060" formatCode="_(&quot;$&quot;* #,##0.00_);_(&quot;$&quot;* \(#,##0.00\);_(&quot;$&quot;* &quot;-&quot;??_);_(@_)">
                  <c:v>-42037.292067305083</c:v>
                </c:pt>
                <c:pt idx="1061" formatCode="_(&quot;$&quot;* #,##0.00_);_(&quot;$&quot;* \(#,##0.00\);_(&quot;$&quot;* &quot;-&quot;??_);_(@_)">
                  <c:v>-42007.653714490276</c:v>
                </c:pt>
                <c:pt idx="1062" formatCode="_(&quot;$&quot;* #,##0.00_);_(&quot;$&quot;* \(#,##0.00\);_(&quot;$&quot;* &quot;-&quot;??_);_(@_)">
                  <c:v>-41823.826982972714</c:v>
                </c:pt>
                <c:pt idx="1063" formatCode="_(&quot;$&quot;* #,##0.00_);_(&quot;$&quot;* \(#,##0.00\);_(&quot;$&quot;* &quot;-&quot;??_);_(@_)">
                  <c:v>-41911.75162294149</c:v>
                </c:pt>
                <c:pt idx="1064" formatCode="_(&quot;$&quot;* #,##0.00_);_(&quot;$&quot;* \(#,##0.00\);_(&quot;$&quot;* &quot;-&quot;??_);_(@_)">
                  <c:v>-41731.838602342192</c:v>
                </c:pt>
                <c:pt idx="1065" formatCode="_(&quot;$&quot;* #,##0.00_);_(&quot;$&quot;* \(#,##0.00\);_(&quot;$&quot;* &quot;-&quot;??_);_(@_)">
                  <c:v>-41897.429124217801</c:v>
                </c:pt>
                <c:pt idx="1066" formatCode="_(&quot;$&quot;* #,##0.00_);_(&quot;$&quot;* \(#,##0.00\);_(&quot;$&quot;* &quot;-&quot;??_);_(@_)">
                  <c:v>-41981.118023087474</c:v>
                </c:pt>
                <c:pt idx="1067" formatCode="_(&quot;$&quot;* #,##0.00_);_(&quot;$&quot;* \(#,##0.00\);_(&quot;$&quot;* &quot;-&quot;??_);_(@_)">
                  <c:v>-42028.229118242605</c:v>
                </c:pt>
                <c:pt idx="1068" formatCode="_(&quot;$&quot;* #,##0.00_);_(&quot;$&quot;* \(#,##0.00\);_(&quot;$&quot;* &quot;-&quot;??_);_(@_)">
                  <c:v>-42041.380676628971</c:v>
                </c:pt>
                <c:pt idx="1069" formatCode="_(&quot;$&quot;* #,##0.00_);_(&quot;$&quot;* \(#,##0.00\);_(&quot;$&quot;* &quot;-&quot;??_);_(@_)">
                  <c:v>-42024.345260343325</c:v>
                </c:pt>
                <c:pt idx="1070" formatCode="_(&quot;$&quot;* #,##0.00_);_(&quot;$&quot;* \(#,##0.00\);_(&quot;$&quot;* &quot;-&quot;??_);_(@_)">
                  <c:v>-41875.027408579597</c:v>
                </c:pt>
                <c:pt idx="1071" formatCode="_(&quot;$&quot;* #,##0.00_);_(&quot;$&quot;* \(#,##0.00\);_(&quot;$&quot;* &quot;-&quot;??_);_(@_)">
                  <c:v>-41889.047650992783</c:v>
                </c:pt>
                <c:pt idx="1072" formatCode="_(&quot;$&quot;* #,##0.00_);_(&quot;$&quot;* \(#,##0.00\);_(&quot;$&quot;* &quot;-&quot;??_);_(@_)">
                  <c:v>-41977.156764372652</c:v>
                </c:pt>
                <c:pt idx="1073" formatCode="_(&quot;$&quot;* #,##0.00_);_(&quot;$&quot;* \(#,##0.00\);_(&quot;$&quot;* &quot;-&quot;??_);_(@_)">
                  <c:v>-41929.230193291281</c:v>
                </c:pt>
                <c:pt idx="1074" formatCode="_(&quot;$&quot;* #,##0.00_);_(&quot;$&quot;* \(#,##0.00\);_(&quot;$&quot;* &quot;-&quot;??_);_(@_)">
                  <c:v>-41935.917311827456</c:v>
                </c:pt>
                <c:pt idx="1075" formatCode="_(&quot;$&quot;* #,##0.00_);_(&quot;$&quot;* \(#,##0.00\);_(&quot;$&quot;* &quot;-&quot;??_);_(@_)">
                  <c:v>-42032.528694183995</c:v>
                </c:pt>
                <c:pt idx="1076" formatCode="_(&quot;$&quot;* #,##0.00_);_(&quot;$&quot;* \(#,##0.00\);_(&quot;$&quot;* &quot;-&quot;??_);_(@_)">
                  <c:v>-42029.562928260711</c:v>
                </c:pt>
                <c:pt idx="1077" formatCode="_(&quot;$&quot;* #,##0.00_);_(&quot;$&quot;* \(#,##0.00\);_(&quot;$&quot;* &quot;-&quot;??_);_(@_)">
                  <c:v>-42070.632313793896</c:v>
                </c:pt>
                <c:pt idx="1078" formatCode="_(&quot;$&quot;* #,##0.00_);_(&quot;$&quot;* \(#,##0.00\);_(&quot;$&quot;* &quot;-&quot;??_);_(@_)">
                  <c:v>-41844.172075701259</c:v>
                </c:pt>
                <c:pt idx="1079" formatCode="_(&quot;$&quot;* #,##0.00_);_(&quot;$&quot;* \(#,##0.00\);_(&quot;$&quot;* &quot;-&quot;??_);_(@_)">
                  <c:v>-41956.49581495524</c:v>
                </c:pt>
                <c:pt idx="1080" formatCode="_(&quot;$&quot;* #,##0.00_);_(&quot;$&quot;* \(#,##0.00\);_(&quot;$&quot;* &quot;-&quot;??_);_(@_)">
                  <c:v>-42212.453843395568</c:v>
                </c:pt>
                <c:pt idx="1081" formatCode="_(&quot;$&quot;* #,##0.00_);_(&quot;$&quot;* \(#,##0.00\);_(&quot;$&quot;* &quot;-&quot;??_);_(@_)">
                  <c:v>-42370.736788038179</c:v>
                </c:pt>
                <c:pt idx="1082" formatCode="_(&quot;$&quot;* #,##0.00_);_(&quot;$&quot;* \(#,##0.00\);_(&quot;$&quot;* &quot;-&quot;??_);_(@_)">
                  <c:v>-42397.625130125205</c:v>
                </c:pt>
                <c:pt idx="1083" formatCode="_(&quot;$&quot;* #,##0.00_);_(&quot;$&quot;* \(#,##0.00\);_(&quot;$&quot;* &quot;-&quot;??_);_(@_)">
                  <c:v>-42172.12422100173</c:v>
                </c:pt>
                <c:pt idx="1084" formatCode="_(&quot;$&quot;* #,##0.00_);_(&quot;$&quot;* \(#,##0.00\);_(&quot;$&quot;* &quot;-&quot;??_);_(@_)">
                  <c:v>-42033.02737222868</c:v>
                </c:pt>
                <c:pt idx="1085" formatCode="_(&quot;$&quot;* #,##0.00_);_(&quot;$&quot;* \(#,##0.00\);_(&quot;$&quot;* &quot;-&quot;??_);_(@_)">
                  <c:v>-42171.152603128219</c:v>
                </c:pt>
                <c:pt idx="1086" formatCode="_(&quot;$&quot;* #,##0.00_);_(&quot;$&quot;* \(#,##0.00\);_(&quot;$&quot;* &quot;-&quot;??_);_(@_)">
                  <c:v>-42229.749223670762</c:v>
                </c:pt>
                <c:pt idx="1087" formatCode="_(&quot;$&quot;* #,##0.00_);_(&quot;$&quot;* \(#,##0.00\);_(&quot;$&quot;* &quot;-&quot;??_);_(@_)">
                  <c:v>-41963.729901839171</c:v>
                </c:pt>
                <c:pt idx="1088" formatCode="_(&quot;$&quot;* #,##0.00_);_(&quot;$&quot;* \(#,##0.00\);_(&quot;$&quot;* &quot;-&quot;??_);_(@_)">
                  <c:v>-42034.446945413372</c:v>
                </c:pt>
                <c:pt idx="1089" formatCode="_(&quot;$&quot;* #,##0.00_);_(&quot;$&quot;* \(#,##0.00\);_(&quot;$&quot;* &quot;-&quot;??_);_(@_)">
                  <c:v>-42028.222129759997</c:v>
                </c:pt>
                <c:pt idx="1090" formatCode="_(&quot;$&quot;* #,##0.00_);_(&quot;$&quot;* \(#,##0.00\);_(&quot;$&quot;* &quot;-&quot;??_);_(@_)">
                  <c:v>-41815.862539197151</c:v>
                </c:pt>
                <c:pt idx="1091" formatCode="_(&quot;$&quot;* #,##0.00_);_(&quot;$&quot;* \(#,##0.00\);_(&quot;$&quot;* &quot;-&quot;??_);_(@_)">
                  <c:v>-41916.010854960477</c:v>
                </c:pt>
                <c:pt idx="1092" formatCode="_(&quot;$&quot;* #,##0.00_);_(&quot;$&quot;* \(#,##0.00\);_(&quot;$&quot;* &quot;-&quot;??_);_(@_)">
                  <c:v>-41923.954879792014</c:v>
                </c:pt>
                <c:pt idx="1093" formatCode="_(&quot;$&quot;* #,##0.00_);_(&quot;$&quot;* \(#,##0.00\);_(&quot;$&quot;* &quot;-&quot;??_);_(@_)">
                  <c:v>-42057.556438850152</c:v>
                </c:pt>
                <c:pt idx="1094" formatCode="_(&quot;$&quot;* #,##0.00_);_(&quot;$&quot;* \(#,##0.00\);_(&quot;$&quot;* &quot;-&quot;??_);_(@_)">
                  <c:v>-41937.151581233164</c:v>
                </c:pt>
                <c:pt idx="1095" formatCode="_(&quot;$&quot;* #,##0.00_);_(&quot;$&quot;* \(#,##0.00\);_(&quot;$&quot;* &quot;-&quot;??_);_(@_)">
                  <c:v>-41998.018756677557</c:v>
                </c:pt>
                <c:pt idx="1096" formatCode="_(&quot;$&quot;* #,##0.00_);_(&quot;$&quot;* \(#,##0.00\);_(&quot;$&quot;* &quot;-&quot;??_);_(@_)">
                  <c:v>-42247.70759174331</c:v>
                </c:pt>
                <c:pt idx="1097" formatCode="_(&quot;$&quot;* #,##0.00_);_(&quot;$&quot;* \(#,##0.00\);_(&quot;$&quot;* &quot;-&quot;??_);_(@_)">
                  <c:v>-42644.423368504773</c:v>
                </c:pt>
                <c:pt idx="1098" formatCode="_(&quot;$&quot;* #,##0.00_);_(&quot;$&quot;* \(#,##0.00\);_(&quot;$&quot;* &quot;-&quot;??_);_(@_)">
                  <c:v>-42607.743050528275</c:v>
                </c:pt>
                <c:pt idx="1099" formatCode="_(&quot;$&quot;* #,##0.00_);_(&quot;$&quot;* \(#,##0.00\);_(&quot;$&quot;* &quot;-&quot;??_);_(@_)">
                  <c:v>-42686.16362265365</c:v>
                </c:pt>
                <c:pt idx="1100" formatCode="_(&quot;$&quot;* #,##0.00_);_(&quot;$&quot;* \(#,##0.00\);_(&quot;$&quot;* &quot;-&quot;??_);_(@_)">
                  <c:v>-42521.626221922896</c:v>
                </c:pt>
                <c:pt idx="1101" formatCode="_(&quot;$&quot;* #,##0.00_);_(&quot;$&quot;* \(#,##0.00\);_(&quot;$&quot;* &quot;-&quot;??_);_(@_)">
                  <c:v>-42653.995789687411</c:v>
                </c:pt>
                <c:pt idx="1102" formatCode="_(&quot;$&quot;* #,##0.00_);_(&quot;$&quot;* \(#,##0.00\);_(&quot;$&quot;* &quot;-&quot;??_);_(@_)">
                  <c:v>-42668.963016831563</c:v>
                </c:pt>
                <c:pt idx="1103" formatCode="_(&quot;$&quot;* #,##0.00_);_(&quot;$&quot;* \(#,##0.00\);_(&quot;$&quot;* &quot;-&quot;??_);_(@_)">
                  <c:v>-42724.179069189951</c:v>
                </c:pt>
                <c:pt idx="1104" formatCode="_(&quot;$&quot;* #,##0.00_);_(&quot;$&quot;* \(#,##0.00\);_(&quot;$&quot;* &quot;-&quot;??_);_(@_)">
                  <c:v>-42850.88004216495</c:v>
                </c:pt>
                <c:pt idx="1105" formatCode="_(&quot;$&quot;* #,##0.00_);_(&quot;$&quot;* \(#,##0.00\);_(&quot;$&quot;* &quot;-&quot;??_);_(@_)">
                  <c:v>-42811.033464577362</c:v>
                </c:pt>
                <c:pt idx="1106" formatCode="_(&quot;$&quot;* #,##0.00_);_(&quot;$&quot;* \(#,##0.00\);_(&quot;$&quot;* &quot;-&quot;??_);_(@_)">
                  <c:v>-42993.578369797127</c:v>
                </c:pt>
                <c:pt idx="1107" formatCode="_(&quot;$&quot;* #,##0.00_);_(&quot;$&quot;* \(#,##0.00\);_(&quot;$&quot;* &quot;-&quot;??_);_(@_)">
                  <c:v>-42964.716445909973</c:v>
                </c:pt>
                <c:pt idx="1108" formatCode="_(&quot;$&quot;* #,##0.00_);_(&quot;$&quot;* \(#,##0.00\);_(&quot;$&quot;* &quot;-&quot;??_);_(@_)">
                  <c:v>-43053.194359511275</c:v>
                </c:pt>
                <c:pt idx="1109" formatCode="_(&quot;$&quot;* #,##0.00_);_(&quot;$&quot;* \(#,##0.00\);_(&quot;$&quot;* &quot;-&quot;??_);_(@_)">
                  <c:v>-43173.339218015244</c:v>
                </c:pt>
                <c:pt idx="1110" formatCode="_(&quot;$&quot;* #,##0.00_);_(&quot;$&quot;* \(#,##0.00\);_(&quot;$&quot;* &quot;-&quot;??_);_(@_)">
                  <c:v>-43106.187938735224</c:v>
                </c:pt>
                <c:pt idx="1111" formatCode="_(&quot;$&quot;* #,##0.00_);_(&quot;$&quot;* \(#,##0.00\);_(&quot;$&quot;* &quot;-&quot;??_);_(@_)">
                  <c:v>-43171.038809444355</c:v>
                </c:pt>
                <c:pt idx="1112" formatCode="_(&quot;$&quot;* #,##0.00_);_(&quot;$&quot;* \(#,##0.00\);_(&quot;$&quot;* &quot;-&quot;??_);_(@_)">
                  <c:v>-43189.141051834253</c:v>
                </c:pt>
                <c:pt idx="1113" formatCode="_(&quot;$&quot;* #,##0.00_);_(&quot;$&quot;* \(#,##0.00\);_(&quot;$&quot;* &quot;-&quot;??_);_(@_)">
                  <c:v>-42957.631955005701</c:v>
                </c:pt>
                <c:pt idx="1114" formatCode="_(&quot;$&quot;* #,##0.00_);_(&quot;$&quot;* \(#,##0.00\);_(&quot;$&quot;* &quot;-&quot;??_);_(@_)">
                  <c:v>-43123.180974585346</c:v>
                </c:pt>
                <c:pt idx="1115" formatCode="_(&quot;$&quot;* #,##0.00_);_(&quot;$&quot;* \(#,##0.00\);_(&quot;$&quot;* &quot;-&quot;??_);_(@_)">
                  <c:v>-43222.678655072079</c:v>
                </c:pt>
                <c:pt idx="1116" formatCode="_(&quot;$&quot;* #,##0.00_);_(&quot;$&quot;* \(#,##0.00\);_(&quot;$&quot;* &quot;-&quot;??_);_(@_)">
                  <c:v>-43077.777061030043</c:v>
                </c:pt>
                <c:pt idx="1117" formatCode="_(&quot;$&quot;* #,##0.00_);_(&quot;$&quot;* \(#,##0.00\);_(&quot;$&quot;* &quot;-&quot;??_);_(@_)">
                  <c:v>-43142.021622386179</c:v>
                </c:pt>
                <c:pt idx="1118" formatCode="_(&quot;$&quot;* #,##0.00_);_(&quot;$&quot;* \(#,##0.00\);_(&quot;$&quot;* &quot;-&quot;??_);_(@_)">
                  <c:v>-43179.993731852206</c:v>
                </c:pt>
                <c:pt idx="1119" formatCode="_(&quot;$&quot;* #,##0.00_);_(&quot;$&quot;* \(#,##0.00\);_(&quot;$&quot;* &quot;-&quot;??_);_(@_)">
                  <c:v>-42974.077535339704</c:v>
                </c:pt>
                <c:pt idx="1120" formatCode="_(&quot;$&quot;* #,##0.00_);_(&quot;$&quot;* \(#,##0.00\);_(&quot;$&quot;* &quot;-&quot;??_);_(@_)">
                  <c:v>-42906.613817870071</c:v>
                </c:pt>
                <c:pt idx="1121" formatCode="_(&quot;$&quot;* #,##0.00_);_(&quot;$&quot;* \(#,##0.00\);_(&quot;$&quot;* &quot;-&quot;??_);_(@_)">
                  <c:v>-42885.734548978115</c:v>
                </c:pt>
                <c:pt idx="1122" formatCode="_(&quot;$&quot;* #,##0.00_);_(&quot;$&quot;* \(#,##0.00\);_(&quot;$&quot;* &quot;-&quot;??_);_(@_)">
                  <c:v>-42883.044281004957</c:v>
                </c:pt>
                <c:pt idx="1123" formatCode="_(&quot;$&quot;* #,##0.00_);_(&quot;$&quot;* \(#,##0.00\);_(&quot;$&quot;* &quot;-&quot;??_);_(@_)">
                  <c:v>-42716.138339617195</c:v>
                </c:pt>
                <c:pt idx="1124" formatCode="_(&quot;$&quot;* #,##0.00_);_(&quot;$&quot;* \(#,##0.00\);_(&quot;$&quot;* &quot;-&quot;??_);_(@_)">
                  <c:v>-42703.147162938571</c:v>
                </c:pt>
                <c:pt idx="1125" formatCode="_(&quot;$&quot;* #,##0.00_);_(&quot;$&quot;* \(#,##0.00\);_(&quot;$&quot;* &quot;-&quot;??_);_(@_)">
                  <c:v>-42708.46738574253</c:v>
                </c:pt>
                <c:pt idx="1126" formatCode="_(&quot;$&quot;* #,##0.00_);_(&quot;$&quot;* \(#,##0.00\);_(&quot;$&quot;* &quot;-&quot;??_);_(@_)">
                  <c:v>-42423.074785481484</c:v>
                </c:pt>
                <c:pt idx="1127" formatCode="_(&quot;$&quot;* #,##0.00_);_(&quot;$&quot;* \(#,##0.00\);_(&quot;$&quot;* &quot;-&quot;??_);_(@_)">
                  <c:v>-42762.531571473541</c:v>
                </c:pt>
                <c:pt idx="1128" formatCode="_(&quot;$&quot;* #,##0.00_);_(&quot;$&quot;* \(#,##0.00\);_(&quot;$&quot;* &quot;-&quot;??_);_(@_)">
                  <c:v>-42561.324511486957</c:v>
                </c:pt>
                <c:pt idx="1129" formatCode="_(&quot;$&quot;* #,##0.00_);_(&quot;$&quot;* \(#,##0.00\);_(&quot;$&quot;* &quot;-&quot;??_);_(@_)">
                  <c:v>-42428.682103048479</c:v>
                </c:pt>
                <c:pt idx="1130" formatCode="_(&quot;$&quot;* #,##0.00_);_(&quot;$&quot;* \(#,##0.00\);_(&quot;$&quot;* &quot;-&quot;??_);_(@_)">
                  <c:v>-42839.686148741952</c:v>
                </c:pt>
                <c:pt idx="1131" formatCode="_(&quot;$&quot;* #,##0.00_);_(&quot;$&quot;* \(#,##0.00\);_(&quot;$&quot;* &quot;-&quot;??_);_(@_)">
                  <c:v>-42853.06217301049</c:v>
                </c:pt>
                <c:pt idx="1132" formatCode="_(&quot;$&quot;* #,##0.00_);_(&quot;$&quot;* \(#,##0.00\);_(&quot;$&quot;* &quot;-&quot;??_);_(@_)">
                  <c:v>-43025.396543864597</c:v>
                </c:pt>
                <c:pt idx="1133" formatCode="_(&quot;$&quot;* #,##0.00_);_(&quot;$&quot;* \(#,##0.00\);_(&quot;$&quot;* &quot;-&quot;??_);_(@_)">
                  <c:v>-43113.336700770276</c:v>
                </c:pt>
                <c:pt idx="1134" formatCode="_(&quot;$&quot;* #,##0.00_);_(&quot;$&quot;* \(#,##0.00\);_(&quot;$&quot;* &quot;-&quot;??_);_(@_)">
                  <c:v>-43331.514933904669</c:v>
                </c:pt>
                <c:pt idx="1135" formatCode="_(&quot;$&quot;* #,##0.00_);_(&quot;$&quot;* \(#,##0.00\);_(&quot;$&quot;* &quot;-&quot;??_);_(@_)">
                  <c:v>-43540.812088855353</c:v>
                </c:pt>
                <c:pt idx="1136" formatCode="_(&quot;$&quot;* #,##0.00_);_(&quot;$&quot;* \(#,##0.00\);_(&quot;$&quot;* &quot;-&quot;??_);_(@_)">
                  <c:v>-43680.343505938028</c:v>
                </c:pt>
                <c:pt idx="1137" formatCode="_(&quot;$&quot;* #,##0.00_);_(&quot;$&quot;* \(#,##0.00\);_(&quot;$&quot;* &quot;-&quot;??_);_(@_)">
                  <c:v>-43601.861623006414</c:v>
                </c:pt>
                <c:pt idx="1138" formatCode="_(&quot;$&quot;* #,##0.00_);_(&quot;$&quot;* \(#,##0.00\);_(&quot;$&quot;* &quot;-&quot;??_);_(@_)">
                  <c:v>-43443.397509217772</c:v>
                </c:pt>
                <c:pt idx="1139" formatCode="_(&quot;$&quot;* #,##0.00_);_(&quot;$&quot;* \(#,##0.00\);_(&quot;$&quot;* &quot;-&quot;??_);_(@_)">
                  <c:v>-43551.82412086628</c:v>
                </c:pt>
                <c:pt idx="1140" formatCode="_(&quot;$&quot;* #,##0.00_);_(&quot;$&quot;* \(#,##0.00\);_(&quot;$&quot;* &quot;-&quot;??_);_(@_)">
                  <c:v>-43872.656604397678</c:v>
                </c:pt>
                <c:pt idx="1141" formatCode="_(&quot;$&quot;* #,##0.00_);_(&quot;$&quot;* \(#,##0.00\);_(&quot;$&quot;* &quot;-&quot;??_);_(@_)">
                  <c:v>-43877.677667450822</c:v>
                </c:pt>
                <c:pt idx="1142" formatCode="_(&quot;$&quot;* #,##0.00_);_(&quot;$&quot;* \(#,##0.00\);_(&quot;$&quot;* &quot;-&quot;??_);_(@_)">
                  <c:v>-44169.022149283344</c:v>
                </c:pt>
                <c:pt idx="1143" formatCode="_(&quot;$&quot;* #,##0.00_);_(&quot;$&quot;* \(#,##0.00\);_(&quot;$&quot;* &quot;-&quot;??_);_(@_)">
                  <c:v>-44022.043688747981</c:v>
                </c:pt>
                <c:pt idx="1144" formatCode="_(&quot;$&quot;* #,##0.00_);_(&quot;$&quot;* \(#,##0.00\);_(&quot;$&quot;* &quot;-&quot;??_);_(@_)">
                  <c:v>-43611.344530022659</c:v>
                </c:pt>
                <c:pt idx="1145" formatCode="_(&quot;$&quot;* #,##0.00_);_(&quot;$&quot;* \(#,##0.00\);_(&quot;$&quot;* &quot;-&quot;??_);_(@_)">
                  <c:v>-44037.004782951364</c:v>
                </c:pt>
                <c:pt idx="1146" formatCode="_(&quot;$&quot;* #,##0.00_);_(&quot;$&quot;* \(#,##0.00\);_(&quot;$&quot;* &quot;-&quot;??_);_(@_)">
                  <c:v>-43940.222251231731</c:v>
                </c:pt>
                <c:pt idx="1147" formatCode="_(&quot;$&quot;* #,##0.00_);_(&quot;$&quot;* \(#,##0.00\);_(&quot;$&quot;* &quot;-&quot;??_);_(@_)">
                  <c:v>-43992.491175340452</c:v>
                </c:pt>
                <c:pt idx="1148" formatCode="_(&quot;$&quot;* #,##0.00_);_(&quot;$&quot;* \(#,##0.00\);_(&quot;$&quot;* &quot;-&quot;??_);_(@_)">
                  <c:v>-44130.279895779058</c:v>
                </c:pt>
                <c:pt idx="1149" formatCode="_(&quot;$&quot;* #,##0.00_);_(&quot;$&quot;* \(#,##0.00\);_(&quot;$&quot;* &quot;-&quot;??_);_(@_)">
                  <c:v>-43929.352748592581</c:v>
                </c:pt>
                <c:pt idx="1150" formatCode="_(&quot;$&quot;* #,##0.00_);_(&quot;$&quot;* \(#,##0.00\);_(&quot;$&quot;* &quot;-&quot;??_);_(@_)">
                  <c:v>-43769.963482941799</c:v>
                </c:pt>
                <c:pt idx="1151" formatCode="_(&quot;$&quot;* #,##0.00_);_(&quot;$&quot;* \(#,##0.00\);_(&quot;$&quot;* &quot;-&quot;??_);_(@_)">
                  <c:v>-43663.320750120489</c:v>
                </c:pt>
                <c:pt idx="1152" formatCode="_(&quot;$&quot;* #,##0.00_);_(&quot;$&quot;* \(#,##0.00\);_(&quot;$&quot;* &quot;-&quot;??_);_(@_)">
                  <c:v>-44132.26421262027</c:v>
                </c:pt>
                <c:pt idx="1153" formatCode="_(&quot;$&quot;* #,##0.00_);_(&quot;$&quot;* \(#,##0.00\);_(&quot;$&quot;* &quot;-&quot;??_);_(@_)">
                  <c:v>-44473.170608396154</c:v>
                </c:pt>
                <c:pt idx="1154" formatCode="_(&quot;$&quot;* #,##0.00_);_(&quot;$&quot;* \(#,##0.00\);_(&quot;$&quot;* &quot;-&quot;??_);_(@_)">
                  <c:v>-44416.093951687842</c:v>
                </c:pt>
                <c:pt idx="1155" formatCode="_(&quot;$&quot;* #,##0.00_);_(&quot;$&quot;* \(#,##0.00\);_(&quot;$&quot;* &quot;-&quot;??_);_(@_)">
                  <c:v>-44520.195192367202</c:v>
                </c:pt>
                <c:pt idx="1156" formatCode="_(&quot;$&quot;* #,##0.00_);_(&quot;$&quot;* \(#,##0.00\);_(&quot;$&quot;* &quot;-&quot;??_);_(@_)">
                  <c:v>-44403.994861107487</c:v>
                </c:pt>
                <c:pt idx="1157" formatCode="_(&quot;$&quot;* #,##0.00_);_(&quot;$&quot;* \(#,##0.00\);_(&quot;$&quot;* &quot;-&quot;??_);_(@_)">
                  <c:v>-44379.377723232799</c:v>
                </c:pt>
                <c:pt idx="1158" formatCode="_(&quot;$&quot;* #,##0.00_);_(&quot;$&quot;* \(#,##0.00\);_(&quot;$&quot;* &quot;-&quot;??_);_(@_)">
                  <c:v>-44339.56343764934</c:v>
                </c:pt>
                <c:pt idx="1159" formatCode="_(&quot;$&quot;* #,##0.00_);_(&quot;$&quot;* \(#,##0.00\);_(&quot;$&quot;* &quot;-&quot;??_);_(@_)">
                  <c:v>-44460.892718637311</c:v>
                </c:pt>
                <c:pt idx="1160" formatCode="_(&quot;$&quot;* #,##0.00_);_(&quot;$&quot;* \(#,##0.00\);_(&quot;$&quot;* &quot;-&quot;??_);_(@_)">
                  <c:v>-44245.837723105273</c:v>
                </c:pt>
                <c:pt idx="1161" formatCode="_(&quot;$&quot;* #,##0.00_);_(&quot;$&quot;* \(#,##0.00\);_(&quot;$&quot;* &quot;-&quot;??_);_(@_)">
                  <c:v>-44168.461040235052</c:v>
                </c:pt>
                <c:pt idx="1162" formatCode="_(&quot;$&quot;* #,##0.00_);_(&quot;$&quot;* \(#,##0.00\);_(&quot;$&quot;* &quot;-&quot;??_);_(@_)">
                  <c:v>-44188.943201970149</c:v>
                </c:pt>
                <c:pt idx="1163" formatCode="_(&quot;$&quot;* #,##0.00_);_(&quot;$&quot;* \(#,##0.00\);_(&quot;$&quot;* &quot;-&quot;??_);_(@_)">
                  <c:v>-43554.350789045217</c:v>
                </c:pt>
                <c:pt idx="1164" formatCode="_(&quot;$&quot;* #,##0.00_);_(&quot;$&quot;* \(#,##0.00\);_(&quot;$&quot;* &quot;-&quot;??_);_(@_)">
                  <c:v>-44372.907492626022</c:v>
                </c:pt>
                <c:pt idx="1165" formatCode="_(&quot;$&quot;* #,##0.00_);_(&quot;$&quot;* \(#,##0.00\);_(&quot;$&quot;* &quot;-&quot;??_);_(@_)">
                  <c:v>-44495.540166852894</c:v>
                </c:pt>
                <c:pt idx="1166" formatCode="_(&quot;$&quot;* #,##0.00_);_(&quot;$&quot;* \(#,##0.00\);_(&quot;$&quot;* &quot;-&quot;??_);_(@_)">
                  <c:v>-44469.402910112171</c:v>
                </c:pt>
                <c:pt idx="1167" formatCode="_(&quot;$&quot;* #,##0.00_);_(&quot;$&quot;* \(#,##0.00\);_(&quot;$&quot;* &quot;-&quot;??_);_(@_)">
                  <c:v>-44612.468072405733</c:v>
                </c:pt>
                <c:pt idx="1168" formatCode="_(&quot;$&quot;* #,##0.00_);_(&quot;$&quot;* \(#,##0.00\);_(&quot;$&quot;* &quot;-&quot;??_);_(@_)">
                  <c:v>-44478.595335999838</c:v>
                </c:pt>
                <c:pt idx="1169" formatCode="_(&quot;$&quot;* #,##0.00_);_(&quot;$&quot;* \(#,##0.00\);_(&quot;$&quot;* &quot;-&quot;??_);_(@_)">
                  <c:v>-44576.053489473015</c:v>
                </c:pt>
                <c:pt idx="1170" formatCode="_(&quot;$&quot;* #,##0.00_);_(&quot;$&quot;* \(#,##0.00\);_(&quot;$&quot;* &quot;-&quot;??_);_(@_)">
                  <c:v>-44557.388159361835</c:v>
                </c:pt>
                <c:pt idx="1171" formatCode="_(&quot;$&quot;* #,##0.00_);_(&quot;$&quot;* \(#,##0.00\);_(&quot;$&quot;* &quot;-&quot;??_);_(@_)">
                  <c:v>-44523.58088367094</c:v>
                </c:pt>
                <c:pt idx="1172" formatCode="_(&quot;$&quot;* #,##0.00_);_(&quot;$&quot;* \(#,##0.00\);_(&quot;$&quot;* &quot;-&quot;??_);_(@_)">
                  <c:v>-44438.842171257776</c:v>
                </c:pt>
                <c:pt idx="1173" formatCode="_(&quot;$&quot;* #,##0.00_);_(&quot;$&quot;* \(#,##0.00\);_(&quot;$&quot;* &quot;-&quot;??_);_(@_)">
                  <c:v>-44986.322449983825</c:v>
                </c:pt>
                <c:pt idx="1174" formatCode="_(&quot;$&quot;* #,##0.00_);_(&quot;$&quot;* \(#,##0.00\);_(&quot;$&quot;* &quot;-&quot;??_);_(@_)">
                  <c:v>-45119.812725621225</c:v>
                </c:pt>
                <c:pt idx="1175" formatCode="_(&quot;$&quot;* #,##0.00_);_(&quot;$&quot;* \(#,##0.00\);_(&quot;$&quot;* &quot;-&quot;??_);_(@_)">
                  <c:v>-45392.063733487339</c:v>
                </c:pt>
                <c:pt idx="1176" formatCode="_(&quot;$&quot;* #,##0.00_);_(&quot;$&quot;* \(#,##0.00\);_(&quot;$&quot;* &quot;-&quot;??_);_(@_)">
                  <c:v>-45078.008422260798</c:v>
                </c:pt>
                <c:pt idx="1177" formatCode="_(&quot;$&quot;* #,##0.00_);_(&quot;$&quot;* \(#,##0.00\);_(&quot;$&quot;* &quot;-&quot;??_);_(@_)">
                  <c:v>-45481.906993038683</c:v>
                </c:pt>
                <c:pt idx="1178" formatCode="_(&quot;$&quot;* #,##0.00_);_(&quot;$&quot;* \(#,##0.00\);_(&quot;$&quot;* &quot;-&quot;??_);_(@_)">
                  <c:v>-45601.188892723134</c:v>
                </c:pt>
                <c:pt idx="1179" formatCode="_(&quot;$&quot;* #,##0.00_);_(&quot;$&quot;* \(#,##0.00\);_(&quot;$&quot;* &quot;-&quot;??_);_(@_)">
                  <c:v>-45665.677692736783</c:v>
                </c:pt>
                <c:pt idx="1180" formatCode="_(&quot;$&quot;* #,##0.00_);_(&quot;$&quot;* \(#,##0.00\);_(&quot;$&quot;* &quot;-&quot;??_);_(@_)">
                  <c:v>-45859.484507096946</c:v>
                </c:pt>
                <c:pt idx="1181" formatCode="_(&quot;$&quot;* #,##0.00_);_(&quot;$&quot;* \(#,##0.00\);_(&quot;$&quot;* &quot;-&quot;??_);_(@_)">
                  <c:v>-45653.817505784515</c:v>
                </c:pt>
                <c:pt idx="1182" formatCode="_(&quot;$&quot;* #,##0.00_);_(&quot;$&quot;* \(#,##0.00\);_(&quot;$&quot;* &quot;-&quot;??_);_(@_)">
                  <c:v>-45953.241184867577</c:v>
                </c:pt>
                <c:pt idx="1183" formatCode="_(&quot;$&quot;* #,##0.00_);_(&quot;$&quot;* \(#,##0.00\);_(&quot;$&quot;* &quot;-&quot;??_);_(@_)">
                  <c:v>-45808.776601186481</c:v>
                </c:pt>
                <c:pt idx="1184" formatCode="_(&quot;$&quot;* #,##0.00_);_(&quot;$&quot;* \(#,##0.00\);_(&quot;$&quot;* &quot;-&quot;??_);_(@_)">
                  <c:v>-45685.396237321489</c:v>
                </c:pt>
                <c:pt idx="1185" formatCode="_(&quot;$&quot;* #,##0.00_);_(&quot;$&quot;* \(#,##0.00\);_(&quot;$&quot;* &quot;-&quot;??_);_(@_)">
                  <c:v>-46081.468377227131</c:v>
                </c:pt>
                <c:pt idx="1186" formatCode="_(&quot;$&quot;* #,##0.00_);_(&quot;$&quot;* \(#,##0.00\);_(&quot;$&quot;* &quot;-&quot;??_);_(@_)">
                  <c:v>-45998.554670943093</c:v>
                </c:pt>
                <c:pt idx="1187" formatCode="_(&quot;$&quot;* #,##0.00_);_(&quot;$&quot;* \(#,##0.00\);_(&quot;$&quot;* &quot;-&quot;??_);_(@_)">
                  <c:v>-46039.246725110221</c:v>
                </c:pt>
                <c:pt idx="1188" formatCode="_(&quot;$&quot;* #,##0.00_);_(&quot;$&quot;* \(#,##0.00\);_(&quot;$&quot;* &quot;-&quot;??_);_(@_)">
                  <c:v>-45672.380561925122</c:v>
                </c:pt>
                <c:pt idx="1189" formatCode="_(&quot;$&quot;* #,##0.00_);_(&quot;$&quot;* \(#,##0.00\);_(&quot;$&quot;* &quot;-&quot;??_);_(@_)">
                  <c:v>-45991.952794204102</c:v>
                </c:pt>
                <c:pt idx="1190" formatCode="_(&quot;$&quot;* #,##0.00_);_(&quot;$&quot;* \(#,##0.00\);_(&quot;$&quot;* &quot;-&quot;??_);_(@_)">
                  <c:v>-45622.94740362568</c:v>
                </c:pt>
                <c:pt idx="1191" formatCode="_(&quot;$&quot;* #,##0.00_);_(&quot;$&quot;* \(#,##0.00\);_(&quot;$&quot;* &quot;-&quot;??_);_(@_)">
                  <c:v>-45881.71209980479</c:v>
                </c:pt>
                <c:pt idx="1192" formatCode="_(&quot;$&quot;* #,##0.00_);_(&quot;$&quot;* \(#,##0.00\);_(&quot;$&quot;* &quot;-&quot;??_);_(@_)">
                  <c:v>-45999.086088618147</c:v>
                </c:pt>
                <c:pt idx="1193" formatCode="_(&quot;$&quot;* #,##0.00_);_(&quot;$&quot;* \(#,##0.00\);_(&quot;$&quot;* &quot;-&quot;??_);_(@_)">
                  <c:v>-45795.529298698806</c:v>
                </c:pt>
                <c:pt idx="1194" formatCode="_(&quot;$&quot;* #,##0.00_);_(&quot;$&quot;* \(#,##0.00\);_(&quot;$&quot;* &quot;-&quot;??_);_(@_)">
                  <c:v>-45947.472072205681</c:v>
                </c:pt>
                <c:pt idx="1195" formatCode="_(&quot;$&quot;* #,##0.00_);_(&quot;$&quot;* \(#,##0.00\);_(&quot;$&quot;* &quot;-&quot;??_);_(@_)">
                  <c:v>-45701.735568486023</c:v>
                </c:pt>
                <c:pt idx="1196" formatCode="_(&quot;$&quot;* #,##0.00_);_(&quot;$&quot;* \(#,##0.00\);_(&quot;$&quot;* &quot;-&quot;??_);_(@_)">
                  <c:v>-45729.451192414934</c:v>
                </c:pt>
                <c:pt idx="1197" formatCode="_(&quot;$&quot;* #,##0.00_);_(&quot;$&quot;* \(#,##0.00\);_(&quot;$&quot;* &quot;-&quot;??_);_(@_)">
                  <c:v>-45456.809151259898</c:v>
                </c:pt>
                <c:pt idx="1198" formatCode="_(&quot;$&quot;* #,##0.00_);_(&quot;$&quot;* \(#,##0.00\);_(&quot;$&quot;* &quot;-&quot;??_);_(@_)">
                  <c:v>-45448.99784740663</c:v>
                </c:pt>
                <c:pt idx="1199" formatCode="_(&quot;$&quot;* #,##0.00_);_(&quot;$&quot;* \(#,##0.00\);_(&quot;$&quot;* &quot;-&quot;??_);_(@_)">
                  <c:v>-45664.809004755814</c:v>
                </c:pt>
                <c:pt idx="1200" formatCode="_(&quot;$&quot;* #,##0.00_);_(&quot;$&quot;* \(#,##0.00\);_(&quot;$&quot;* &quot;-&quot;??_);_(@_)">
                  <c:v>-45507.615223867826</c:v>
                </c:pt>
                <c:pt idx="1201" formatCode="_(&quot;$&quot;* #,##0.00_);_(&quot;$&quot;* \(#,##0.00\);_(&quot;$&quot;* &quot;-&quot;??_);_(@_)">
                  <c:v>-45605.480164493005</c:v>
                </c:pt>
                <c:pt idx="1202" formatCode="_(&quot;$&quot;* #,##0.00_);_(&quot;$&quot;* \(#,##0.00\);_(&quot;$&quot;* &quot;-&quot;??_);_(@_)">
                  <c:v>-45540.673962112094</c:v>
                </c:pt>
                <c:pt idx="1203" formatCode="_(&quot;$&quot;* #,##0.00_);_(&quot;$&quot;* \(#,##0.00\);_(&quot;$&quot;* &quot;-&quot;??_);_(@_)">
                  <c:v>-45297.846973023625</c:v>
                </c:pt>
                <c:pt idx="1204" formatCode="_(&quot;$&quot;* #,##0.00_);_(&quot;$&quot;* \(#,##0.00\);_(&quot;$&quot;* &quot;-&quot;??_);_(@_)">
                  <c:v>-45414.368742726328</c:v>
                </c:pt>
                <c:pt idx="1205" formatCode="_(&quot;$&quot;* #,##0.00_);_(&quot;$&quot;* \(#,##0.00\);_(&quot;$&quot;* &quot;-&quot;??_);_(@_)">
                  <c:v>-45780.152763411883</c:v>
                </c:pt>
                <c:pt idx="1206" formatCode="_(&quot;$&quot;* #,##0.00_);_(&quot;$&quot;* \(#,##0.00\);_(&quot;$&quot;* &quot;-&quot;??_);_(@_)">
                  <c:v>-45651.620199541816</c:v>
                </c:pt>
                <c:pt idx="1207" formatCode="_(&quot;$&quot;* #,##0.00_);_(&quot;$&quot;* \(#,##0.00\);_(&quot;$&quot;* &quot;-&quot;??_);_(@_)">
                  <c:v>-46037.121477069661</c:v>
                </c:pt>
                <c:pt idx="1208" formatCode="_(&quot;$&quot;* #,##0.00_);_(&quot;$&quot;* \(#,##0.00\);_(&quot;$&quot;* &quot;-&quot;??_);_(@_)">
                  <c:v>-46198.598134347238</c:v>
                </c:pt>
                <c:pt idx="1209" formatCode="_(&quot;$&quot;* #,##0.00_);_(&quot;$&quot;* \(#,##0.00\);_(&quot;$&quot;* &quot;-&quot;??_);_(@_)">
                  <c:v>-46385.935706244149</c:v>
                </c:pt>
                <c:pt idx="1210" formatCode="_(&quot;$&quot;* #,##0.00_);_(&quot;$&quot;* \(#,##0.00\);_(&quot;$&quot;* &quot;-&quot;??_);_(@_)">
                  <c:v>-46487.151260827814</c:v>
                </c:pt>
                <c:pt idx="1211" formatCode="_(&quot;$&quot;* #,##0.00_);_(&quot;$&quot;* \(#,##0.00\);_(&quot;$&quot;* &quot;-&quot;??_);_(@_)">
                  <c:v>-46641.203079864565</c:v>
                </c:pt>
                <c:pt idx="1212" formatCode="_(&quot;$&quot;* #,##0.00_);_(&quot;$&quot;* \(#,##0.00\);_(&quot;$&quot;* &quot;-&quot;??_);_(@_)">
                  <c:v>-46837.591546566466</c:v>
                </c:pt>
                <c:pt idx="1213" formatCode="_(&quot;$&quot;* #,##0.00_);_(&quot;$&quot;* \(#,##0.00\);_(&quot;$&quot;* &quot;-&quot;??_);_(@_)">
                  <c:v>-46748.128483566914</c:v>
                </c:pt>
                <c:pt idx="1214" formatCode="_(&quot;$&quot;* #,##0.00_);_(&quot;$&quot;* \(#,##0.00\);_(&quot;$&quot;* &quot;-&quot;??_);_(@_)">
                  <c:v>-47037.794406846806</c:v>
                </c:pt>
                <c:pt idx="1215" formatCode="_(&quot;$&quot;* #,##0.00_);_(&quot;$&quot;* \(#,##0.00\);_(&quot;$&quot;* &quot;-&quot;??_);_(@_)">
                  <c:v>-47101.370077384672</c:v>
                </c:pt>
                <c:pt idx="1216" formatCode="_(&quot;$&quot;* #,##0.00_);_(&quot;$&quot;* \(#,##0.00\);_(&quot;$&quot;* &quot;-&quot;??_);_(@_)">
                  <c:v>-47262.624946864235</c:v>
                </c:pt>
                <c:pt idx="1217" formatCode="_(&quot;$&quot;* #,##0.00_);_(&quot;$&quot;* \(#,##0.00\);_(&quot;$&quot;* &quot;-&quot;??_);_(@_)">
                  <c:v>-47102.291386427692</c:v>
                </c:pt>
                <c:pt idx="1218" formatCode="_(&quot;$&quot;* #,##0.00_);_(&quot;$&quot;* \(#,##0.00\);_(&quot;$&quot;* &quot;-&quot;??_);_(@_)">
                  <c:v>-47179.067070394456</c:v>
                </c:pt>
                <c:pt idx="1219" formatCode="_(&quot;$&quot;* #,##0.00_);_(&quot;$&quot;* \(#,##0.00\);_(&quot;$&quot;* &quot;-&quot;??_);_(@_)">
                  <c:v>-47062.806107256183</c:v>
                </c:pt>
                <c:pt idx="1220" formatCode="_(&quot;$&quot;* #,##0.00_);_(&quot;$&quot;* \(#,##0.00\);_(&quot;$&quot;* &quot;-&quot;??_);_(@_)">
                  <c:v>-46971.326689286325</c:v>
                </c:pt>
                <c:pt idx="1221" formatCode="_(&quot;$&quot;* #,##0.00_);_(&quot;$&quot;* \(#,##0.00\);_(&quot;$&quot;* &quot;-&quot;??_);_(@_)">
                  <c:v>-46810.538483837321</c:v>
                </c:pt>
                <c:pt idx="1222" formatCode="_(&quot;$&quot;* #,##0.00_);_(&quot;$&quot;* \(#,##0.00\);_(&quot;$&quot;* &quot;-&quot;??_);_(@_)">
                  <c:v>-46783.631118414989</c:v>
                </c:pt>
                <c:pt idx="1223" formatCode="_(&quot;$&quot;* #,##0.00_);_(&quot;$&quot;* \(#,##0.00\);_(&quot;$&quot;* &quot;-&quot;??_);_(@_)">
                  <c:v>-46816.810930386193</c:v>
                </c:pt>
                <c:pt idx="1224" formatCode="_(&quot;$&quot;* #,##0.00_);_(&quot;$&quot;* \(#,##0.00\);_(&quot;$&quot;* &quot;-&quot;??_);_(@_)">
                  <c:v>-46782.712611647003</c:v>
                </c:pt>
                <c:pt idx="1225" formatCode="_(&quot;$&quot;* #,##0.00_);_(&quot;$&quot;* \(#,##0.00\);_(&quot;$&quot;* &quot;-&quot;??_);_(@_)">
                  <c:v>-46746.358533498897</c:v>
                </c:pt>
                <c:pt idx="1226" formatCode="_(&quot;$&quot;* #,##0.00_);_(&quot;$&quot;* \(#,##0.00\);_(&quot;$&quot;* &quot;-&quot;??_);_(@_)">
                  <c:v>-46617.500916634024</c:v>
                </c:pt>
                <c:pt idx="1227" formatCode="_(&quot;$&quot;* #,##0.00_);_(&quot;$&quot;* \(#,##0.00\);_(&quot;$&quot;* &quot;-&quot;??_);_(@_)">
                  <c:v>-46482.380684009724</c:v>
                </c:pt>
                <c:pt idx="1228" formatCode="_(&quot;$&quot;* #,##0.00_);_(&quot;$&quot;* \(#,##0.00\);_(&quot;$&quot;* &quot;-&quot;??_);_(@_)">
                  <c:v>-46552.747857672919</c:v>
                </c:pt>
                <c:pt idx="1229" formatCode="_(&quot;$&quot;* #,##0.00_);_(&quot;$&quot;* \(#,##0.00\);_(&quot;$&quot;* &quot;-&quot;??_);_(@_)">
                  <c:v>-46838.611298688666</c:v>
                </c:pt>
                <c:pt idx="1230" formatCode="_(&quot;$&quot;* #,##0.00_);_(&quot;$&quot;* \(#,##0.00\);_(&quot;$&quot;* &quot;-&quot;??_);_(@_)">
                  <c:v>-47101.553267011113</c:v>
                </c:pt>
                <c:pt idx="1231" formatCode="_(&quot;$&quot;* #,##0.00_);_(&quot;$&quot;* \(#,##0.00\);_(&quot;$&quot;* &quot;-&quot;??_);_(@_)">
                  <c:v>-46907.540962666833</c:v>
                </c:pt>
                <c:pt idx="1232" formatCode="_(&quot;$&quot;* #,##0.00_);_(&quot;$&quot;* \(#,##0.00\);_(&quot;$&quot;* &quot;-&quot;??_);_(@_)">
                  <c:v>-46807.878401205693</c:v>
                </c:pt>
                <c:pt idx="1233" formatCode="_(&quot;$&quot;* #,##0.00_);_(&quot;$&quot;* \(#,##0.00\);_(&quot;$&quot;* &quot;-&quot;??_);_(@_)">
                  <c:v>-47145.072141349483</c:v>
                </c:pt>
                <c:pt idx="1234" formatCode="_(&quot;$&quot;* #,##0.00_);_(&quot;$&quot;* \(#,##0.00\);_(&quot;$&quot;* &quot;-&quot;??_);_(@_)">
                  <c:v>-46965.041419854337</c:v>
                </c:pt>
                <c:pt idx="1235" formatCode="_(&quot;$&quot;* #,##0.00_);_(&quot;$&quot;* \(#,##0.00\);_(&quot;$&quot;* &quot;-&quot;??_);_(@_)">
                  <c:v>-46970.359754066958</c:v>
                </c:pt>
                <c:pt idx="1236" formatCode="_(&quot;$&quot;* #,##0.00_);_(&quot;$&quot;* \(#,##0.00\);_(&quot;$&quot;* &quot;-&quot;??_);_(@_)">
                  <c:v>-46864.024362064549</c:v>
                </c:pt>
                <c:pt idx="1237" formatCode="_(&quot;$&quot;* #,##0.00_);_(&quot;$&quot;* \(#,##0.00\);_(&quot;$&quot;* &quot;-&quot;??_);_(@_)">
                  <c:v>-46903.182984081068</c:v>
                </c:pt>
                <c:pt idx="1238" formatCode="_(&quot;$&quot;* #,##0.00_);_(&quot;$&quot;* \(#,##0.00\);_(&quot;$&quot;* &quot;-&quot;??_);_(@_)">
                  <c:v>-46856.276412750456</c:v>
                </c:pt>
                <c:pt idx="1239" formatCode="_(&quot;$&quot;* #,##0.00_);_(&quot;$&quot;* \(#,##0.00\);_(&quot;$&quot;* &quot;-&quot;??_);_(@_)">
                  <c:v>-46984.708588047193</c:v>
                </c:pt>
                <c:pt idx="1240" formatCode="_(&quot;$&quot;* #,##0.00_);_(&quot;$&quot;* \(#,##0.00\);_(&quot;$&quot;* &quot;-&quot;??_);_(@_)">
                  <c:v>-47028.816632276452</c:v>
                </c:pt>
                <c:pt idx="1241" formatCode="_(&quot;$&quot;* #,##0.00_);_(&quot;$&quot;* \(#,##0.00\);_(&quot;$&quot;* &quot;-&quot;??_);_(@_)">
                  <c:v>-47434.708998774513</c:v>
                </c:pt>
                <c:pt idx="1242" formatCode="_(&quot;$&quot;* #,##0.00_);_(&quot;$&quot;* \(#,##0.00\);_(&quot;$&quot;* &quot;-&quot;??_);_(@_)">
                  <c:v>-47913.594828583948</c:v>
                </c:pt>
                <c:pt idx="1243" formatCode="_(&quot;$&quot;* #,##0.00_);_(&quot;$&quot;* \(#,##0.00\);_(&quot;$&quot;* &quot;-&quot;??_);_(@_)">
                  <c:v>-48188.111542236787</c:v>
                </c:pt>
                <c:pt idx="1244" formatCode="_(&quot;$&quot;* #,##0.00_);_(&quot;$&quot;* \(#,##0.00\);_(&quot;$&quot;* &quot;-&quot;??_);_(@_)">
                  <c:v>-48405.085913678486</c:v>
                </c:pt>
                <c:pt idx="1245" formatCode="_(&quot;$&quot;* #,##0.00_);_(&quot;$&quot;* \(#,##0.00\);_(&quot;$&quot;* &quot;-&quot;??_);_(@_)">
                  <c:v>-48270.516659519162</c:v>
                </c:pt>
                <c:pt idx="1246" formatCode="_(&quot;$&quot;* #,##0.00_);_(&quot;$&quot;* \(#,##0.00\);_(&quot;$&quot;* &quot;-&quot;??_);_(@_)">
                  <c:v>-47894.090390703248</c:v>
                </c:pt>
                <c:pt idx="1247" formatCode="_(&quot;$&quot;* #,##0.00_);_(&quot;$&quot;* \(#,##0.00\);_(&quot;$&quot;* &quot;-&quot;??_);_(@_)">
                  <c:v>-47859.292132637427</c:v>
                </c:pt>
                <c:pt idx="1248" formatCode="_(&quot;$&quot;* #,##0.00_);_(&quot;$&quot;* \(#,##0.00\);_(&quot;$&quot;* &quot;-&quot;??_);_(@_)">
                  <c:v>-48082.015469239283</c:v>
                </c:pt>
                <c:pt idx="1249" formatCode="_(&quot;$&quot;* #,##0.00_);_(&quot;$&quot;* \(#,##0.00\);_(&quot;$&quot;* &quot;-&quot;??_);_(@_)">
                  <c:v>-47595.002253679791</c:v>
                </c:pt>
                <c:pt idx="1250" formatCode="_(&quot;$&quot;* #,##0.00_);_(&quot;$&quot;* \(#,##0.00\);_(&quot;$&quot;* &quot;-&quot;??_);_(@_)">
                  <c:v>-47831.677371697595</c:v>
                </c:pt>
                <c:pt idx="1251" formatCode="_(&quot;$&quot;* #,##0.00_);_(&quot;$&quot;* \(#,##0.00\);_(&quot;$&quot;* &quot;-&quot;??_);_(@_)">
                  <c:v>-47593.322089999376</c:v>
                </c:pt>
                <c:pt idx="1252" formatCode="_(&quot;$&quot;* #,##0.00_);_(&quot;$&quot;* \(#,##0.00\);_(&quot;$&quot;* &quot;-&quot;??_);_(@_)">
                  <c:v>-47672.591264310344</c:v>
                </c:pt>
                <c:pt idx="1253" formatCode="_(&quot;$&quot;* #,##0.00_);_(&quot;$&quot;* \(#,##0.00\);_(&quot;$&quot;* &quot;-&quot;??_);_(@_)">
                  <c:v>-47745.305894695746</c:v>
                </c:pt>
                <c:pt idx="1254" formatCode="_(&quot;$&quot;* #,##0.00_);_(&quot;$&quot;* \(#,##0.00\);_(&quot;$&quot;* &quot;-&quot;??_);_(@_)">
                  <c:v>-47805.39802612082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C4-4E17-8396-4845B188F6A2}"/>
            </c:ext>
          </c:extLst>
        </c:ser>
        <c:ser>
          <c:idx val="2"/>
          <c:order val="2"/>
          <c:tx>
            <c:strRef>
              <c:f>'SPY vs RSP'!$AA$2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'SPY vs RSP'!$A$3:$A$1257</c:f>
              <c:numCache>
                <c:formatCode>m/d/yyyy</c:formatCode>
                <c:ptCount val="1255"/>
                <c:pt idx="0">
                  <c:v>44417</c:v>
                </c:pt>
                <c:pt idx="1">
                  <c:v>44418</c:v>
                </c:pt>
                <c:pt idx="2">
                  <c:v>44419</c:v>
                </c:pt>
                <c:pt idx="3">
                  <c:v>44420</c:v>
                </c:pt>
                <c:pt idx="4">
                  <c:v>44421</c:v>
                </c:pt>
                <c:pt idx="5">
                  <c:v>44424</c:v>
                </c:pt>
                <c:pt idx="6">
                  <c:v>44425</c:v>
                </c:pt>
                <c:pt idx="7">
                  <c:v>44426</c:v>
                </c:pt>
                <c:pt idx="8">
                  <c:v>44427</c:v>
                </c:pt>
                <c:pt idx="9">
                  <c:v>44428</c:v>
                </c:pt>
                <c:pt idx="10">
                  <c:v>44431</c:v>
                </c:pt>
                <c:pt idx="11">
                  <c:v>44432</c:v>
                </c:pt>
                <c:pt idx="12">
                  <c:v>44433</c:v>
                </c:pt>
                <c:pt idx="13">
                  <c:v>44434</c:v>
                </c:pt>
                <c:pt idx="14">
                  <c:v>44435</c:v>
                </c:pt>
                <c:pt idx="15">
                  <c:v>44438</c:v>
                </c:pt>
                <c:pt idx="16">
                  <c:v>44439</c:v>
                </c:pt>
                <c:pt idx="17">
                  <c:v>44440</c:v>
                </c:pt>
                <c:pt idx="18">
                  <c:v>44441</c:v>
                </c:pt>
                <c:pt idx="19">
                  <c:v>44442</c:v>
                </c:pt>
                <c:pt idx="20">
                  <c:v>44446</c:v>
                </c:pt>
                <c:pt idx="21">
                  <c:v>44447</c:v>
                </c:pt>
                <c:pt idx="22">
                  <c:v>44448</c:v>
                </c:pt>
                <c:pt idx="23">
                  <c:v>44449</c:v>
                </c:pt>
                <c:pt idx="24">
                  <c:v>44452</c:v>
                </c:pt>
                <c:pt idx="25">
                  <c:v>44453</c:v>
                </c:pt>
                <c:pt idx="26">
                  <c:v>44454</c:v>
                </c:pt>
                <c:pt idx="27">
                  <c:v>44455</c:v>
                </c:pt>
                <c:pt idx="28">
                  <c:v>44456</c:v>
                </c:pt>
                <c:pt idx="29">
                  <c:v>44459</c:v>
                </c:pt>
                <c:pt idx="30">
                  <c:v>44460</c:v>
                </c:pt>
                <c:pt idx="31">
                  <c:v>44461</c:v>
                </c:pt>
                <c:pt idx="32">
                  <c:v>44462</c:v>
                </c:pt>
                <c:pt idx="33">
                  <c:v>44463</c:v>
                </c:pt>
                <c:pt idx="34">
                  <c:v>44466</c:v>
                </c:pt>
                <c:pt idx="35">
                  <c:v>44467</c:v>
                </c:pt>
                <c:pt idx="36">
                  <c:v>44468</c:v>
                </c:pt>
                <c:pt idx="37">
                  <c:v>44469</c:v>
                </c:pt>
                <c:pt idx="38">
                  <c:v>44470</c:v>
                </c:pt>
                <c:pt idx="39">
                  <c:v>44473</c:v>
                </c:pt>
                <c:pt idx="40">
                  <c:v>44474</c:v>
                </c:pt>
                <c:pt idx="41">
                  <c:v>44475</c:v>
                </c:pt>
                <c:pt idx="42">
                  <c:v>44476</c:v>
                </c:pt>
                <c:pt idx="43">
                  <c:v>44477</c:v>
                </c:pt>
                <c:pt idx="44">
                  <c:v>44480</c:v>
                </c:pt>
                <c:pt idx="45">
                  <c:v>44481</c:v>
                </c:pt>
                <c:pt idx="46">
                  <c:v>44482</c:v>
                </c:pt>
                <c:pt idx="47">
                  <c:v>44483</c:v>
                </c:pt>
                <c:pt idx="48">
                  <c:v>44484</c:v>
                </c:pt>
                <c:pt idx="49">
                  <c:v>44487</c:v>
                </c:pt>
                <c:pt idx="50">
                  <c:v>44488</c:v>
                </c:pt>
                <c:pt idx="51">
                  <c:v>44489</c:v>
                </c:pt>
                <c:pt idx="52">
                  <c:v>44490</c:v>
                </c:pt>
                <c:pt idx="53">
                  <c:v>44491</c:v>
                </c:pt>
                <c:pt idx="54">
                  <c:v>44494</c:v>
                </c:pt>
                <c:pt idx="55">
                  <c:v>44495</c:v>
                </c:pt>
                <c:pt idx="56">
                  <c:v>44496</c:v>
                </c:pt>
                <c:pt idx="57">
                  <c:v>44497</c:v>
                </c:pt>
                <c:pt idx="58">
                  <c:v>44498</c:v>
                </c:pt>
                <c:pt idx="59">
                  <c:v>44501</c:v>
                </c:pt>
                <c:pt idx="60">
                  <c:v>44502</c:v>
                </c:pt>
                <c:pt idx="61">
                  <c:v>44503</c:v>
                </c:pt>
                <c:pt idx="62">
                  <c:v>44504</c:v>
                </c:pt>
                <c:pt idx="63">
                  <c:v>44505</c:v>
                </c:pt>
                <c:pt idx="64">
                  <c:v>44508</c:v>
                </c:pt>
                <c:pt idx="65">
                  <c:v>44509</c:v>
                </c:pt>
                <c:pt idx="66">
                  <c:v>44510</c:v>
                </c:pt>
                <c:pt idx="67">
                  <c:v>44511</c:v>
                </c:pt>
                <c:pt idx="68">
                  <c:v>44512</c:v>
                </c:pt>
                <c:pt idx="69">
                  <c:v>44515</c:v>
                </c:pt>
                <c:pt idx="70">
                  <c:v>44516</c:v>
                </c:pt>
                <c:pt idx="71">
                  <c:v>44517</c:v>
                </c:pt>
                <c:pt idx="72">
                  <c:v>44518</c:v>
                </c:pt>
                <c:pt idx="73">
                  <c:v>44519</c:v>
                </c:pt>
                <c:pt idx="74">
                  <c:v>44522</c:v>
                </c:pt>
                <c:pt idx="75">
                  <c:v>44523</c:v>
                </c:pt>
                <c:pt idx="76">
                  <c:v>44524</c:v>
                </c:pt>
                <c:pt idx="77">
                  <c:v>44526</c:v>
                </c:pt>
                <c:pt idx="78">
                  <c:v>44529</c:v>
                </c:pt>
                <c:pt idx="79">
                  <c:v>44530</c:v>
                </c:pt>
                <c:pt idx="80">
                  <c:v>44531</c:v>
                </c:pt>
                <c:pt idx="81">
                  <c:v>44532</c:v>
                </c:pt>
                <c:pt idx="82">
                  <c:v>44533</c:v>
                </c:pt>
                <c:pt idx="83">
                  <c:v>44536</c:v>
                </c:pt>
                <c:pt idx="84">
                  <c:v>44537</c:v>
                </c:pt>
                <c:pt idx="85">
                  <c:v>44538</c:v>
                </c:pt>
                <c:pt idx="86">
                  <c:v>44539</c:v>
                </c:pt>
                <c:pt idx="87">
                  <c:v>44540</c:v>
                </c:pt>
                <c:pt idx="88">
                  <c:v>44543</c:v>
                </c:pt>
                <c:pt idx="89">
                  <c:v>44544</c:v>
                </c:pt>
                <c:pt idx="90">
                  <c:v>44545</c:v>
                </c:pt>
                <c:pt idx="91">
                  <c:v>44546</c:v>
                </c:pt>
                <c:pt idx="92">
                  <c:v>44547</c:v>
                </c:pt>
                <c:pt idx="93">
                  <c:v>44550</c:v>
                </c:pt>
                <c:pt idx="94">
                  <c:v>44551</c:v>
                </c:pt>
                <c:pt idx="95">
                  <c:v>44552</c:v>
                </c:pt>
                <c:pt idx="96">
                  <c:v>44553</c:v>
                </c:pt>
                <c:pt idx="97">
                  <c:v>44557</c:v>
                </c:pt>
                <c:pt idx="98">
                  <c:v>44558</c:v>
                </c:pt>
                <c:pt idx="99">
                  <c:v>44559</c:v>
                </c:pt>
                <c:pt idx="100">
                  <c:v>44560</c:v>
                </c:pt>
                <c:pt idx="101">
                  <c:v>44561</c:v>
                </c:pt>
                <c:pt idx="102">
                  <c:v>44564</c:v>
                </c:pt>
                <c:pt idx="103">
                  <c:v>44565</c:v>
                </c:pt>
                <c:pt idx="104">
                  <c:v>44566</c:v>
                </c:pt>
                <c:pt idx="105">
                  <c:v>44567</c:v>
                </c:pt>
                <c:pt idx="106">
                  <c:v>44568</c:v>
                </c:pt>
                <c:pt idx="107">
                  <c:v>44571</c:v>
                </c:pt>
                <c:pt idx="108">
                  <c:v>44572</c:v>
                </c:pt>
                <c:pt idx="109">
                  <c:v>44573</c:v>
                </c:pt>
                <c:pt idx="110">
                  <c:v>44574</c:v>
                </c:pt>
                <c:pt idx="111">
                  <c:v>44575</c:v>
                </c:pt>
                <c:pt idx="112">
                  <c:v>44579</c:v>
                </c:pt>
                <c:pt idx="113">
                  <c:v>44580</c:v>
                </c:pt>
                <c:pt idx="114">
                  <c:v>44581</c:v>
                </c:pt>
                <c:pt idx="115">
                  <c:v>44582</c:v>
                </c:pt>
                <c:pt idx="116">
                  <c:v>44585</c:v>
                </c:pt>
                <c:pt idx="117">
                  <c:v>44586</c:v>
                </c:pt>
                <c:pt idx="118">
                  <c:v>44587</c:v>
                </c:pt>
                <c:pt idx="119">
                  <c:v>44588</c:v>
                </c:pt>
                <c:pt idx="120">
                  <c:v>44589</c:v>
                </c:pt>
                <c:pt idx="121">
                  <c:v>44592</c:v>
                </c:pt>
                <c:pt idx="122">
                  <c:v>44593</c:v>
                </c:pt>
                <c:pt idx="123">
                  <c:v>44594</c:v>
                </c:pt>
                <c:pt idx="124">
                  <c:v>44595</c:v>
                </c:pt>
                <c:pt idx="125">
                  <c:v>44596</c:v>
                </c:pt>
                <c:pt idx="126">
                  <c:v>44599</c:v>
                </c:pt>
                <c:pt idx="127">
                  <c:v>44600</c:v>
                </c:pt>
                <c:pt idx="128">
                  <c:v>44601</c:v>
                </c:pt>
                <c:pt idx="129">
                  <c:v>44602</c:v>
                </c:pt>
                <c:pt idx="130">
                  <c:v>44603</c:v>
                </c:pt>
                <c:pt idx="131">
                  <c:v>44606</c:v>
                </c:pt>
                <c:pt idx="132">
                  <c:v>44607</c:v>
                </c:pt>
                <c:pt idx="133">
                  <c:v>44608</c:v>
                </c:pt>
                <c:pt idx="134">
                  <c:v>44609</c:v>
                </c:pt>
                <c:pt idx="135">
                  <c:v>44610</c:v>
                </c:pt>
                <c:pt idx="136">
                  <c:v>44614</c:v>
                </c:pt>
                <c:pt idx="137">
                  <c:v>44615</c:v>
                </c:pt>
                <c:pt idx="138">
                  <c:v>44616</c:v>
                </c:pt>
                <c:pt idx="139">
                  <c:v>44617</c:v>
                </c:pt>
                <c:pt idx="140">
                  <c:v>44620</c:v>
                </c:pt>
                <c:pt idx="141">
                  <c:v>44621</c:v>
                </c:pt>
                <c:pt idx="142">
                  <c:v>44622</c:v>
                </c:pt>
                <c:pt idx="143">
                  <c:v>44623</c:v>
                </c:pt>
                <c:pt idx="144">
                  <c:v>44624</c:v>
                </c:pt>
                <c:pt idx="145">
                  <c:v>44627</c:v>
                </c:pt>
                <c:pt idx="146">
                  <c:v>44628</c:v>
                </c:pt>
                <c:pt idx="147">
                  <c:v>44629</c:v>
                </c:pt>
                <c:pt idx="148">
                  <c:v>44630</c:v>
                </c:pt>
                <c:pt idx="149">
                  <c:v>44631</c:v>
                </c:pt>
                <c:pt idx="150">
                  <c:v>44634</c:v>
                </c:pt>
                <c:pt idx="151">
                  <c:v>44635</c:v>
                </c:pt>
                <c:pt idx="152">
                  <c:v>44636</c:v>
                </c:pt>
                <c:pt idx="153">
                  <c:v>44637</c:v>
                </c:pt>
                <c:pt idx="154">
                  <c:v>44638</c:v>
                </c:pt>
                <c:pt idx="155">
                  <c:v>44641</c:v>
                </c:pt>
                <c:pt idx="156">
                  <c:v>44642</c:v>
                </c:pt>
                <c:pt idx="157">
                  <c:v>44643</c:v>
                </c:pt>
                <c:pt idx="158">
                  <c:v>44644</c:v>
                </c:pt>
                <c:pt idx="159">
                  <c:v>44645</c:v>
                </c:pt>
                <c:pt idx="160">
                  <c:v>44648</c:v>
                </c:pt>
                <c:pt idx="161">
                  <c:v>44649</c:v>
                </c:pt>
                <c:pt idx="162">
                  <c:v>44650</c:v>
                </c:pt>
                <c:pt idx="163">
                  <c:v>44651</c:v>
                </c:pt>
                <c:pt idx="164">
                  <c:v>44652</c:v>
                </c:pt>
                <c:pt idx="165">
                  <c:v>44655</c:v>
                </c:pt>
                <c:pt idx="166">
                  <c:v>44656</c:v>
                </c:pt>
                <c:pt idx="167">
                  <c:v>44657</c:v>
                </c:pt>
                <c:pt idx="168">
                  <c:v>44658</c:v>
                </c:pt>
                <c:pt idx="169">
                  <c:v>44659</c:v>
                </c:pt>
                <c:pt idx="170">
                  <c:v>44662</c:v>
                </c:pt>
                <c:pt idx="171">
                  <c:v>44663</c:v>
                </c:pt>
                <c:pt idx="172">
                  <c:v>44664</c:v>
                </c:pt>
                <c:pt idx="173">
                  <c:v>44665</c:v>
                </c:pt>
                <c:pt idx="174">
                  <c:v>44669</c:v>
                </c:pt>
                <c:pt idx="175">
                  <c:v>44670</c:v>
                </c:pt>
                <c:pt idx="176">
                  <c:v>44671</c:v>
                </c:pt>
                <c:pt idx="177">
                  <c:v>44672</c:v>
                </c:pt>
                <c:pt idx="178">
                  <c:v>44673</c:v>
                </c:pt>
                <c:pt idx="179">
                  <c:v>44676</c:v>
                </c:pt>
                <c:pt idx="180">
                  <c:v>44677</c:v>
                </c:pt>
                <c:pt idx="181">
                  <c:v>44678</c:v>
                </c:pt>
                <c:pt idx="182">
                  <c:v>44679</c:v>
                </c:pt>
                <c:pt idx="183">
                  <c:v>44680</c:v>
                </c:pt>
                <c:pt idx="184">
                  <c:v>44683</c:v>
                </c:pt>
                <c:pt idx="185">
                  <c:v>44684</c:v>
                </c:pt>
                <c:pt idx="186">
                  <c:v>44685</c:v>
                </c:pt>
                <c:pt idx="187">
                  <c:v>44686</c:v>
                </c:pt>
                <c:pt idx="188">
                  <c:v>44687</c:v>
                </c:pt>
                <c:pt idx="189">
                  <c:v>44690</c:v>
                </c:pt>
                <c:pt idx="190">
                  <c:v>44691</c:v>
                </c:pt>
                <c:pt idx="191">
                  <c:v>44692</c:v>
                </c:pt>
                <c:pt idx="192">
                  <c:v>44693</c:v>
                </c:pt>
                <c:pt idx="193">
                  <c:v>44694</c:v>
                </c:pt>
                <c:pt idx="194">
                  <c:v>44697</c:v>
                </c:pt>
                <c:pt idx="195">
                  <c:v>44698</c:v>
                </c:pt>
                <c:pt idx="196">
                  <c:v>44699</c:v>
                </c:pt>
                <c:pt idx="197">
                  <c:v>44700</c:v>
                </c:pt>
                <c:pt idx="198">
                  <c:v>44701</c:v>
                </c:pt>
                <c:pt idx="199">
                  <c:v>44704</c:v>
                </c:pt>
                <c:pt idx="200">
                  <c:v>44705</c:v>
                </c:pt>
                <c:pt idx="201">
                  <c:v>44706</c:v>
                </c:pt>
                <c:pt idx="202">
                  <c:v>44707</c:v>
                </c:pt>
                <c:pt idx="203">
                  <c:v>44708</c:v>
                </c:pt>
                <c:pt idx="204">
                  <c:v>44712</c:v>
                </c:pt>
                <c:pt idx="205">
                  <c:v>44713</c:v>
                </c:pt>
                <c:pt idx="206">
                  <c:v>44714</c:v>
                </c:pt>
                <c:pt idx="207">
                  <c:v>44715</c:v>
                </c:pt>
                <c:pt idx="208">
                  <c:v>44718</c:v>
                </c:pt>
                <c:pt idx="209">
                  <c:v>44719</c:v>
                </c:pt>
                <c:pt idx="210">
                  <c:v>44720</c:v>
                </c:pt>
                <c:pt idx="211">
                  <c:v>44721</c:v>
                </c:pt>
                <c:pt idx="212">
                  <c:v>44722</c:v>
                </c:pt>
                <c:pt idx="213">
                  <c:v>44725</c:v>
                </c:pt>
                <c:pt idx="214">
                  <c:v>44726</c:v>
                </c:pt>
                <c:pt idx="215">
                  <c:v>44727</c:v>
                </c:pt>
                <c:pt idx="216">
                  <c:v>44728</c:v>
                </c:pt>
                <c:pt idx="217">
                  <c:v>44729</c:v>
                </c:pt>
                <c:pt idx="218">
                  <c:v>44733</c:v>
                </c:pt>
                <c:pt idx="219">
                  <c:v>44734</c:v>
                </c:pt>
                <c:pt idx="220">
                  <c:v>44735</c:v>
                </c:pt>
                <c:pt idx="221">
                  <c:v>44736</c:v>
                </c:pt>
                <c:pt idx="222">
                  <c:v>44739</c:v>
                </c:pt>
                <c:pt idx="223">
                  <c:v>44740</c:v>
                </c:pt>
                <c:pt idx="224">
                  <c:v>44741</c:v>
                </c:pt>
                <c:pt idx="225">
                  <c:v>44742</c:v>
                </c:pt>
                <c:pt idx="226">
                  <c:v>44743</c:v>
                </c:pt>
                <c:pt idx="227">
                  <c:v>44747</c:v>
                </c:pt>
                <c:pt idx="228">
                  <c:v>44748</c:v>
                </c:pt>
                <c:pt idx="229">
                  <c:v>44749</c:v>
                </c:pt>
                <c:pt idx="230">
                  <c:v>44750</c:v>
                </c:pt>
                <c:pt idx="231">
                  <c:v>44753</c:v>
                </c:pt>
                <c:pt idx="232">
                  <c:v>44754</c:v>
                </c:pt>
                <c:pt idx="233">
                  <c:v>44755</c:v>
                </c:pt>
                <c:pt idx="234">
                  <c:v>44756</c:v>
                </c:pt>
                <c:pt idx="235">
                  <c:v>44757</c:v>
                </c:pt>
                <c:pt idx="236">
                  <c:v>44760</c:v>
                </c:pt>
                <c:pt idx="237">
                  <c:v>44761</c:v>
                </c:pt>
                <c:pt idx="238">
                  <c:v>44762</c:v>
                </c:pt>
                <c:pt idx="239">
                  <c:v>44763</c:v>
                </c:pt>
                <c:pt idx="240">
                  <c:v>44764</c:v>
                </c:pt>
                <c:pt idx="241">
                  <c:v>44767</c:v>
                </c:pt>
                <c:pt idx="242">
                  <c:v>44768</c:v>
                </c:pt>
                <c:pt idx="243">
                  <c:v>44769</c:v>
                </c:pt>
                <c:pt idx="244">
                  <c:v>44770</c:v>
                </c:pt>
                <c:pt idx="245">
                  <c:v>44771</c:v>
                </c:pt>
                <c:pt idx="246">
                  <c:v>44774</c:v>
                </c:pt>
                <c:pt idx="247">
                  <c:v>44775</c:v>
                </c:pt>
                <c:pt idx="248">
                  <c:v>44776</c:v>
                </c:pt>
                <c:pt idx="249">
                  <c:v>44777</c:v>
                </c:pt>
                <c:pt idx="250">
                  <c:v>44778</c:v>
                </c:pt>
                <c:pt idx="251">
                  <c:v>44781</c:v>
                </c:pt>
                <c:pt idx="252">
                  <c:v>44782</c:v>
                </c:pt>
                <c:pt idx="253">
                  <c:v>44783</c:v>
                </c:pt>
                <c:pt idx="254">
                  <c:v>44784</c:v>
                </c:pt>
                <c:pt idx="255">
                  <c:v>44785</c:v>
                </c:pt>
                <c:pt idx="256">
                  <c:v>44788</c:v>
                </c:pt>
                <c:pt idx="257">
                  <c:v>44789</c:v>
                </c:pt>
                <c:pt idx="258">
                  <c:v>44790</c:v>
                </c:pt>
                <c:pt idx="259">
                  <c:v>44791</c:v>
                </c:pt>
                <c:pt idx="260">
                  <c:v>44792</c:v>
                </c:pt>
                <c:pt idx="261">
                  <c:v>44795</c:v>
                </c:pt>
                <c:pt idx="262">
                  <c:v>44796</c:v>
                </c:pt>
                <c:pt idx="263">
                  <c:v>44797</c:v>
                </c:pt>
                <c:pt idx="264">
                  <c:v>44798</c:v>
                </c:pt>
                <c:pt idx="265">
                  <c:v>44799</c:v>
                </c:pt>
                <c:pt idx="266">
                  <c:v>44802</c:v>
                </c:pt>
                <c:pt idx="267">
                  <c:v>44803</c:v>
                </c:pt>
                <c:pt idx="268">
                  <c:v>44804</c:v>
                </c:pt>
                <c:pt idx="269">
                  <c:v>44805</c:v>
                </c:pt>
                <c:pt idx="270">
                  <c:v>44806</c:v>
                </c:pt>
                <c:pt idx="271">
                  <c:v>44810</c:v>
                </c:pt>
                <c:pt idx="272">
                  <c:v>44811</c:v>
                </c:pt>
                <c:pt idx="273">
                  <c:v>44812</c:v>
                </c:pt>
                <c:pt idx="274">
                  <c:v>44813</c:v>
                </c:pt>
                <c:pt idx="275">
                  <c:v>44816</c:v>
                </c:pt>
                <c:pt idx="276">
                  <c:v>44817</c:v>
                </c:pt>
                <c:pt idx="277">
                  <c:v>44818</c:v>
                </c:pt>
                <c:pt idx="278">
                  <c:v>44819</c:v>
                </c:pt>
                <c:pt idx="279">
                  <c:v>44820</c:v>
                </c:pt>
                <c:pt idx="280">
                  <c:v>44823</c:v>
                </c:pt>
                <c:pt idx="281">
                  <c:v>44824</c:v>
                </c:pt>
                <c:pt idx="282">
                  <c:v>44825</c:v>
                </c:pt>
                <c:pt idx="283">
                  <c:v>44826</c:v>
                </c:pt>
                <c:pt idx="284">
                  <c:v>44827</c:v>
                </c:pt>
                <c:pt idx="285">
                  <c:v>44830</c:v>
                </c:pt>
                <c:pt idx="286">
                  <c:v>44831</c:v>
                </c:pt>
                <c:pt idx="287">
                  <c:v>44832</c:v>
                </c:pt>
                <c:pt idx="288">
                  <c:v>44833</c:v>
                </c:pt>
                <c:pt idx="289">
                  <c:v>44834</c:v>
                </c:pt>
                <c:pt idx="290">
                  <c:v>44837</c:v>
                </c:pt>
                <c:pt idx="291">
                  <c:v>44838</c:v>
                </c:pt>
                <c:pt idx="292">
                  <c:v>44839</c:v>
                </c:pt>
                <c:pt idx="293">
                  <c:v>44840</c:v>
                </c:pt>
                <c:pt idx="294">
                  <c:v>44841</c:v>
                </c:pt>
                <c:pt idx="295">
                  <c:v>44844</c:v>
                </c:pt>
                <c:pt idx="296">
                  <c:v>44845</c:v>
                </c:pt>
                <c:pt idx="297">
                  <c:v>44846</c:v>
                </c:pt>
                <c:pt idx="298">
                  <c:v>44847</c:v>
                </c:pt>
                <c:pt idx="299">
                  <c:v>44848</c:v>
                </c:pt>
                <c:pt idx="300">
                  <c:v>44851</c:v>
                </c:pt>
                <c:pt idx="301">
                  <c:v>44852</c:v>
                </c:pt>
                <c:pt idx="302">
                  <c:v>44853</c:v>
                </c:pt>
                <c:pt idx="303">
                  <c:v>44854</c:v>
                </c:pt>
                <c:pt idx="304">
                  <c:v>44855</c:v>
                </c:pt>
                <c:pt idx="305">
                  <c:v>44858</c:v>
                </c:pt>
                <c:pt idx="306">
                  <c:v>44859</c:v>
                </c:pt>
                <c:pt idx="307">
                  <c:v>44860</c:v>
                </c:pt>
                <c:pt idx="308">
                  <c:v>44861</c:v>
                </c:pt>
                <c:pt idx="309">
                  <c:v>44862</c:v>
                </c:pt>
                <c:pt idx="310">
                  <c:v>44865</c:v>
                </c:pt>
                <c:pt idx="311">
                  <c:v>44866</c:v>
                </c:pt>
                <c:pt idx="312">
                  <c:v>44867</c:v>
                </c:pt>
                <c:pt idx="313">
                  <c:v>44868</c:v>
                </c:pt>
                <c:pt idx="314">
                  <c:v>44869</c:v>
                </c:pt>
                <c:pt idx="315">
                  <c:v>44872</c:v>
                </c:pt>
                <c:pt idx="316">
                  <c:v>44873</c:v>
                </c:pt>
                <c:pt idx="317">
                  <c:v>44874</c:v>
                </c:pt>
                <c:pt idx="318">
                  <c:v>44875</c:v>
                </c:pt>
                <c:pt idx="319">
                  <c:v>44876</c:v>
                </c:pt>
                <c:pt idx="320">
                  <c:v>44879</c:v>
                </c:pt>
                <c:pt idx="321">
                  <c:v>44880</c:v>
                </c:pt>
                <c:pt idx="322">
                  <c:v>44881</c:v>
                </c:pt>
                <c:pt idx="323">
                  <c:v>44882</c:v>
                </c:pt>
                <c:pt idx="324">
                  <c:v>44883</c:v>
                </c:pt>
                <c:pt idx="325">
                  <c:v>44886</c:v>
                </c:pt>
                <c:pt idx="326">
                  <c:v>44887</c:v>
                </c:pt>
                <c:pt idx="327">
                  <c:v>44888</c:v>
                </c:pt>
                <c:pt idx="328">
                  <c:v>44890</c:v>
                </c:pt>
                <c:pt idx="329">
                  <c:v>44893</c:v>
                </c:pt>
                <c:pt idx="330">
                  <c:v>44894</c:v>
                </c:pt>
                <c:pt idx="331">
                  <c:v>44895</c:v>
                </c:pt>
                <c:pt idx="332">
                  <c:v>44896</c:v>
                </c:pt>
                <c:pt idx="333">
                  <c:v>44897</c:v>
                </c:pt>
                <c:pt idx="334">
                  <c:v>44900</c:v>
                </c:pt>
                <c:pt idx="335">
                  <c:v>44901</c:v>
                </c:pt>
                <c:pt idx="336">
                  <c:v>44902</c:v>
                </c:pt>
                <c:pt idx="337">
                  <c:v>44903</c:v>
                </c:pt>
                <c:pt idx="338">
                  <c:v>44904</c:v>
                </c:pt>
                <c:pt idx="339">
                  <c:v>44907</c:v>
                </c:pt>
                <c:pt idx="340">
                  <c:v>44908</c:v>
                </c:pt>
                <c:pt idx="341">
                  <c:v>44909</c:v>
                </c:pt>
                <c:pt idx="342">
                  <c:v>44910</c:v>
                </c:pt>
                <c:pt idx="343">
                  <c:v>44911</c:v>
                </c:pt>
                <c:pt idx="344">
                  <c:v>44914</c:v>
                </c:pt>
                <c:pt idx="345">
                  <c:v>44915</c:v>
                </c:pt>
                <c:pt idx="346">
                  <c:v>44916</c:v>
                </c:pt>
                <c:pt idx="347">
                  <c:v>44917</c:v>
                </c:pt>
                <c:pt idx="348">
                  <c:v>44918</c:v>
                </c:pt>
                <c:pt idx="349">
                  <c:v>44922</c:v>
                </c:pt>
                <c:pt idx="350">
                  <c:v>44923</c:v>
                </c:pt>
                <c:pt idx="351">
                  <c:v>44924</c:v>
                </c:pt>
                <c:pt idx="352">
                  <c:v>44925</c:v>
                </c:pt>
                <c:pt idx="353">
                  <c:v>44929</c:v>
                </c:pt>
                <c:pt idx="354">
                  <c:v>44930</c:v>
                </c:pt>
                <c:pt idx="355">
                  <c:v>44931</c:v>
                </c:pt>
                <c:pt idx="356">
                  <c:v>44932</c:v>
                </c:pt>
                <c:pt idx="357">
                  <c:v>44935</c:v>
                </c:pt>
                <c:pt idx="358">
                  <c:v>44936</c:v>
                </c:pt>
                <c:pt idx="359">
                  <c:v>44937</c:v>
                </c:pt>
                <c:pt idx="360">
                  <c:v>44938</c:v>
                </c:pt>
                <c:pt idx="361">
                  <c:v>44939</c:v>
                </c:pt>
                <c:pt idx="362">
                  <c:v>44943</c:v>
                </c:pt>
                <c:pt idx="363">
                  <c:v>44944</c:v>
                </c:pt>
                <c:pt idx="364">
                  <c:v>44945</c:v>
                </c:pt>
                <c:pt idx="365">
                  <c:v>44946</c:v>
                </c:pt>
                <c:pt idx="366">
                  <c:v>44949</c:v>
                </c:pt>
                <c:pt idx="367">
                  <c:v>44950</c:v>
                </c:pt>
                <c:pt idx="368">
                  <c:v>44951</c:v>
                </c:pt>
                <c:pt idx="369">
                  <c:v>44952</c:v>
                </c:pt>
                <c:pt idx="370">
                  <c:v>44953</c:v>
                </c:pt>
                <c:pt idx="371">
                  <c:v>44956</c:v>
                </c:pt>
                <c:pt idx="372">
                  <c:v>44957</c:v>
                </c:pt>
                <c:pt idx="373">
                  <c:v>44958</c:v>
                </c:pt>
                <c:pt idx="374">
                  <c:v>44959</c:v>
                </c:pt>
                <c:pt idx="375">
                  <c:v>44960</c:v>
                </c:pt>
                <c:pt idx="376">
                  <c:v>44963</c:v>
                </c:pt>
                <c:pt idx="377">
                  <c:v>44964</c:v>
                </c:pt>
                <c:pt idx="378">
                  <c:v>44965</c:v>
                </c:pt>
                <c:pt idx="379">
                  <c:v>44966</c:v>
                </c:pt>
                <c:pt idx="380">
                  <c:v>44967</c:v>
                </c:pt>
                <c:pt idx="381">
                  <c:v>44970</c:v>
                </c:pt>
                <c:pt idx="382">
                  <c:v>44971</c:v>
                </c:pt>
                <c:pt idx="383">
                  <c:v>44972</c:v>
                </c:pt>
                <c:pt idx="384">
                  <c:v>44973</c:v>
                </c:pt>
                <c:pt idx="385">
                  <c:v>44974</c:v>
                </c:pt>
                <c:pt idx="386">
                  <c:v>44978</c:v>
                </c:pt>
                <c:pt idx="387">
                  <c:v>44979</c:v>
                </c:pt>
                <c:pt idx="388">
                  <c:v>44980</c:v>
                </c:pt>
                <c:pt idx="389">
                  <c:v>44981</c:v>
                </c:pt>
                <c:pt idx="390">
                  <c:v>44984</c:v>
                </c:pt>
                <c:pt idx="391">
                  <c:v>44985</c:v>
                </c:pt>
                <c:pt idx="392">
                  <c:v>44986</c:v>
                </c:pt>
                <c:pt idx="393">
                  <c:v>44987</c:v>
                </c:pt>
                <c:pt idx="394">
                  <c:v>44988</c:v>
                </c:pt>
                <c:pt idx="395">
                  <c:v>44991</c:v>
                </c:pt>
                <c:pt idx="396">
                  <c:v>44992</c:v>
                </c:pt>
                <c:pt idx="397">
                  <c:v>44993</c:v>
                </c:pt>
                <c:pt idx="398">
                  <c:v>44994</c:v>
                </c:pt>
                <c:pt idx="399">
                  <c:v>44995</c:v>
                </c:pt>
                <c:pt idx="400">
                  <c:v>44998</c:v>
                </c:pt>
                <c:pt idx="401">
                  <c:v>44999</c:v>
                </c:pt>
                <c:pt idx="402">
                  <c:v>45000</c:v>
                </c:pt>
                <c:pt idx="403">
                  <c:v>45001</c:v>
                </c:pt>
                <c:pt idx="404">
                  <c:v>45002</c:v>
                </c:pt>
                <c:pt idx="405">
                  <c:v>45005</c:v>
                </c:pt>
                <c:pt idx="406">
                  <c:v>45006</c:v>
                </c:pt>
                <c:pt idx="407">
                  <c:v>45007</c:v>
                </c:pt>
                <c:pt idx="408">
                  <c:v>45008</c:v>
                </c:pt>
                <c:pt idx="409">
                  <c:v>45009</c:v>
                </c:pt>
                <c:pt idx="410">
                  <c:v>45012</c:v>
                </c:pt>
                <c:pt idx="411">
                  <c:v>45013</c:v>
                </c:pt>
                <c:pt idx="412">
                  <c:v>45014</c:v>
                </c:pt>
                <c:pt idx="413">
                  <c:v>45015</c:v>
                </c:pt>
                <c:pt idx="414">
                  <c:v>45016</c:v>
                </c:pt>
                <c:pt idx="415">
                  <c:v>45019</c:v>
                </c:pt>
                <c:pt idx="416">
                  <c:v>45020</c:v>
                </c:pt>
                <c:pt idx="417">
                  <c:v>45021</c:v>
                </c:pt>
                <c:pt idx="418">
                  <c:v>45022</c:v>
                </c:pt>
                <c:pt idx="419">
                  <c:v>45026</c:v>
                </c:pt>
                <c:pt idx="420">
                  <c:v>45027</c:v>
                </c:pt>
                <c:pt idx="421">
                  <c:v>45028</c:v>
                </c:pt>
                <c:pt idx="422">
                  <c:v>45029</c:v>
                </c:pt>
                <c:pt idx="423">
                  <c:v>45030</c:v>
                </c:pt>
                <c:pt idx="424">
                  <c:v>45033</c:v>
                </c:pt>
                <c:pt idx="425">
                  <c:v>45034</c:v>
                </c:pt>
                <c:pt idx="426">
                  <c:v>45035</c:v>
                </c:pt>
                <c:pt idx="427">
                  <c:v>45036</c:v>
                </c:pt>
                <c:pt idx="428">
                  <c:v>45037</c:v>
                </c:pt>
                <c:pt idx="429">
                  <c:v>45040</c:v>
                </c:pt>
                <c:pt idx="430">
                  <c:v>45041</c:v>
                </c:pt>
                <c:pt idx="431">
                  <c:v>45042</c:v>
                </c:pt>
                <c:pt idx="432">
                  <c:v>45043</c:v>
                </c:pt>
                <c:pt idx="433">
                  <c:v>45044</c:v>
                </c:pt>
                <c:pt idx="434">
                  <c:v>45047</c:v>
                </c:pt>
                <c:pt idx="435">
                  <c:v>45048</c:v>
                </c:pt>
                <c:pt idx="436">
                  <c:v>45049</c:v>
                </c:pt>
                <c:pt idx="437">
                  <c:v>45050</c:v>
                </c:pt>
                <c:pt idx="438">
                  <c:v>45051</c:v>
                </c:pt>
                <c:pt idx="439">
                  <c:v>45054</c:v>
                </c:pt>
                <c:pt idx="440">
                  <c:v>45055</c:v>
                </c:pt>
                <c:pt idx="441">
                  <c:v>45056</c:v>
                </c:pt>
                <c:pt idx="442">
                  <c:v>45057</c:v>
                </c:pt>
                <c:pt idx="443">
                  <c:v>45058</c:v>
                </c:pt>
                <c:pt idx="444">
                  <c:v>45061</c:v>
                </c:pt>
                <c:pt idx="445">
                  <c:v>45062</c:v>
                </c:pt>
                <c:pt idx="446">
                  <c:v>45063</c:v>
                </c:pt>
                <c:pt idx="447">
                  <c:v>45064</c:v>
                </c:pt>
                <c:pt idx="448">
                  <c:v>45065</c:v>
                </c:pt>
                <c:pt idx="449">
                  <c:v>45068</c:v>
                </c:pt>
                <c:pt idx="450">
                  <c:v>45069</c:v>
                </c:pt>
                <c:pt idx="451">
                  <c:v>45070</c:v>
                </c:pt>
                <c:pt idx="452">
                  <c:v>45071</c:v>
                </c:pt>
                <c:pt idx="453">
                  <c:v>45072</c:v>
                </c:pt>
                <c:pt idx="454">
                  <c:v>45076</c:v>
                </c:pt>
                <c:pt idx="455">
                  <c:v>45077</c:v>
                </c:pt>
                <c:pt idx="456">
                  <c:v>45078</c:v>
                </c:pt>
                <c:pt idx="457">
                  <c:v>45079</c:v>
                </c:pt>
                <c:pt idx="458">
                  <c:v>45082</c:v>
                </c:pt>
                <c:pt idx="459">
                  <c:v>45083</c:v>
                </c:pt>
                <c:pt idx="460">
                  <c:v>45084</c:v>
                </c:pt>
                <c:pt idx="461">
                  <c:v>45085</c:v>
                </c:pt>
                <c:pt idx="462">
                  <c:v>45086</c:v>
                </c:pt>
                <c:pt idx="463">
                  <c:v>45089</c:v>
                </c:pt>
                <c:pt idx="464">
                  <c:v>45090</c:v>
                </c:pt>
                <c:pt idx="465">
                  <c:v>45091</c:v>
                </c:pt>
                <c:pt idx="466">
                  <c:v>45092</c:v>
                </c:pt>
                <c:pt idx="467">
                  <c:v>45093</c:v>
                </c:pt>
                <c:pt idx="468">
                  <c:v>45097</c:v>
                </c:pt>
                <c:pt idx="469">
                  <c:v>45098</c:v>
                </c:pt>
                <c:pt idx="470">
                  <c:v>45099</c:v>
                </c:pt>
                <c:pt idx="471">
                  <c:v>45100</c:v>
                </c:pt>
                <c:pt idx="472">
                  <c:v>45103</c:v>
                </c:pt>
                <c:pt idx="473">
                  <c:v>45104</c:v>
                </c:pt>
                <c:pt idx="474">
                  <c:v>45105</c:v>
                </c:pt>
                <c:pt idx="475">
                  <c:v>45106</c:v>
                </c:pt>
                <c:pt idx="476">
                  <c:v>45107</c:v>
                </c:pt>
                <c:pt idx="477">
                  <c:v>45110</c:v>
                </c:pt>
                <c:pt idx="478">
                  <c:v>45112</c:v>
                </c:pt>
                <c:pt idx="479">
                  <c:v>45113</c:v>
                </c:pt>
                <c:pt idx="480">
                  <c:v>45114</c:v>
                </c:pt>
                <c:pt idx="481">
                  <c:v>45117</c:v>
                </c:pt>
                <c:pt idx="482">
                  <c:v>45118</c:v>
                </c:pt>
                <c:pt idx="483">
                  <c:v>45119</c:v>
                </c:pt>
                <c:pt idx="484">
                  <c:v>45120</c:v>
                </c:pt>
                <c:pt idx="485">
                  <c:v>45121</c:v>
                </c:pt>
                <c:pt idx="486">
                  <c:v>45124</c:v>
                </c:pt>
                <c:pt idx="487">
                  <c:v>45125</c:v>
                </c:pt>
                <c:pt idx="488">
                  <c:v>45126</c:v>
                </c:pt>
                <c:pt idx="489">
                  <c:v>45127</c:v>
                </c:pt>
                <c:pt idx="490">
                  <c:v>45128</c:v>
                </c:pt>
                <c:pt idx="491">
                  <c:v>45131</c:v>
                </c:pt>
                <c:pt idx="492">
                  <c:v>45132</c:v>
                </c:pt>
                <c:pt idx="493">
                  <c:v>45133</c:v>
                </c:pt>
                <c:pt idx="494">
                  <c:v>45134</c:v>
                </c:pt>
                <c:pt idx="495">
                  <c:v>45135</c:v>
                </c:pt>
                <c:pt idx="496">
                  <c:v>45138</c:v>
                </c:pt>
                <c:pt idx="497">
                  <c:v>45139</c:v>
                </c:pt>
                <c:pt idx="498">
                  <c:v>45140</c:v>
                </c:pt>
                <c:pt idx="499">
                  <c:v>45141</c:v>
                </c:pt>
                <c:pt idx="500">
                  <c:v>45142</c:v>
                </c:pt>
                <c:pt idx="501">
                  <c:v>45145</c:v>
                </c:pt>
                <c:pt idx="502">
                  <c:v>45146</c:v>
                </c:pt>
                <c:pt idx="503">
                  <c:v>45147</c:v>
                </c:pt>
                <c:pt idx="504">
                  <c:v>45148</c:v>
                </c:pt>
                <c:pt idx="505">
                  <c:v>45149</c:v>
                </c:pt>
                <c:pt idx="506">
                  <c:v>45152</c:v>
                </c:pt>
                <c:pt idx="507">
                  <c:v>45153</c:v>
                </c:pt>
                <c:pt idx="508">
                  <c:v>45154</c:v>
                </c:pt>
                <c:pt idx="509">
                  <c:v>45155</c:v>
                </c:pt>
                <c:pt idx="510">
                  <c:v>45156</c:v>
                </c:pt>
                <c:pt idx="511">
                  <c:v>45159</c:v>
                </c:pt>
                <c:pt idx="512">
                  <c:v>45160</c:v>
                </c:pt>
                <c:pt idx="513">
                  <c:v>45161</c:v>
                </c:pt>
                <c:pt idx="514">
                  <c:v>45162</c:v>
                </c:pt>
                <c:pt idx="515">
                  <c:v>45163</c:v>
                </c:pt>
                <c:pt idx="516">
                  <c:v>45166</c:v>
                </c:pt>
                <c:pt idx="517">
                  <c:v>45167</c:v>
                </c:pt>
                <c:pt idx="518">
                  <c:v>45168</c:v>
                </c:pt>
                <c:pt idx="519">
                  <c:v>45169</c:v>
                </c:pt>
                <c:pt idx="520">
                  <c:v>45170</c:v>
                </c:pt>
                <c:pt idx="521">
                  <c:v>45174</c:v>
                </c:pt>
                <c:pt idx="522">
                  <c:v>45175</c:v>
                </c:pt>
                <c:pt idx="523">
                  <c:v>45176</c:v>
                </c:pt>
                <c:pt idx="524">
                  <c:v>45177</c:v>
                </c:pt>
                <c:pt idx="525">
                  <c:v>45180</c:v>
                </c:pt>
                <c:pt idx="526">
                  <c:v>45181</c:v>
                </c:pt>
                <c:pt idx="527">
                  <c:v>45182</c:v>
                </c:pt>
                <c:pt idx="528">
                  <c:v>45183</c:v>
                </c:pt>
                <c:pt idx="529">
                  <c:v>45184</c:v>
                </c:pt>
                <c:pt idx="530">
                  <c:v>45187</c:v>
                </c:pt>
                <c:pt idx="531">
                  <c:v>45188</c:v>
                </c:pt>
                <c:pt idx="532">
                  <c:v>45189</c:v>
                </c:pt>
                <c:pt idx="533">
                  <c:v>45190</c:v>
                </c:pt>
                <c:pt idx="534">
                  <c:v>45191</c:v>
                </c:pt>
                <c:pt idx="535">
                  <c:v>45194</c:v>
                </c:pt>
                <c:pt idx="536">
                  <c:v>45195</c:v>
                </c:pt>
                <c:pt idx="537">
                  <c:v>45196</c:v>
                </c:pt>
                <c:pt idx="538">
                  <c:v>45197</c:v>
                </c:pt>
                <c:pt idx="539">
                  <c:v>45198</c:v>
                </c:pt>
                <c:pt idx="540">
                  <c:v>45201</c:v>
                </c:pt>
                <c:pt idx="541">
                  <c:v>45202</c:v>
                </c:pt>
                <c:pt idx="542">
                  <c:v>45203</c:v>
                </c:pt>
                <c:pt idx="543">
                  <c:v>45204</c:v>
                </c:pt>
                <c:pt idx="544">
                  <c:v>45205</c:v>
                </c:pt>
                <c:pt idx="545">
                  <c:v>45208</c:v>
                </c:pt>
                <c:pt idx="546">
                  <c:v>45209</c:v>
                </c:pt>
                <c:pt idx="547">
                  <c:v>45210</c:v>
                </c:pt>
                <c:pt idx="548">
                  <c:v>45211</c:v>
                </c:pt>
                <c:pt idx="549">
                  <c:v>45212</c:v>
                </c:pt>
                <c:pt idx="550">
                  <c:v>45215</c:v>
                </c:pt>
                <c:pt idx="551">
                  <c:v>45216</c:v>
                </c:pt>
                <c:pt idx="552">
                  <c:v>45217</c:v>
                </c:pt>
                <c:pt idx="553">
                  <c:v>45218</c:v>
                </c:pt>
                <c:pt idx="554">
                  <c:v>45219</c:v>
                </c:pt>
                <c:pt idx="555">
                  <c:v>45222</c:v>
                </c:pt>
                <c:pt idx="556">
                  <c:v>45223</c:v>
                </c:pt>
                <c:pt idx="557">
                  <c:v>45224</c:v>
                </c:pt>
                <c:pt idx="558">
                  <c:v>45225</c:v>
                </c:pt>
                <c:pt idx="559">
                  <c:v>45226</c:v>
                </c:pt>
                <c:pt idx="560">
                  <c:v>45229</c:v>
                </c:pt>
                <c:pt idx="561">
                  <c:v>45230</c:v>
                </c:pt>
                <c:pt idx="562">
                  <c:v>45231</c:v>
                </c:pt>
                <c:pt idx="563">
                  <c:v>45232</c:v>
                </c:pt>
                <c:pt idx="564">
                  <c:v>45233</c:v>
                </c:pt>
                <c:pt idx="565">
                  <c:v>45236</c:v>
                </c:pt>
                <c:pt idx="566">
                  <c:v>45237</c:v>
                </c:pt>
                <c:pt idx="567">
                  <c:v>45238</c:v>
                </c:pt>
                <c:pt idx="568">
                  <c:v>45239</c:v>
                </c:pt>
                <c:pt idx="569">
                  <c:v>45240</c:v>
                </c:pt>
                <c:pt idx="570">
                  <c:v>45243</c:v>
                </c:pt>
                <c:pt idx="571">
                  <c:v>45244</c:v>
                </c:pt>
                <c:pt idx="572">
                  <c:v>45245</c:v>
                </c:pt>
                <c:pt idx="573">
                  <c:v>45246</c:v>
                </c:pt>
                <c:pt idx="574">
                  <c:v>45247</c:v>
                </c:pt>
                <c:pt idx="575">
                  <c:v>45250</c:v>
                </c:pt>
                <c:pt idx="576">
                  <c:v>45251</c:v>
                </c:pt>
                <c:pt idx="577">
                  <c:v>45252</c:v>
                </c:pt>
                <c:pt idx="578">
                  <c:v>45254</c:v>
                </c:pt>
                <c:pt idx="579">
                  <c:v>45257</c:v>
                </c:pt>
                <c:pt idx="580">
                  <c:v>45258</c:v>
                </c:pt>
                <c:pt idx="581">
                  <c:v>45259</c:v>
                </c:pt>
                <c:pt idx="582">
                  <c:v>45260</c:v>
                </c:pt>
                <c:pt idx="583">
                  <c:v>45261</c:v>
                </c:pt>
                <c:pt idx="584">
                  <c:v>45264</c:v>
                </c:pt>
                <c:pt idx="585">
                  <c:v>45265</c:v>
                </c:pt>
                <c:pt idx="586">
                  <c:v>45266</c:v>
                </c:pt>
                <c:pt idx="587">
                  <c:v>45267</c:v>
                </c:pt>
                <c:pt idx="588">
                  <c:v>45268</c:v>
                </c:pt>
                <c:pt idx="589">
                  <c:v>45271</c:v>
                </c:pt>
                <c:pt idx="590">
                  <c:v>45272</c:v>
                </c:pt>
                <c:pt idx="591">
                  <c:v>45273</c:v>
                </c:pt>
                <c:pt idx="592">
                  <c:v>45274</c:v>
                </c:pt>
                <c:pt idx="593">
                  <c:v>45275</c:v>
                </c:pt>
                <c:pt idx="594">
                  <c:v>45278</c:v>
                </c:pt>
                <c:pt idx="595">
                  <c:v>45279</c:v>
                </c:pt>
                <c:pt idx="596">
                  <c:v>45280</c:v>
                </c:pt>
                <c:pt idx="597">
                  <c:v>45281</c:v>
                </c:pt>
                <c:pt idx="598">
                  <c:v>45282</c:v>
                </c:pt>
                <c:pt idx="599">
                  <c:v>45286</c:v>
                </c:pt>
                <c:pt idx="600">
                  <c:v>45287</c:v>
                </c:pt>
                <c:pt idx="601">
                  <c:v>45288</c:v>
                </c:pt>
                <c:pt idx="602">
                  <c:v>45289</c:v>
                </c:pt>
                <c:pt idx="603">
                  <c:v>45293</c:v>
                </c:pt>
                <c:pt idx="604">
                  <c:v>45294</c:v>
                </c:pt>
                <c:pt idx="605">
                  <c:v>45295</c:v>
                </c:pt>
                <c:pt idx="606">
                  <c:v>45296</c:v>
                </c:pt>
                <c:pt idx="607">
                  <c:v>45299</c:v>
                </c:pt>
                <c:pt idx="608">
                  <c:v>45300</c:v>
                </c:pt>
                <c:pt idx="609">
                  <c:v>45301</c:v>
                </c:pt>
                <c:pt idx="610">
                  <c:v>45302</c:v>
                </c:pt>
                <c:pt idx="611">
                  <c:v>45303</c:v>
                </c:pt>
                <c:pt idx="612">
                  <c:v>45307</c:v>
                </c:pt>
                <c:pt idx="613">
                  <c:v>45308</c:v>
                </c:pt>
                <c:pt idx="614">
                  <c:v>45309</c:v>
                </c:pt>
                <c:pt idx="615">
                  <c:v>45310</c:v>
                </c:pt>
                <c:pt idx="616">
                  <c:v>45313</c:v>
                </c:pt>
                <c:pt idx="617">
                  <c:v>45314</c:v>
                </c:pt>
                <c:pt idx="618">
                  <c:v>45315</c:v>
                </c:pt>
                <c:pt idx="619">
                  <c:v>45316</c:v>
                </c:pt>
                <c:pt idx="620">
                  <c:v>45317</c:v>
                </c:pt>
                <c:pt idx="621">
                  <c:v>45320</c:v>
                </c:pt>
                <c:pt idx="622">
                  <c:v>45321</c:v>
                </c:pt>
                <c:pt idx="623">
                  <c:v>45322</c:v>
                </c:pt>
                <c:pt idx="624">
                  <c:v>45323</c:v>
                </c:pt>
                <c:pt idx="625">
                  <c:v>45324</c:v>
                </c:pt>
                <c:pt idx="626">
                  <c:v>45327</c:v>
                </c:pt>
                <c:pt idx="627">
                  <c:v>45328</c:v>
                </c:pt>
                <c:pt idx="628">
                  <c:v>45329</c:v>
                </c:pt>
                <c:pt idx="629">
                  <c:v>45330</c:v>
                </c:pt>
                <c:pt idx="630">
                  <c:v>45331</c:v>
                </c:pt>
                <c:pt idx="631">
                  <c:v>45334</c:v>
                </c:pt>
                <c:pt idx="632">
                  <c:v>45335</c:v>
                </c:pt>
                <c:pt idx="633">
                  <c:v>45336</c:v>
                </c:pt>
                <c:pt idx="634">
                  <c:v>45337</c:v>
                </c:pt>
                <c:pt idx="635">
                  <c:v>45338</c:v>
                </c:pt>
                <c:pt idx="636">
                  <c:v>45342</c:v>
                </c:pt>
                <c:pt idx="637">
                  <c:v>45343</c:v>
                </c:pt>
                <c:pt idx="638">
                  <c:v>45344</c:v>
                </c:pt>
                <c:pt idx="639">
                  <c:v>45345</c:v>
                </c:pt>
                <c:pt idx="640">
                  <c:v>45348</c:v>
                </c:pt>
                <c:pt idx="641">
                  <c:v>45349</c:v>
                </c:pt>
                <c:pt idx="642">
                  <c:v>45350</c:v>
                </c:pt>
                <c:pt idx="643">
                  <c:v>45351</c:v>
                </c:pt>
                <c:pt idx="644">
                  <c:v>45352</c:v>
                </c:pt>
                <c:pt idx="645">
                  <c:v>45355</c:v>
                </c:pt>
                <c:pt idx="646">
                  <c:v>45356</c:v>
                </c:pt>
                <c:pt idx="647">
                  <c:v>45357</c:v>
                </c:pt>
                <c:pt idx="648">
                  <c:v>45358</c:v>
                </c:pt>
                <c:pt idx="649">
                  <c:v>45359</c:v>
                </c:pt>
                <c:pt idx="650">
                  <c:v>45362</c:v>
                </c:pt>
                <c:pt idx="651">
                  <c:v>45363</c:v>
                </c:pt>
                <c:pt idx="652">
                  <c:v>45364</c:v>
                </c:pt>
                <c:pt idx="653">
                  <c:v>45365</c:v>
                </c:pt>
                <c:pt idx="654">
                  <c:v>45366</c:v>
                </c:pt>
                <c:pt idx="655">
                  <c:v>45369</c:v>
                </c:pt>
                <c:pt idx="656">
                  <c:v>45370</c:v>
                </c:pt>
                <c:pt idx="657">
                  <c:v>45371</c:v>
                </c:pt>
                <c:pt idx="658">
                  <c:v>45372</c:v>
                </c:pt>
                <c:pt idx="659">
                  <c:v>45373</c:v>
                </c:pt>
                <c:pt idx="660">
                  <c:v>45376</c:v>
                </c:pt>
                <c:pt idx="661">
                  <c:v>45377</c:v>
                </c:pt>
                <c:pt idx="662">
                  <c:v>45378</c:v>
                </c:pt>
                <c:pt idx="663">
                  <c:v>45379</c:v>
                </c:pt>
                <c:pt idx="664">
                  <c:v>45383</c:v>
                </c:pt>
                <c:pt idx="665">
                  <c:v>45384</c:v>
                </c:pt>
                <c:pt idx="666">
                  <c:v>45385</c:v>
                </c:pt>
                <c:pt idx="667">
                  <c:v>45386</c:v>
                </c:pt>
                <c:pt idx="668">
                  <c:v>45387</c:v>
                </c:pt>
                <c:pt idx="669">
                  <c:v>45390</c:v>
                </c:pt>
                <c:pt idx="670">
                  <c:v>45391</c:v>
                </c:pt>
                <c:pt idx="671">
                  <c:v>45392</c:v>
                </c:pt>
                <c:pt idx="672">
                  <c:v>45393</c:v>
                </c:pt>
                <c:pt idx="673">
                  <c:v>45394</c:v>
                </c:pt>
                <c:pt idx="674">
                  <c:v>45397</c:v>
                </c:pt>
                <c:pt idx="675">
                  <c:v>45398</c:v>
                </c:pt>
                <c:pt idx="676">
                  <c:v>45399</c:v>
                </c:pt>
                <c:pt idx="677">
                  <c:v>45400</c:v>
                </c:pt>
                <c:pt idx="678">
                  <c:v>45401</c:v>
                </c:pt>
                <c:pt idx="679">
                  <c:v>45404</c:v>
                </c:pt>
                <c:pt idx="680">
                  <c:v>45405</c:v>
                </c:pt>
                <c:pt idx="681">
                  <c:v>45406</c:v>
                </c:pt>
                <c:pt idx="682">
                  <c:v>45407</c:v>
                </c:pt>
                <c:pt idx="683">
                  <c:v>45408</c:v>
                </c:pt>
                <c:pt idx="684">
                  <c:v>45411</c:v>
                </c:pt>
                <c:pt idx="685">
                  <c:v>45412</c:v>
                </c:pt>
                <c:pt idx="686">
                  <c:v>45413</c:v>
                </c:pt>
                <c:pt idx="687">
                  <c:v>45414</c:v>
                </c:pt>
                <c:pt idx="688">
                  <c:v>45415</c:v>
                </c:pt>
                <c:pt idx="689">
                  <c:v>45418</c:v>
                </c:pt>
                <c:pt idx="690">
                  <c:v>45419</c:v>
                </c:pt>
                <c:pt idx="691">
                  <c:v>45420</c:v>
                </c:pt>
                <c:pt idx="692">
                  <c:v>45421</c:v>
                </c:pt>
                <c:pt idx="693">
                  <c:v>45422</c:v>
                </c:pt>
                <c:pt idx="694">
                  <c:v>45425</c:v>
                </c:pt>
                <c:pt idx="695">
                  <c:v>45426</c:v>
                </c:pt>
                <c:pt idx="696">
                  <c:v>45427</c:v>
                </c:pt>
                <c:pt idx="697">
                  <c:v>45428</c:v>
                </c:pt>
                <c:pt idx="698">
                  <c:v>45429</c:v>
                </c:pt>
                <c:pt idx="699">
                  <c:v>45432</c:v>
                </c:pt>
                <c:pt idx="700">
                  <c:v>45433</c:v>
                </c:pt>
                <c:pt idx="701">
                  <c:v>45434</c:v>
                </c:pt>
                <c:pt idx="702">
                  <c:v>45435</c:v>
                </c:pt>
                <c:pt idx="703">
                  <c:v>45436</c:v>
                </c:pt>
                <c:pt idx="704">
                  <c:v>45440</c:v>
                </c:pt>
                <c:pt idx="705">
                  <c:v>45441</c:v>
                </c:pt>
                <c:pt idx="706">
                  <c:v>45442</c:v>
                </c:pt>
                <c:pt idx="707">
                  <c:v>45443</c:v>
                </c:pt>
                <c:pt idx="708">
                  <c:v>45446</c:v>
                </c:pt>
                <c:pt idx="709">
                  <c:v>45447</c:v>
                </c:pt>
                <c:pt idx="710">
                  <c:v>45448</c:v>
                </c:pt>
                <c:pt idx="711">
                  <c:v>45449</c:v>
                </c:pt>
                <c:pt idx="712">
                  <c:v>45450</c:v>
                </c:pt>
                <c:pt idx="713">
                  <c:v>45453</c:v>
                </c:pt>
                <c:pt idx="714">
                  <c:v>45454</c:v>
                </c:pt>
                <c:pt idx="715">
                  <c:v>45455</c:v>
                </c:pt>
                <c:pt idx="716">
                  <c:v>45456</c:v>
                </c:pt>
                <c:pt idx="717">
                  <c:v>45457</c:v>
                </c:pt>
                <c:pt idx="718">
                  <c:v>45460</c:v>
                </c:pt>
                <c:pt idx="719">
                  <c:v>45461</c:v>
                </c:pt>
                <c:pt idx="720">
                  <c:v>45463</c:v>
                </c:pt>
                <c:pt idx="721">
                  <c:v>45464</c:v>
                </c:pt>
                <c:pt idx="722">
                  <c:v>45467</c:v>
                </c:pt>
                <c:pt idx="723">
                  <c:v>45468</c:v>
                </c:pt>
                <c:pt idx="724">
                  <c:v>45469</c:v>
                </c:pt>
                <c:pt idx="725">
                  <c:v>45470</c:v>
                </c:pt>
                <c:pt idx="726">
                  <c:v>45471</c:v>
                </c:pt>
                <c:pt idx="727">
                  <c:v>45474</c:v>
                </c:pt>
                <c:pt idx="728">
                  <c:v>45475</c:v>
                </c:pt>
                <c:pt idx="729">
                  <c:v>45476</c:v>
                </c:pt>
                <c:pt idx="730">
                  <c:v>45478</c:v>
                </c:pt>
                <c:pt idx="731">
                  <c:v>45481</c:v>
                </c:pt>
                <c:pt idx="732">
                  <c:v>45482</c:v>
                </c:pt>
                <c:pt idx="733">
                  <c:v>45483</c:v>
                </c:pt>
                <c:pt idx="734">
                  <c:v>45484</c:v>
                </c:pt>
                <c:pt idx="735">
                  <c:v>45485</c:v>
                </c:pt>
                <c:pt idx="736">
                  <c:v>45488</c:v>
                </c:pt>
                <c:pt idx="737">
                  <c:v>45489</c:v>
                </c:pt>
                <c:pt idx="738">
                  <c:v>45490</c:v>
                </c:pt>
                <c:pt idx="739">
                  <c:v>45491</c:v>
                </c:pt>
                <c:pt idx="740">
                  <c:v>45492</c:v>
                </c:pt>
                <c:pt idx="741">
                  <c:v>45495</c:v>
                </c:pt>
                <c:pt idx="742">
                  <c:v>45496</c:v>
                </c:pt>
                <c:pt idx="743">
                  <c:v>45497</c:v>
                </c:pt>
                <c:pt idx="744">
                  <c:v>45498</c:v>
                </c:pt>
                <c:pt idx="745">
                  <c:v>45499</c:v>
                </c:pt>
                <c:pt idx="746">
                  <c:v>45502</c:v>
                </c:pt>
                <c:pt idx="747">
                  <c:v>45503</c:v>
                </c:pt>
                <c:pt idx="748">
                  <c:v>45504</c:v>
                </c:pt>
                <c:pt idx="749">
                  <c:v>45505</c:v>
                </c:pt>
                <c:pt idx="750">
                  <c:v>45506</c:v>
                </c:pt>
                <c:pt idx="751">
                  <c:v>45509</c:v>
                </c:pt>
                <c:pt idx="752">
                  <c:v>45510</c:v>
                </c:pt>
                <c:pt idx="753">
                  <c:v>45511</c:v>
                </c:pt>
                <c:pt idx="754">
                  <c:v>45512</c:v>
                </c:pt>
                <c:pt idx="755">
                  <c:v>45513</c:v>
                </c:pt>
                <c:pt idx="756">
                  <c:v>45516</c:v>
                </c:pt>
                <c:pt idx="757">
                  <c:v>45517</c:v>
                </c:pt>
                <c:pt idx="758">
                  <c:v>45518</c:v>
                </c:pt>
                <c:pt idx="759">
                  <c:v>45519</c:v>
                </c:pt>
                <c:pt idx="760">
                  <c:v>45520</c:v>
                </c:pt>
                <c:pt idx="761">
                  <c:v>45523</c:v>
                </c:pt>
                <c:pt idx="762">
                  <c:v>45524</c:v>
                </c:pt>
                <c:pt idx="763">
                  <c:v>45525</c:v>
                </c:pt>
                <c:pt idx="764">
                  <c:v>45526</c:v>
                </c:pt>
                <c:pt idx="765">
                  <c:v>45527</c:v>
                </c:pt>
                <c:pt idx="766">
                  <c:v>45530</c:v>
                </c:pt>
                <c:pt idx="767">
                  <c:v>45531</c:v>
                </c:pt>
                <c:pt idx="768">
                  <c:v>45532</c:v>
                </c:pt>
                <c:pt idx="769">
                  <c:v>45533</c:v>
                </c:pt>
                <c:pt idx="770">
                  <c:v>45534</c:v>
                </c:pt>
                <c:pt idx="771">
                  <c:v>45538</c:v>
                </c:pt>
                <c:pt idx="772">
                  <c:v>45539</c:v>
                </c:pt>
                <c:pt idx="773">
                  <c:v>45540</c:v>
                </c:pt>
                <c:pt idx="774">
                  <c:v>45541</c:v>
                </c:pt>
                <c:pt idx="775">
                  <c:v>45544</c:v>
                </c:pt>
                <c:pt idx="776">
                  <c:v>45545</c:v>
                </c:pt>
                <c:pt idx="777">
                  <c:v>45546</c:v>
                </c:pt>
                <c:pt idx="778">
                  <c:v>45547</c:v>
                </c:pt>
                <c:pt idx="779">
                  <c:v>45548</c:v>
                </c:pt>
                <c:pt idx="780">
                  <c:v>45551</c:v>
                </c:pt>
                <c:pt idx="781">
                  <c:v>45552</c:v>
                </c:pt>
                <c:pt idx="782">
                  <c:v>45553</c:v>
                </c:pt>
                <c:pt idx="783">
                  <c:v>45554</c:v>
                </c:pt>
                <c:pt idx="784">
                  <c:v>45555</c:v>
                </c:pt>
                <c:pt idx="785">
                  <c:v>45558</c:v>
                </c:pt>
                <c:pt idx="786">
                  <c:v>45559</c:v>
                </c:pt>
                <c:pt idx="787">
                  <c:v>45560</c:v>
                </c:pt>
                <c:pt idx="788">
                  <c:v>45561</c:v>
                </c:pt>
                <c:pt idx="789">
                  <c:v>45562</c:v>
                </c:pt>
                <c:pt idx="790">
                  <c:v>45565</c:v>
                </c:pt>
                <c:pt idx="791">
                  <c:v>45566</c:v>
                </c:pt>
                <c:pt idx="792">
                  <c:v>45567</c:v>
                </c:pt>
                <c:pt idx="793">
                  <c:v>45568</c:v>
                </c:pt>
                <c:pt idx="794">
                  <c:v>45569</c:v>
                </c:pt>
                <c:pt idx="795">
                  <c:v>45572</c:v>
                </c:pt>
                <c:pt idx="796">
                  <c:v>45573</c:v>
                </c:pt>
                <c:pt idx="797">
                  <c:v>45574</c:v>
                </c:pt>
                <c:pt idx="798">
                  <c:v>45575</c:v>
                </c:pt>
                <c:pt idx="799">
                  <c:v>45576</c:v>
                </c:pt>
                <c:pt idx="800">
                  <c:v>45579</c:v>
                </c:pt>
                <c:pt idx="801">
                  <c:v>45580</c:v>
                </c:pt>
                <c:pt idx="802">
                  <c:v>45581</c:v>
                </c:pt>
                <c:pt idx="803">
                  <c:v>45582</c:v>
                </c:pt>
                <c:pt idx="804">
                  <c:v>45583</c:v>
                </c:pt>
                <c:pt idx="805">
                  <c:v>45586</c:v>
                </c:pt>
                <c:pt idx="806">
                  <c:v>45587</c:v>
                </c:pt>
                <c:pt idx="807">
                  <c:v>45588</c:v>
                </c:pt>
                <c:pt idx="808">
                  <c:v>45589</c:v>
                </c:pt>
                <c:pt idx="809">
                  <c:v>45590</c:v>
                </c:pt>
                <c:pt idx="810">
                  <c:v>45593</c:v>
                </c:pt>
                <c:pt idx="811">
                  <c:v>45594</c:v>
                </c:pt>
                <c:pt idx="812">
                  <c:v>45595</c:v>
                </c:pt>
                <c:pt idx="813">
                  <c:v>45596</c:v>
                </c:pt>
                <c:pt idx="814">
                  <c:v>45597</c:v>
                </c:pt>
                <c:pt idx="815">
                  <c:v>45600</c:v>
                </c:pt>
                <c:pt idx="816">
                  <c:v>45601</c:v>
                </c:pt>
                <c:pt idx="817">
                  <c:v>45602</c:v>
                </c:pt>
                <c:pt idx="818">
                  <c:v>45603</c:v>
                </c:pt>
                <c:pt idx="819">
                  <c:v>45604</c:v>
                </c:pt>
                <c:pt idx="820">
                  <c:v>45607</c:v>
                </c:pt>
                <c:pt idx="821">
                  <c:v>45608</c:v>
                </c:pt>
                <c:pt idx="822">
                  <c:v>45609</c:v>
                </c:pt>
                <c:pt idx="823">
                  <c:v>45610</c:v>
                </c:pt>
                <c:pt idx="824">
                  <c:v>45611</c:v>
                </c:pt>
                <c:pt idx="825">
                  <c:v>45614</c:v>
                </c:pt>
                <c:pt idx="826">
                  <c:v>45615</c:v>
                </c:pt>
                <c:pt idx="827">
                  <c:v>45616</c:v>
                </c:pt>
                <c:pt idx="828">
                  <c:v>45617</c:v>
                </c:pt>
                <c:pt idx="829">
                  <c:v>45618</c:v>
                </c:pt>
                <c:pt idx="830">
                  <c:v>45621</c:v>
                </c:pt>
                <c:pt idx="831">
                  <c:v>45622</c:v>
                </c:pt>
                <c:pt idx="832">
                  <c:v>45623</c:v>
                </c:pt>
                <c:pt idx="833">
                  <c:v>45625</c:v>
                </c:pt>
                <c:pt idx="834">
                  <c:v>45628</c:v>
                </c:pt>
                <c:pt idx="835">
                  <c:v>45629</c:v>
                </c:pt>
                <c:pt idx="836">
                  <c:v>45630</c:v>
                </c:pt>
                <c:pt idx="837">
                  <c:v>45631</c:v>
                </c:pt>
                <c:pt idx="838">
                  <c:v>45632</c:v>
                </c:pt>
                <c:pt idx="839">
                  <c:v>45635</c:v>
                </c:pt>
                <c:pt idx="840">
                  <c:v>45636</c:v>
                </c:pt>
                <c:pt idx="841">
                  <c:v>45637</c:v>
                </c:pt>
                <c:pt idx="842">
                  <c:v>45638</c:v>
                </c:pt>
                <c:pt idx="843">
                  <c:v>45639</c:v>
                </c:pt>
                <c:pt idx="844">
                  <c:v>45642</c:v>
                </c:pt>
                <c:pt idx="845">
                  <c:v>45643</c:v>
                </c:pt>
                <c:pt idx="846">
                  <c:v>45644</c:v>
                </c:pt>
                <c:pt idx="847">
                  <c:v>45645</c:v>
                </c:pt>
                <c:pt idx="848">
                  <c:v>45646</c:v>
                </c:pt>
                <c:pt idx="849">
                  <c:v>45649</c:v>
                </c:pt>
                <c:pt idx="850">
                  <c:v>45650</c:v>
                </c:pt>
                <c:pt idx="851">
                  <c:v>45652</c:v>
                </c:pt>
                <c:pt idx="852">
                  <c:v>45653</c:v>
                </c:pt>
                <c:pt idx="853">
                  <c:v>45656</c:v>
                </c:pt>
                <c:pt idx="854">
                  <c:v>45657</c:v>
                </c:pt>
                <c:pt idx="855">
                  <c:v>45659</c:v>
                </c:pt>
                <c:pt idx="856">
                  <c:v>45660</c:v>
                </c:pt>
                <c:pt idx="857">
                  <c:v>45663</c:v>
                </c:pt>
                <c:pt idx="858">
                  <c:v>45664</c:v>
                </c:pt>
                <c:pt idx="859">
                  <c:v>45665</c:v>
                </c:pt>
                <c:pt idx="860">
                  <c:v>45667</c:v>
                </c:pt>
                <c:pt idx="861">
                  <c:v>45670</c:v>
                </c:pt>
                <c:pt idx="862">
                  <c:v>45671</c:v>
                </c:pt>
                <c:pt idx="863">
                  <c:v>45672</c:v>
                </c:pt>
                <c:pt idx="864">
                  <c:v>45673</c:v>
                </c:pt>
                <c:pt idx="865">
                  <c:v>45674</c:v>
                </c:pt>
                <c:pt idx="866">
                  <c:v>45678</c:v>
                </c:pt>
                <c:pt idx="867">
                  <c:v>45679</c:v>
                </c:pt>
                <c:pt idx="868">
                  <c:v>45680</c:v>
                </c:pt>
                <c:pt idx="869">
                  <c:v>45681</c:v>
                </c:pt>
                <c:pt idx="870">
                  <c:v>45684</c:v>
                </c:pt>
                <c:pt idx="871">
                  <c:v>45685</c:v>
                </c:pt>
                <c:pt idx="872">
                  <c:v>45686</c:v>
                </c:pt>
                <c:pt idx="873">
                  <c:v>45687</c:v>
                </c:pt>
                <c:pt idx="874">
                  <c:v>45688</c:v>
                </c:pt>
                <c:pt idx="875">
                  <c:v>45691</c:v>
                </c:pt>
                <c:pt idx="876">
                  <c:v>45692</c:v>
                </c:pt>
                <c:pt idx="877">
                  <c:v>45693</c:v>
                </c:pt>
                <c:pt idx="878">
                  <c:v>45694</c:v>
                </c:pt>
                <c:pt idx="879">
                  <c:v>45695</c:v>
                </c:pt>
                <c:pt idx="880">
                  <c:v>45698</c:v>
                </c:pt>
                <c:pt idx="881">
                  <c:v>45699</c:v>
                </c:pt>
                <c:pt idx="882">
                  <c:v>45700</c:v>
                </c:pt>
                <c:pt idx="883">
                  <c:v>45701</c:v>
                </c:pt>
                <c:pt idx="884">
                  <c:v>45702</c:v>
                </c:pt>
                <c:pt idx="885">
                  <c:v>45706</c:v>
                </c:pt>
                <c:pt idx="886">
                  <c:v>45707</c:v>
                </c:pt>
                <c:pt idx="887">
                  <c:v>45708</c:v>
                </c:pt>
                <c:pt idx="888">
                  <c:v>45709</c:v>
                </c:pt>
                <c:pt idx="889">
                  <c:v>45712</c:v>
                </c:pt>
                <c:pt idx="890">
                  <c:v>45713</c:v>
                </c:pt>
                <c:pt idx="891">
                  <c:v>45714</c:v>
                </c:pt>
                <c:pt idx="892">
                  <c:v>45715</c:v>
                </c:pt>
                <c:pt idx="893">
                  <c:v>45716</c:v>
                </c:pt>
                <c:pt idx="894">
                  <c:v>45719</c:v>
                </c:pt>
                <c:pt idx="895">
                  <c:v>45720</c:v>
                </c:pt>
                <c:pt idx="896">
                  <c:v>45721</c:v>
                </c:pt>
                <c:pt idx="897">
                  <c:v>45722</c:v>
                </c:pt>
                <c:pt idx="898">
                  <c:v>45723</c:v>
                </c:pt>
                <c:pt idx="899">
                  <c:v>45726</c:v>
                </c:pt>
                <c:pt idx="900">
                  <c:v>45727</c:v>
                </c:pt>
                <c:pt idx="901">
                  <c:v>45728</c:v>
                </c:pt>
                <c:pt idx="902">
                  <c:v>45729</c:v>
                </c:pt>
                <c:pt idx="903">
                  <c:v>45730</c:v>
                </c:pt>
                <c:pt idx="904">
                  <c:v>45733</c:v>
                </c:pt>
                <c:pt idx="905">
                  <c:v>45734</c:v>
                </c:pt>
                <c:pt idx="906">
                  <c:v>45735</c:v>
                </c:pt>
                <c:pt idx="907">
                  <c:v>45736</c:v>
                </c:pt>
                <c:pt idx="908">
                  <c:v>45737</c:v>
                </c:pt>
                <c:pt idx="909">
                  <c:v>45740</c:v>
                </c:pt>
                <c:pt idx="910">
                  <c:v>45741</c:v>
                </c:pt>
                <c:pt idx="911">
                  <c:v>45742</c:v>
                </c:pt>
                <c:pt idx="912">
                  <c:v>45743</c:v>
                </c:pt>
                <c:pt idx="913">
                  <c:v>45744</c:v>
                </c:pt>
                <c:pt idx="914">
                  <c:v>45747</c:v>
                </c:pt>
                <c:pt idx="915">
                  <c:v>45748</c:v>
                </c:pt>
                <c:pt idx="916">
                  <c:v>45749</c:v>
                </c:pt>
                <c:pt idx="917">
                  <c:v>45750</c:v>
                </c:pt>
                <c:pt idx="918">
                  <c:v>45751</c:v>
                </c:pt>
                <c:pt idx="919">
                  <c:v>45754</c:v>
                </c:pt>
                <c:pt idx="920">
                  <c:v>45755</c:v>
                </c:pt>
                <c:pt idx="921">
                  <c:v>45756</c:v>
                </c:pt>
                <c:pt idx="922">
                  <c:v>45757</c:v>
                </c:pt>
                <c:pt idx="923">
                  <c:v>45758</c:v>
                </c:pt>
                <c:pt idx="924">
                  <c:v>45761</c:v>
                </c:pt>
                <c:pt idx="925">
                  <c:v>45762</c:v>
                </c:pt>
                <c:pt idx="926">
                  <c:v>45763</c:v>
                </c:pt>
                <c:pt idx="927">
                  <c:v>45764</c:v>
                </c:pt>
                <c:pt idx="928">
                  <c:v>45768</c:v>
                </c:pt>
                <c:pt idx="929">
                  <c:v>45769</c:v>
                </c:pt>
                <c:pt idx="930">
                  <c:v>45770</c:v>
                </c:pt>
                <c:pt idx="931">
                  <c:v>45771</c:v>
                </c:pt>
                <c:pt idx="932">
                  <c:v>45772</c:v>
                </c:pt>
                <c:pt idx="933">
                  <c:v>45775</c:v>
                </c:pt>
                <c:pt idx="934">
                  <c:v>45776</c:v>
                </c:pt>
                <c:pt idx="935">
                  <c:v>45777</c:v>
                </c:pt>
                <c:pt idx="936">
                  <c:v>45778</c:v>
                </c:pt>
                <c:pt idx="937">
                  <c:v>45779</c:v>
                </c:pt>
                <c:pt idx="938">
                  <c:v>45782</c:v>
                </c:pt>
                <c:pt idx="939">
                  <c:v>45783</c:v>
                </c:pt>
                <c:pt idx="940">
                  <c:v>45784</c:v>
                </c:pt>
                <c:pt idx="941">
                  <c:v>45785</c:v>
                </c:pt>
                <c:pt idx="942">
                  <c:v>45786</c:v>
                </c:pt>
                <c:pt idx="943">
                  <c:v>45789</c:v>
                </c:pt>
                <c:pt idx="944">
                  <c:v>45790</c:v>
                </c:pt>
                <c:pt idx="945">
                  <c:v>45791</c:v>
                </c:pt>
                <c:pt idx="946">
                  <c:v>45792</c:v>
                </c:pt>
                <c:pt idx="947">
                  <c:v>45793</c:v>
                </c:pt>
                <c:pt idx="948">
                  <c:v>45796</c:v>
                </c:pt>
                <c:pt idx="949">
                  <c:v>45797</c:v>
                </c:pt>
                <c:pt idx="950">
                  <c:v>45798</c:v>
                </c:pt>
                <c:pt idx="951">
                  <c:v>45799</c:v>
                </c:pt>
                <c:pt idx="952">
                  <c:v>45800</c:v>
                </c:pt>
                <c:pt idx="953">
                  <c:v>45804</c:v>
                </c:pt>
                <c:pt idx="954">
                  <c:v>45805</c:v>
                </c:pt>
                <c:pt idx="955">
                  <c:v>45806</c:v>
                </c:pt>
                <c:pt idx="956">
                  <c:v>45807</c:v>
                </c:pt>
                <c:pt idx="957">
                  <c:v>45810</c:v>
                </c:pt>
                <c:pt idx="958">
                  <c:v>45811</c:v>
                </c:pt>
                <c:pt idx="959">
                  <c:v>45812</c:v>
                </c:pt>
                <c:pt idx="960">
                  <c:v>45813</c:v>
                </c:pt>
                <c:pt idx="961">
                  <c:v>45814</c:v>
                </c:pt>
                <c:pt idx="962">
                  <c:v>45817</c:v>
                </c:pt>
                <c:pt idx="963">
                  <c:v>45818</c:v>
                </c:pt>
                <c:pt idx="964">
                  <c:v>45819</c:v>
                </c:pt>
                <c:pt idx="965">
                  <c:v>45820</c:v>
                </c:pt>
                <c:pt idx="966">
                  <c:v>45821</c:v>
                </c:pt>
                <c:pt idx="967">
                  <c:v>45824</c:v>
                </c:pt>
                <c:pt idx="968">
                  <c:v>45825</c:v>
                </c:pt>
                <c:pt idx="969">
                  <c:v>45826</c:v>
                </c:pt>
                <c:pt idx="970">
                  <c:v>45828</c:v>
                </c:pt>
                <c:pt idx="971">
                  <c:v>45831</c:v>
                </c:pt>
                <c:pt idx="972">
                  <c:v>45832</c:v>
                </c:pt>
                <c:pt idx="973">
                  <c:v>45833</c:v>
                </c:pt>
                <c:pt idx="974">
                  <c:v>45834</c:v>
                </c:pt>
                <c:pt idx="975">
                  <c:v>45835</c:v>
                </c:pt>
                <c:pt idx="976">
                  <c:v>45838</c:v>
                </c:pt>
                <c:pt idx="977">
                  <c:v>45839</c:v>
                </c:pt>
                <c:pt idx="978">
                  <c:v>45840</c:v>
                </c:pt>
                <c:pt idx="979">
                  <c:v>45841</c:v>
                </c:pt>
                <c:pt idx="980">
                  <c:v>45845</c:v>
                </c:pt>
                <c:pt idx="981">
                  <c:v>45846</c:v>
                </c:pt>
                <c:pt idx="982">
                  <c:v>45847</c:v>
                </c:pt>
                <c:pt idx="983">
                  <c:v>45848</c:v>
                </c:pt>
                <c:pt idx="984">
                  <c:v>45849</c:v>
                </c:pt>
                <c:pt idx="985">
                  <c:v>45852</c:v>
                </c:pt>
                <c:pt idx="986">
                  <c:v>45853</c:v>
                </c:pt>
                <c:pt idx="987">
                  <c:v>45854</c:v>
                </c:pt>
                <c:pt idx="988">
                  <c:v>45855</c:v>
                </c:pt>
                <c:pt idx="989">
                  <c:v>45856</c:v>
                </c:pt>
                <c:pt idx="990">
                  <c:v>45859</c:v>
                </c:pt>
                <c:pt idx="991">
                  <c:v>45860</c:v>
                </c:pt>
                <c:pt idx="992">
                  <c:v>45861</c:v>
                </c:pt>
                <c:pt idx="993">
                  <c:v>45862</c:v>
                </c:pt>
                <c:pt idx="994">
                  <c:v>45863</c:v>
                </c:pt>
                <c:pt idx="995">
                  <c:v>45866</c:v>
                </c:pt>
                <c:pt idx="996">
                  <c:v>45867</c:v>
                </c:pt>
                <c:pt idx="997">
                  <c:v>45868</c:v>
                </c:pt>
                <c:pt idx="998">
                  <c:v>45869</c:v>
                </c:pt>
                <c:pt idx="999">
                  <c:v>45870</c:v>
                </c:pt>
                <c:pt idx="1000">
                  <c:v>45873</c:v>
                </c:pt>
                <c:pt idx="1001">
                  <c:v>45874</c:v>
                </c:pt>
                <c:pt idx="1002">
                  <c:v>45875</c:v>
                </c:pt>
                <c:pt idx="1003">
                  <c:v>45876</c:v>
                </c:pt>
                <c:pt idx="1004">
                  <c:v>45877</c:v>
                </c:pt>
                <c:pt idx="1005">
                  <c:v>45880</c:v>
                </c:pt>
                <c:pt idx="1006">
                  <c:v>45881</c:v>
                </c:pt>
                <c:pt idx="1007">
                  <c:v>45882</c:v>
                </c:pt>
                <c:pt idx="1008">
                  <c:v>45883</c:v>
                </c:pt>
                <c:pt idx="1009">
                  <c:v>45884</c:v>
                </c:pt>
                <c:pt idx="1010">
                  <c:v>45887</c:v>
                </c:pt>
                <c:pt idx="1011">
                  <c:v>45888</c:v>
                </c:pt>
                <c:pt idx="1012">
                  <c:v>45889</c:v>
                </c:pt>
                <c:pt idx="1013">
                  <c:v>45890</c:v>
                </c:pt>
                <c:pt idx="1014">
                  <c:v>45891</c:v>
                </c:pt>
                <c:pt idx="1015">
                  <c:v>45894</c:v>
                </c:pt>
                <c:pt idx="1016">
                  <c:v>45895</c:v>
                </c:pt>
                <c:pt idx="1017">
                  <c:v>45896</c:v>
                </c:pt>
                <c:pt idx="1018">
                  <c:v>45897</c:v>
                </c:pt>
                <c:pt idx="1019">
                  <c:v>45898</c:v>
                </c:pt>
                <c:pt idx="1020">
                  <c:v>45902</c:v>
                </c:pt>
                <c:pt idx="1021">
                  <c:v>45903</c:v>
                </c:pt>
                <c:pt idx="1022">
                  <c:v>45904</c:v>
                </c:pt>
                <c:pt idx="1023">
                  <c:v>45905</c:v>
                </c:pt>
                <c:pt idx="1024">
                  <c:v>45908</c:v>
                </c:pt>
                <c:pt idx="1025">
                  <c:v>45909</c:v>
                </c:pt>
                <c:pt idx="1026">
                  <c:v>45910</c:v>
                </c:pt>
                <c:pt idx="1027">
                  <c:v>45911</c:v>
                </c:pt>
                <c:pt idx="1028">
                  <c:v>45912</c:v>
                </c:pt>
                <c:pt idx="1029">
                  <c:v>45915</c:v>
                </c:pt>
                <c:pt idx="1030">
                  <c:v>45916</c:v>
                </c:pt>
                <c:pt idx="1031">
                  <c:v>45917</c:v>
                </c:pt>
                <c:pt idx="1032">
                  <c:v>45918</c:v>
                </c:pt>
                <c:pt idx="1033">
                  <c:v>45919</c:v>
                </c:pt>
                <c:pt idx="1034">
                  <c:v>45922</c:v>
                </c:pt>
                <c:pt idx="1035">
                  <c:v>45923</c:v>
                </c:pt>
                <c:pt idx="1036">
                  <c:v>45924</c:v>
                </c:pt>
                <c:pt idx="1037">
                  <c:v>45925</c:v>
                </c:pt>
                <c:pt idx="1038">
                  <c:v>45926</c:v>
                </c:pt>
                <c:pt idx="1039">
                  <c:v>45929</c:v>
                </c:pt>
                <c:pt idx="1040">
                  <c:v>45930</c:v>
                </c:pt>
                <c:pt idx="1041">
                  <c:v>45931</c:v>
                </c:pt>
                <c:pt idx="1042">
                  <c:v>45932</c:v>
                </c:pt>
                <c:pt idx="1043">
                  <c:v>45933</c:v>
                </c:pt>
                <c:pt idx="1044">
                  <c:v>45936</c:v>
                </c:pt>
                <c:pt idx="1045">
                  <c:v>45937</c:v>
                </c:pt>
                <c:pt idx="1046">
                  <c:v>45938</c:v>
                </c:pt>
                <c:pt idx="1047">
                  <c:v>45939</c:v>
                </c:pt>
                <c:pt idx="1048">
                  <c:v>45940</c:v>
                </c:pt>
                <c:pt idx="1049">
                  <c:v>45943</c:v>
                </c:pt>
                <c:pt idx="1050">
                  <c:v>45944</c:v>
                </c:pt>
                <c:pt idx="1051">
                  <c:v>45945</c:v>
                </c:pt>
                <c:pt idx="1052">
                  <c:v>45946</c:v>
                </c:pt>
                <c:pt idx="1053">
                  <c:v>45947</c:v>
                </c:pt>
                <c:pt idx="1054">
                  <c:v>45950</c:v>
                </c:pt>
                <c:pt idx="1055">
                  <c:v>45951</c:v>
                </c:pt>
                <c:pt idx="1056">
                  <c:v>45952</c:v>
                </c:pt>
                <c:pt idx="1057">
                  <c:v>45953</c:v>
                </c:pt>
                <c:pt idx="1058">
                  <c:v>45954</c:v>
                </c:pt>
                <c:pt idx="1059">
                  <c:v>45957</c:v>
                </c:pt>
                <c:pt idx="1060">
                  <c:v>45958</c:v>
                </c:pt>
                <c:pt idx="1061">
                  <c:v>45959</c:v>
                </c:pt>
                <c:pt idx="1062">
                  <c:v>45960</c:v>
                </c:pt>
                <c:pt idx="1063">
                  <c:v>45961</c:v>
                </c:pt>
                <c:pt idx="1064">
                  <c:v>45964</c:v>
                </c:pt>
                <c:pt idx="1065">
                  <c:v>45965</c:v>
                </c:pt>
                <c:pt idx="1066">
                  <c:v>45966</c:v>
                </c:pt>
                <c:pt idx="1067">
                  <c:v>45967</c:v>
                </c:pt>
                <c:pt idx="1068">
                  <c:v>45968</c:v>
                </c:pt>
                <c:pt idx="1069">
                  <c:v>45971</c:v>
                </c:pt>
                <c:pt idx="1070">
                  <c:v>45972</c:v>
                </c:pt>
                <c:pt idx="1071">
                  <c:v>45973</c:v>
                </c:pt>
                <c:pt idx="1072">
                  <c:v>45974</c:v>
                </c:pt>
                <c:pt idx="1073">
                  <c:v>45975</c:v>
                </c:pt>
                <c:pt idx="1074">
                  <c:v>45978</c:v>
                </c:pt>
                <c:pt idx="1075">
                  <c:v>45979</c:v>
                </c:pt>
                <c:pt idx="1076">
                  <c:v>45980</c:v>
                </c:pt>
                <c:pt idx="1077">
                  <c:v>45981</c:v>
                </c:pt>
                <c:pt idx="1078">
                  <c:v>45982</c:v>
                </c:pt>
                <c:pt idx="1079">
                  <c:v>45985</c:v>
                </c:pt>
                <c:pt idx="1080">
                  <c:v>45986</c:v>
                </c:pt>
                <c:pt idx="1081">
                  <c:v>45987</c:v>
                </c:pt>
                <c:pt idx="1082">
                  <c:v>45989</c:v>
                </c:pt>
                <c:pt idx="1083">
                  <c:v>45992</c:v>
                </c:pt>
                <c:pt idx="1084">
                  <c:v>45993</c:v>
                </c:pt>
                <c:pt idx="1085">
                  <c:v>45994</c:v>
                </c:pt>
                <c:pt idx="1086">
                  <c:v>45995</c:v>
                </c:pt>
                <c:pt idx="1087">
                  <c:v>45996</c:v>
                </c:pt>
                <c:pt idx="1088">
                  <c:v>45999</c:v>
                </c:pt>
                <c:pt idx="1089">
                  <c:v>46000</c:v>
                </c:pt>
                <c:pt idx="1090">
                  <c:v>46001</c:v>
                </c:pt>
                <c:pt idx="1091">
                  <c:v>46002</c:v>
                </c:pt>
                <c:pt idx="1092">
                  <c:v>46003</c:v>
                </c:pt>
                <c:pt idx="1093">
                  <c:v>46006</c:v>
                </c:pt>
                <c:pt idx="1094">
                  <c:v>46007</c:v>
                </c:pt>
                <c:pt idx="1095">
                  <c:v>46008</c:v>
                </c:pt>
                <c:pt idx="1096">
                  <c:v>46009</c:v>
                </c:pt>
                <c:pt idx="1097">
                  <c:v>46010</c:v>
                </c:pt>
                <c:pt idx="1098">
                  <c:v>46013</c:v>
                </c:pt>
                <c:pt idx="1099">
                  <c:v>46014</c:v>
                </c:pt>
                <c:pt idx="1100">
                  <c:v>46015</c:v>
                </c:pt>
                <c:pt idx="1101">
                  <c:v>46017</c:v>
                </c:pt>
                <c:pt idx="1102">
                  <c:v>46020</c:v>
                </c:pt>
                <c:pt idx="1103">
                  <c:v>46021</c:v>
                </c:pt>
                <c:pt idx="1104">
                  <c:v>46022</c:v>
                </c:pt>
                <c:pt idx="1105">
                  <c:v>46024</c:v>
                </c:pt>
                <c:pt idx="1106">
                  <c:v>46027</c:v>
                </c:pt>
                <c:pt idx="1107">
                  <c:v>46028</c:v>
                </c:pt>
                <c:pt idx="1108">
                  <c:v>46029</c:v>
                </c:pt>
                <c:pt idx="1109">
                  <c:v>46030</c:v>
                </c:pt>
                <c:pt idx="1110">
                  <c:v>46031</c:v>
                </c:pt>
                <c:pt idx="1111">
                  <c:v>46034</c:v>
                </c:pt>
                <c:pt idx="1112">
                  <c:v>46035</c:v>
                </c:pt>
                <c:pt idx="1113">
                  <c:v>46036</c:v>
                </c:pt>
                <c:pt idx="1114">
                  <c:v>46037</c:v>
                </c:pt>
                <c:pt idx="1115">
                  <c:v>46038</c:v>
                </c:pt>
                <c:pt idx="1116">
                  <c:v>46042</c:v>
                </c:pt>
                <c:pt idx="1117">
                  <c:v>46043</c:v>
                </c:pt>
                <c:pt idx="1118">
                  <c:v>46044</c:v>
                </c:pt>
                <c:pt idx="1119">
                  <c:v>46045</c:v>
                </c:pt>
                <c:pt idx="1120">
                  <c:v>46048</c:v>
                </c:pt>
                <c:pt idx="1121">
                  <c:v>46049</c:v>
                </c:pt>
                <c:pt idx="1122">
                  <c:v>46050</c:v>
                </c:pt>
                <c:pt idx="1123">
                  <c:v>46051</c:v>
                </c:pt>
                <c:pt idx="1124">
                  <c:v>46052</c:v>
                </c:pt>
                <c:pt idx="1125">
                  <c:v>46055</c:v>
                </c:pt>
                <c:pt idx="1126">
                  <c:v>46056</c:v>
                </c:pt>
                <c:pt idx="1127">
                  <c:v>46057</c:v>
                </c:pt>
                <c:pt idx="1128">
                  <c:v>46058</c:v>
                </c:pt>
                <c:pt idx="1129">
                  <c:v>46059</c:v>
                </c:pt>
                <c:pt idx="1130">
                  <c:v>46062</c:v>
                </c:pt>
                <c:pt idx="1131">
                  <c:v>46063</c:v>
                </c:pt>
                <c:pt idx="1132">
                  <c:v>46064</c:v>
                </c:pt>
                <c:pt idx="1133">
                  <c:v>46065</c:v>
                </c:pt>
                <c:pt idx="1134">
                  <c:v>46066</c:v>
                </c:pt>
                <c:pt idx="1135">
                  <c:v>46070</c:v>
                </c:pt>
                <c:pt idx="1136">
                  <c:v>46071</c:v>
                </c:pt>
                <c:pt idx="1137">
                  <c:v>46072</c:v>
                </c:pt>
                <c:pt idx="1138">
                  <c:v>46073</c:v>
                </c:pt>
                <c:pt idx="1139">
                  <c:v>46076</c:v>
                </c:pt>
                <c:pt idx="1140">
                  <c:v>46077</c:v>
                </c:pt>
                <c:pt idx="1141">
                  <c:v>46078</c:v>
                </c:pt>
                <c:pt idx="1142">
                  <c:v>46079</c:v>
                </c:pt>
                <c:pt idx="1143">
                  <c:v>46080</c:v>
                </c:pt>
                <c:pt idx="1144">
                  <c:v>46083</c:v>
                </c:pt>
                <c:pt idx="1145">
                  <c:v>46084</c:v>
                </c:pt>
                <c:pt idx="1146">
                  <c:v>46085</c:v>
                </c:pt>
                <c:pt idx="1147">
                  <c:v>46086</c:v>
                </c:pt>
                <c:pt idx="1148">
                  <c:v>46087</c:v>
                </c:pt>
                <c:pt idx="1149">
                  <c:v>46090</c:v>
                </c:pt>
                <c:pt idx="1150">
                  <c:v>46091</c:v>
                </c:pt>
                <c:pt idx="1151">
                  <c:v>46092</c:v>
                </c:pt>
                <c:pt idx="1152">
                  <c:v>46093</c:v>
                </c:pt>
                <c:pt idx="1153">
                  <c:v>46094</c:v>
                </c:pt>
                <c:pt idx="1154">
                  <c:v>46097</c:v>
                </c:pt>
                <c:pt idx="1155">
                  <c:v>46098</c:v>
                </c:pt>
                <c:pt idx="1156">
                  <c:v>46099</c:v>
                </c:pt>
                <c:pt idx="1157">
                  <c:v>46100</c:v>
                </c:pt>
                <c:pt idx="1158">
                  <c:v>46101</c:v>
                </c:pt>
                <c:pt idx="1159">
                  <c:v>46104</c:v>
                </c:pt>
                <c:pt idx="1160">
                  <c:v>46105</c:v>
                </c:pt>
                <c:pt idx="1161">
                  <c:v>46106</c:v>
                </c:pt>
                <c:pt idx="1162">
                  <c:v>46107</c:v>
                </c:pt>
                <c:pt idx="1163">
                  <c:v>46108</c:v>
                </c:pt>
                <c:pt idx="1164">
                  <c:v>46111</c:v>
                </c:pt>
                <c:pt idx="1165">
                  <c:v>46112</c:v>
                </c:pt>
                <c:pt idx="1166">
                  <c:v>46113</c:v>
                </c:pt>
                <c:pt idx="1167">
                  <c:v>46114</c:v>
                </c:pt>
                <c:pt idx="1168">
                  <c:v>46118</c:v>
                </c:pt>
                <c:pt idx="1169">
                  <c:v>46119</c:v>
                </c:pt>
                <c:pt idx="1170">
                  <c:v>46120</c:v>
                </c:pt>
                <c:pt idx="1171">
                  <c:v>46121</c:v>
                </c:pt>
                <c:pt idx="1172">
                  <c:v>46122</c:v>
                </c:pt>
                <c:pt idx="1173">
                  <c:v>46125</c:v>
                </c:pt>
                <c:pt idx="1174">
                  <c:v>46126</c:v>
                </c:pt>
                <c:pt idx="1175">
                  <c:v>46127</c:v>
                </c:pt>
                <c:pt idx="1176">
                  <c:v>46128</c:v>
                </c:pt>
                <c:pt idx="1177">
                  <c:v>46129</c:v>
                </c:pt>
                <c:pt idx="1178">
                  <c:v>46132</c:v>
                </c:pt>
                <c:pt idx="1179">
                  <c:v>46133</c:v>
                </c:pt>
                <c:pt idx="1180">
                  <c:v>46134</c:v>
                </c:pt>
                <c:pt idx="1181">
                  <c:v>46135</c:v>
                </c:pt>
                <c:pt idx="1182">
                  <c:v>46136</c:v>
                </c:pt>
                <c:pt idx="1183">
                  <c:v>46139</c:v>
                </c:pt>
                <c:pt idx="1184">
                  <c:v>46140</c:v>
                </c:pt>
                <c:pt idx="1185">
                  <c:v>46141</c:v>
                </c:pt>
                <c:pt idx="1186">
                  <c:v>46142</c:v>
                </c:pt>
                <c:pt idx="1187">
                  <c:v>46143</c:v>
                </c:pt>
                <c:pt idx="1188">
                  <c:v>46146</c:v>
                </c:pt>
                <c:pt idx="1189">
                  <c:v>46147</c:v>
                </c:pt>
                <c:pt idx="1190">
                  <c:v>46148</c:v>
                </c:pt>
                <c:pt idx="1191">
                  <c:v>46149</c:v>
                </c:pt>
                <c:pt idx="1192">
                  <c:v>46150</c:v>
                </c:pt>
                <c:pt idx="1193">
                  <c:v>46153</c:v>
                </c:pt>
                <c:pt idx="1194">
                  <c:v>46154</c:v>
                </c:pt>
                <c:pt idx="1195">
                  <c:v>46155</c:v>
                </c:pt>
                <c:pt idx="1196">
                  <c:v>46156</c:v>
                </c:pt>
                <c:pt idx="1197">
                  <c:v>46157</c:v>
                </c:pt>
                <c:pt idx="1198">
                  <c:v>46160</c:v>
                </c:pt>
                <c:pt idx="1199">
                  <c:v>46161</c:v>
                </c:pt>
                <c:pt idx="1200">
                  <c:v>46162</c:v>
                </c:pt>
                <c:pt idx="1201">
                  <c:v>46163</c:v>
                </c:pt>
                <c:pt idx="1202">
                  <c:v>46164</c:v>
                </c:pt>
                <c:pt idx="1203">
                  <c:v>46168</c:v>
                </c:pt>
                <c:pt idx="1204">
                  <c:v>46169</c:v>
                </c:pt>
                <c:pt idx="1205">
                  <c:v>46170</c:v>
                </c:pt>
                <c:pt idx="1206">
                  <c:v>46171</c:v>
                </c:pt>
                <c:pt idx="1207">
                  <c:v>46174</c:v>
                </c:pt>
                <c:pt idx="1208">
                  <c:v>46175</c:v>
                </c:pt>
                <c:pt idx="1209">
                  <c:v>46176</c:v>
                </c:pt>
                <c:pt idx="1210">
                  <c:v>46177</c:v>
                </c:pt>
                <c:pt idx="1211">
                  <c:v>46178</c:v>
                </c:pt>
                <c:pt idx="1212">
                  <c:v>46181</c:v>
                </c:pt>
                <c:pt idx="1213">
                  <c:v>46182</c:v>
                </c:pt>
                <c:pt idx="1214">
                  <c:v>46183</c:v>
                </c:pt>
                <c:pt idx="1215">
                  <c:v>46184</c:v>
                </c:pt>
                <c:pt idx="1216">
                  <c:v>46185</c:v>
                </c:pt>
                <c:pt idx="1217">
                  <c:v>46188</c:v>
                </c:pt>
                <c:pt idx="1218">
                  <c:v>46189</c:v>
                </c:pt>
                <c:pt idx="1219">
                  <c:v>46190</c:v>
                </c:pt>
                <c:pt idx="1220">
                  <c:v>46191</c:v>
                </c:pt>
                <c:pt idx="1221">
                  <c:v>46195</c:v>
                </c:pt>
                <c:pt idx="1222">
                  <c:v>46196</c:v>
                </c:pt>
                <c:pt idx="1223">
                  <c:v>46197</c:v>
                </c:pt>
                <c:pt idx="1224">
                  <c:v>46198</c:v>
                </c:pt>
                <c:pt idx="1225">
                  <c:v>46199</c:v>
                </c:pt>
                <c:pt idx="1226">
                  <c:v>46202</c:v>
                </c:pt>
                <c:pt idx="1227">
                  <c:v>46203</c:v>
                </c:pt>
                <c:pt idx="1228">
                  <c:v>46204</c:v>
                </c:pt>
                <c:pt idx="1229">
                  <c:v>46205</c:v>
                </c:pt>
                <c:pt idx="1230">
                  <c:v>46209</c:v>
                </c:pt>
                <c:pt idx="1231">
                  <c:v>46210</c:v>
                </c:pt>
                <c:pt idx="1232">
                  <c:v>46211</c:v>
                </c:pt>
                <c:pt idx="1233">
                  <c:v>46212</c:v>
                </c:pt>
                <c:pt idx="1234">
                  <c:v>46213</c:v>
                </c:pt>
                <c:pt idx="1235">
                  <c:v>46216</c:v>
                </c:pt>
                <c:pt idx="1236">
                  <c:v>46217</c:v>
                </c:pt>
                <c:pt idx="1237">
                  <c:v>46218</c:v>
                </c:pt>
                <c:pt idx="1238">
                  <c:v>46219</c:v>
                </c:pt>
                <c:pt idx="1239">
                  <c:v>46220</c:v>
                </c:pt>
                <c:pt idx="1240">
                  <c:v>46223</c:v>
                </c:pt>
                <c:pt idx="1241">
                  <c:v>46224</c:v>
                </c:pt>
                <c:pt idx="1242">
                  <c:v>46225</c:v>
                </c:pt>
                <c:pt idx="1243">
                  <c:v>46226</c:v>
                </c:pt>
                <c:pt idx="1244">
                  <c:v>46227</c:v>
                </c:pt>
                <c:pt idx="1245">
                  <c:v>46230</c:v>
                </c:pt>
                <c:pt idx="1246">
                  <c:v>46231</c:v>
                </c:pt>
                <c:pt idx="1247">
                  <c:v>46232</c:v>
                </c:pt>
                <c:pt idx="1248">
                  <c:v>46233</c:v>
                </c:pt>
                <c:pt idx="1249">
                  <c:v>46234</c:v>
                </c:pt>
                <c:pt idx="1250">
                  <c:v>46237</c:v>
                </c:pt>
                <c:pt idx="1251">
                  <c:v>46238</c:v>
                </c:pt>
                <c:pt idx="1252">
                  <c:v>46239</c:v>
                </c:pt>
                <c:pt idx="1253">
                  <c:v>46240</c:v>
                </c:pt>
                <c:pt idx="1254">
                  <c:v>46241</c:v>
                </c:pt>
              </c:numCache>
            </c:numRef>
          </c:cat>
          <c:val>
            <c:numRef>
              <c:f>'SPY vs RSP'!$AA$3:$AA$1257</c:f>
              <c:numCache>
                <c:formatCode>_(* #,##0.00_);_(* \(#,##0.00\);_(* "-"??_);_(@_)</c:formatCode>
                <c:ptCount val="12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 formatCode="_(&quot;$&quot;* #,##0.00_);_(&quot;$&quot;* \(#,##0.00\);_(&quot;$&quot;* &quot;-&quot;??_);_(@_)">
                  <c:v>0</c:v>
                </c:pt>
                <c:pt idx="50" formatCode="_(&quot;$&quot;* #,##0.00_);_(&quot;$&quot;* \(#,##0.00\);_(&quot;$&quot;* &quot;-&quot;??_);_(@_)">
                  <c:v>18.279143123012773</c:v>
                </c:pt>
                <c:pt idx="51" formatCode="_(&quot;$&quot;* #,##0.00_);_(&quot;$&quot;* \(#,##0.00\);_(&quot;$&quot;* &quot;-&quot;??_);_(@_)">
                  <c:v>-178.6544039411049</c:v>
                </c:pt>
                <c:pt idx="52" formatCode="_(&quot;$&quot;* #,##0.00_);_(&quot;$&quot;* \(#,##0.00\);_(&quot;$&quot;* &quot;-&quot;??_);_(@_)">
                  <c:v>-222.90785852928965</c:v>
                </c:pt>
                <c:pt idx="53" formatCode="_(&quot;$&quot;* #,##0.00_);_(&quot;$&quot;* \(#,##0.00\);_(&quot;$&quot;* &quot;-&quot;??_);_(@_)">
                  <c:v>-46.20588773967765</c:v>
                </c:pt>
                <c:pt idx="54" formatCode="_(&quot;$&quot;* #,##0.00_);_(&quot;$&quot;* \(#,##0.00\);_(&quot;$&quot;* &quot;-&quot;??_);_(@_)">
                  <c:v>203.03299195102284</c:v>
                </c:pt>
                <c:pt idx="55" formatCode="_(&quot;$&quot;* #,##0.00_);_(&quot;$&quot;* \(#,##0.00\);_(&quot;$&quot;* &quot;-&quot;??_);_(@_)">
                  <c:v>513.87554100718251</c:v>
                </c:pt>
                <c:pt idx="56" formatCode="_(&quot;$&quot;* #,##0.00_);_(&quot;$&quot;* \(#,##0.00\);_(&quot;$&quot;* &quot;-&quot;??_);_(@_)">
                  <c:v>523.48204078097069</c:v>
                </c:pt>
                <c:pt idx="57" formatCode="_(&quot;$&quot;* #,##0.00_);_(&quot;$&quot;* \(#,##0.00\);_(&quot;$&quot;* &quot;-&quot;??_);_(@_)">
                  <c:v>523.21862319763022</c:v>
                </c:pt>
                <c:pt idx="58" formatCode="_(&quot;$&quot;* #,##0.00_);_(&quot;$&quot;* \(#,##0.00\);_(&quot;$&quot;* &quot;-&quot;??_);_(@_)">
                  <c:v>570.31736585819658</c:v>
                </c:pt>
                <c:pt idx="59" formatCode="_(&quot;$&quot;* #,##0.00_);_(&quot;$&quot;* \(#,##0.00\);_(&quot;$&quot;* &quot;-&quot;??_);_(@_)">
                  <c:v>509.65313739100793</c:v>
                </c:pt>
                <c:pt idx="60" formatCode="_(&quot;$&quot;* #,##0.00_);_(&quot;$&quot;* \(#,##0.00\);_(&quot;$&quot;* &quot;-&quot;??_);_(@_)">
                  <c:v>655.16993378585096</c:v>
                </c:pt>
                <c:pt idx="61" formatCode="_(&quot;$&quot;* #,##0.00_);_(&quot;$&quot;* \(#,##0.00\);_(&quot;$&quot;* &quot;-&quot;??_);_(@_)">
                  <c:v>663.29807115032554</c:v>
                </c:pt>
                <c:pt idx="62" formatCode="_(&quot;$&quot;* #,##0.00_);_(&quot;$&quot;* \(#,##0.00\);_(&quot;$&quot;* &quot;-&quot;??_);_(@_)">
                  <c:v>801.61984177961551</c:v>
                </c:pt>
                <c:pt idx="63" formatCode="_(&quot;$&quot;* #,##0.00_);_(&quot;$&quot;* \(#,##0.00\);_(&quot;$&quot;* &quot;-&quot;??_);_(@_)">
                  <c:v>597.67077474241898</c:v>
                </c:pt>
                <c:pt idx="64" formatCode="_(&quot;$&quot;* #,##0.00_);_(&quot;$&quot;* \(#,##0.00\);_(&quot;$&quot;* &quot;-&quot;??_);_(@_)">
                  <c:v>444.01866497160938</c:v>
                </c:pt>
                <c:pt idx="65" formatCode="_(&quot;$&quot;* #,##0.00_);_(&quot;$&quot;* \(#,##0.00\);_(&quot;$&quot;* &quot;-&quot;??_);_(@_)">
                  <c:v>653.11152014421975</c:v>
                </c:pt>
                <c:pt idx="66" formatCode="_(&quot;$&quot;* #,##0.00_);_(&quot;$&quot;* \(#,##0.00\);_(&quot;$&quot;* &quot;-&quot;??_);_(@_)">
                  <c:v>780.90058050475739</c:v>
                </c:pt>
                <c:pt idx="67" formatCode="_(&quot;$&quot;* #,##0.00_);_(&quot;$&quot;* \(#,##0.00\);_(&quot;$&quot;* &quot;-&quot;??_);_(@_)">
                  <c:v>842.45792772297875</c:v>
                </c:pt>
                <c:pt idx="68" formatCode="_(&quot;$&quot;* #,##0.00_);_(&quot;$&quot;* \(#,##0.00\);_(&quot;$&quot;* &quot;-&quot;??_);_(@_)">
                  <c:v>934.16173724599207</c:v>
                </c:pt>
                <c:pt idx="69" formatCode="_(&quot;$&quot;* #,##0.00_);_(&quot;$&quot;* \(#,##0.00\);_(&quot;$&quot;* &quot;-&quot;??_);_(@_)">
                  <c:v>805.82545241689809</c:v>
                </c:pt>
                <c:pt idx="70" formatCode="_(&quot;$&quot;* #,##0.00_);_(&quot;$&quot;* \(#,##0.00\);_(&quot;$&quot;* &quot;-&quot;??_);_(@_)">
                  <c:v>974.78018315914926</c:v>
                </c:pt>
                <c:pt idx="71" formatCode="_(&quot;$&quot;* #,##0.00_);_(&quot;$&quot;* \(#,##0.00\);_(&quot;$&quot;* &quot;-&quot;??_);_(@_)">
                  <c:v>1164.7080556493406</c:v>
                </c:pt>
                <c:pt idx="72" formatCode="_(&quot;$&quot;* #,##0.00_);_(&quot;$&quot;* \(#,##0.00\);_(&quot;$&quot;* &quot;-&quot;??_);_(@_)">
                  <c:v>1328.4430210914607</c:v>
                </c:pt>
                <c:pt idx="73" formatCode="_(&quot;$&quot;* #,##0.00_);_(&quot;$&quot;* \(#,##0.00\);_(&quot;$&quot;* &quot;-&quot;??_);_(@_)">
                  <c:v>1466.9056955510785</c:v>
                </c:pt>
                <c:pt idx="74" formatCode="_(&quot;$&quot;* #,##0.00_);_(&quot;$&quot;* \(#,##0.00\);_(&quot;$&quot;* &quot;-&quot;??_);_(@_)">
                  <c:v>1499.5296951473179</c:v>
                </c:pt>
                <c:pt idx="75" formatCode="_(&quot;$&quot;* #,##0.00_);_(&quot;$&quot;* \(#,##0.00\);_(&quot;$&quot;* &quot;-&quot;??_);_(@_)">
                  <c:v>1495.1643969235624</c:v>
                </c:pt>
                <c:pt idx="76" formatCode="_(&quot;$&quot;* #,##0.00_);_(&quot;$&quot;* \(#,##0.00\);_(&quot;$&quot;* &quot;-&quot;??_);_(@_)">
                  <c:v>1369.7898762060754</c:v>
                </c:pt>
                <c:pt idx="77" formatCode="_(&quot;$&quot;* #,##0.00_);_(&quot;$&quot;* \(#,##0.00\);_(&quot;$&quot;* &quot;-&quot;??_);_(@_)">
                  <c:v>2403.4427766932881</c:v>
                </c:pt>
                <c:pt idx="78" formatCode="_(&quot;$&quot;* #,##0.00_);_(&quot;$&quot;* \(#,##0.00\);_(&quot;$&quot;* &quot;-&quot;??_);_(@_)">
                  <c:v>1746.6366477660397</c:v>
                </c:pt>
                <c:pt idx="79" formatCode="_(&quot;$&quot;* #,##0.00_);_(&quot;$&quot;* \(#,##0.00\);_(&quot;$&quot;* &quot;-&quot;??_);_(@_)">
                  <c:v>1540.3793220115688</c:v>
                </c:pt>
                <c:pt idx="80" formatCode="_(&quot;$&quot;* #,##0.00_);_(&quot;$&quot;* \(#,##0.00\);_(&quot;$&quot;* &quot;-&quot;??_);_(@_)">
                  <c:v>7710.5165400037886</c:v>
                </c:pt>
                <c:pt idx="81" formatCode="_(&quot;$&quot;* #,##0.00_);_(&quot;$&quot;* \(#,##0.00\);_(&quot;$&quot;* &quot;-&quot;??_);_(@_)">
                  <c:v>7986.5795488910189</c:v>
                </c:pt>
                <c:pt idx="82" formatCode="_(&quot;$&quot;* #,##0.00_);_(&quot;$&quot;* \(#,##0.00\);_(&quot;$&quot;* &quot;-&quot;??_);_(@_)">
                  <c:v>8188.1821475922634</c:v>
                </c:pt>
                <c:pt idx="83" formatCode="_(&quot;$&quot;* #,##0.00_);_(&quot;$&quot;* \(#,##0.00\);_(&quot;$&quot;* &quot;-&quot;??_);_(@_)">
                  <c:v>8066.7232967982718</c:v>
                </c:pt>
                <c:pt idx="84" formatCode="_(&quot;$&quot;* #,##0.00_);_(&quot;$&quot;* \(#,##0.00\);_(&quot;$&quot;* &quot;-&quot;??_);_(@_)">
                  <c:v>8040.6826027542029</c:v>
                </c:pt>
                <c:pt idx="85" formatCode="_(&quot;$&quot;* #,##0.00_);_(&quot;$&quot;* \(#,##0.00\);_(&quot;$&quot;* &quot;-&quot;??_);_(@_)">
                  <c:v>7904.3739683628628</c:v>
                </c:pt>
                <c:pt idx="86" formatCode="_(&quot;$&quot;* #,##0.00_);_(&quot;$&quot;* \(#,##0.00\);_(&quot;$&quot;* &quot;-&quot;??_);_(@_)">
                  <c:v>8063.3132564944499</c:v>
                </c:pt>
                <c:pt idx="87" formatCode="_(&quot;$&quot;* #,##0.00_);_(&quot;$&quot;* \(#,##0.00\);_(&quot;$&quot;* &quot;-&quot;??_);_(@_)">
                  <c:v>8485.4416724020211</c:v>
                </c:pt>
                <c:pt idx="88" formatCode="_(&quot;$&quot;* #,##0.00_);_(&quot;$&quot;* \(#,##0.00\);_(&quot;$&quot;* &quot;-&quot;??_);_(@_)">
                  <c:v>8543.7351029963211</c:v>
                </c:pt>
                <c:pt idx="89" formatCode="_(&quot;$&quot;* #,##0.00_);_(&quot;$&quot;* \(#,##0.00\);_(&quot;$&quot;* &quot;-&quot;??_);_(@_)">
                  <c:v>8619.4996725114288</c:v>
                </c:pt>
                <c:pt idx="90" formatCode="_(&quot;$&quot;* #,##0.00_);_(&quot;$&quot;* \(#,##0.00\);_(&quot;$&quot;* &quot;-&quot;??_);_(@_)">
                  <c:v>8901.6267071214588</c:v>
                </c:pt>
                <c:pt idx="91" formatCode="_(&quot;$&quot;* #,##0.00_);_(&quot;$&quot;* \(#,##0.00\);_(&quot;$&quot;* &quot;-&quot;??_);_(@_)">
                  <c:v>9340.3696797394241</c:v>
                </c:pt>
                <c:pt idx="92" formatCode="_(&quot;$&quot;* #,##0.00_);_(&quot;$&quot;* \(#,##0.00\);_(&quot;$&quot;* &quot;-&quot;??_);_(@_)">
                  <c:v>8302.734572979356</c:v>
                </c:pt>
                <c:pt idx="93" formatCode="_(&quot;$&quot;* #,##0.00_);_(&quot;$&quot;* \(#,##0.00\);_(&quot;$&quot;* &quot;-&quot;??_);_(@_)">
                  <c:v>8442.5239114258293</c:v>
                </c:pt>
                <c:pt idx="94" formatCode="_(&quot;$&quot;* #,##0.00_);_(&quot;$&quot;* \(#,##0.00\);_(&quot;$&quot;* &quot;-&quot;??_);_(@_)">
                  <c:v>8312.0086553527854</c:v>
                </c:pt>
                <c:pt idx="95" formatCode="_(&quot;$&quot;* #,##0.00_);_(&quot;$&quot;* \(#,##0.00\);_(&quot;$&quot;* &quot;-&quot;??_);_(@_)">
                  <c:v>8281.9883140659113</c:v>
                </c:pt>
                <c:pt idx="96" formatCode="_(&quot;$&quot;* #,##0.00_);_(&quot;$&quot;* \(#,##0.00\);_(&quot;$&quot;* &quot;-&quot;??_);_(@_)">
                  <c:v>8413.5892090440066</c:v>
                </c:pt>
                <c:pt idx="97" formatCode="_(&quot;$&quot;* #,##0.00_);_(&quot;$&quot;* \(#,##0.00\);_(&quot;$&quot;* &quot;-&quot;??_);_(@_)">
                  <c:v>8225.6721589571207</c:v>
                </c:pt>
                <c:pt idx="98" formatCode="_(&quot;$&quot;* #,##0.00_);_(&quot;$&quot;* \(#,##0.00\);_(&quot;$&quot;* &quot;-&quot;??_);_(@_)">
                  <c:v>8338.612900609387</c:v>
                </c:pt>
                <c:pt idx="99" formatCode="_(&quot;$&quot;* #,##0.00_);_(&quot;$&quot;* \(#,##0.00\);_(&quot;$&quot;* &quot;-&quot;??_);_(@_)">
                  <c:v>8535.1772683526451</c:v>
                </c:pt>
                <c:pt idx="100" formatCode="_(&quot;$&quot;* #,##0.00_);_(&quot;$&quot;* \(#,##0.00\);_(&quot;$&quot;* &quot;-&quot;??_);_(@_)">
                  <c:v>8143.0034011181669</c:v>
                </c:pt>
                <c:pt idx="101" formatCode="_(&quot;$&quot;* #,##0.00_);_(&quot;$&quot;* \(#,##0.00\);_(&quot;$&quot;* &quot;-&quot;??_);_(@_)">
                  <c:v>8561.6934982444363</c:v>
                </c:pt>
                <c:pt idx="102" formatCode="_(&quot;$&quot;* #,##0.00_);_(&quot;$&quot;* \(#,##0.00\);_(&quot;$&quot;* &quot;-&quot;??_);_(@_)">
                  <c:v>8076.7273986718428</c:v>
                </c:pt>
                <c:pt idx="103" formatCode="_(&quot;$&quot;* #,##0.00_);_(&quot;$&quot;* \(#,##0.00\);_(&quot;$&quot;* &quot;-&quot;??_);_(@_)">
                  <c:v>8526.3276905895291</c:v>
                </c:pt>
                <c:pt idx="104" formatCode="_(&quot;$&quot;* #,##0.00_);_(&quot;$&quot;* \(#,##0.00\);_(&quot;$&quot;* &quot;-&quot;??_);_(@_)">
                  <c:v>8239.435125814598</c:v>
                </c:pt>
                <c:pt idx="105" formatCode="_(&quot;$&quot;* #,##0.00_);_(&quot;$&quot;* \(#,##0.00\);_(&quot;$&quot;* &quot;-&quot;??_);_(@_)">
                  <c:v>8704.0467582898036</c:v>
                </c:pt>
                <c:pt idx="106" formatCode="_(&quot;$&quot;* #,##0.00_);_(&quot;$&quot;* \(#,##0.00\);_(&quot;$&quot;* &quot;-&quot;??_);_(@_)">
                  <c:v>8325.6730721849872</c:v>
                </c:pt>
                <c:pt idx="107" formatCode="_(&quot;$&quot;* #,##0.00_);_(&quot;$&quot;* \(#,##0.00\);_(&quot;$&quot;* &quot;-&quot;??_);_(@_)">
                  <c:v>8642.0580486833715</c:v>
                </c:pt>
                <c:pt idx="108" formatCode="_(&quot;$&quot;* #,##0.00_);_(&quot;$&quot;* \(#,##0.00\);_(&quot;$&quot;* &quot;-&quot;??_);_(@_)">
                  <c:v>8283.42747612928</c:v>
                </c:pt>
                <c:pt idx="109" formatCode="_(&quot;$&quot;* #,##0.00_);_(&quot;$&quot;* \(#,##0.00\);_(&quot;$&quot;* &quot;-&quot;??_);_(@_)">
                  <c:v>8321.507840405573</c:v>
                </c:pt>
                <c:pt idx="110" formatCode="_(&quot;$&quot;* #,##0.00_);_(&quot;$&quot;* \(#,##0.00\);_(&quot;$&quot;* &quot;-&quot;??_);_(@_)">
                  <c:v>8340.0891713154215</c:v>
                </c:pt>
                <c:pt idx="111" formatCode="_(&quot;$&quot;* #,##0.00_);_(&quot;$&quot;* \(#,##0.00\);_(&quot;$&quot;* &quot;-&quot;??_);_(@_)">
                  <c:v>8302.2288622598298</c:v>
                </c:pt>
                <c:pt idx="112" formatCode="_(&quot;$&quot;* #,##0.00_);_(&quot;$&quot;* \(#,##0.00\);_(&quot;$&quot;* &quot;-&quot;??_);_(@_)">
                  <c:v>8250.5922357912532</c:v>
                </c:pt>
                <c:pt idx="113" formatCode="_(&quot;$&quot;* #,##0.00_);_(&quot;$&quot;* \(#,##0.00\);_(&quot;$&quot;* &quot;-&quot;??_);_(@_)">
                  <c:v>8039.2546132873949</c:v>
                </c:pt>
                <c:pt idx="114" formatCode="_(&quot;$&quot;* #,##0.00_);_(&quot;$&quot;* \(#,##0.00\);_(&quot;$&quot;* &quot;-&quot;??_);_(@_)">
                  <c:v>8374.9865615781328</c:v>
                </c:pt>
                <c:pt idx="115" formatCode="_(&quot;$&quot;* #,##0.00_);_(&quot;$&quot;* \(#,##0.00\);_(&quot;$&quot;* &quot;-&quot;??_);_(@_)">
                  <c:v>7951.3579471879766</c:v>
                </c:pt>
                <c:pt idx="116" formatCode="_(&quot;$&quot;* #,##0.00_);_(&quot;$&quot;* \(#,##0.00\);_(&quot;$&quot;* &quot;-&quot;??_);_(@_)">
                  <c:v>8079.0650377177899</c:v>
                </c:pt>
                <c:pt idx="117" formatCode="_(&quot;$&quot;* #,##0.00_);_(&quot;$&quot;* \(#,##0.00\);_(&quot;$&quot;* &quot;-&quot;??_);_(@_)">
                  <c:v>7917.4681404807734</c:v>
                </c:pt>
                <c:pt idx="118" formatCode="_(&quot;$&quot;* #,##0.00_);_(&quot;$&quot;* \(#,##0.00\);_(&quot;$&quot;* &quot;-&quot;??_);_(@_)">
                  <c:v>7684.8356397487296</c:v>
                </c:pt>
                <c:pt idx="119" formatCode="_(&quot;$&quot;* #,##0.00_);_(&quot;$&quot;* \(#,##0.00\);_(&quot;$&quot;* &quot;-&quot;??_);_(@_)">
                  <c:v>7731.2605706718605</c:v>
                </c:pt>
                <c:pt idx="120" formatCode="_(&quot;$&quot;* #,##0.00_);_(&quot;$&quot;* \(#,##0.00\);_(&quot;$&quot;* &quot;-&quot;??_);_(@_)">
                  <c:v>7913.7620699272848</c:v>
                </c:pt>
                <c:pt idx="121" formatCode="_(&quot;$&quot;* #,##0.00_);_(&quot;$&quot;* \(#,##0.00\);_(&quot;$&quot;* &quot;-&quot;??_);_(@_)">
                  <c:v>8403.8843608570514</c:v>
                </c:pt>
                <c:pt idx="122" formatCode="_(&quot;$&quot;* #,##0.00_);_(&quot;$&quot;* \(#,##0.00\);_(&quot;$&quot;* &quot;-&quot;??_);_(@_)">
                  <c:v>7673.9901900125114</c:v>
                </c:pt>
                <c:pt idx="123" formatCode="_(&quot;$&quot;* #,##0.00_);_(&quot;$&quot;* \(#,##0.00\);_(&quot;$&quot;* &quot;-&quot;??_);_(@_)">
                  <c:v>8023.1217076732664</c:v>
                </c:pt>
                <c:pt idx="124" formatCode="_(&quot;$&quot;* #,##0.00_);_(&quot;$&quot;* \(#,##0.00\);_(&quot;$&quot;* &quot;-&quot;??_);_(@_)">
                  <c:v>8214.320560981394</c:v>
                </c:pt>
                <c:pt idx="125" formatCode="_(&quot;$&quot;* #,##0.00_);_(&quot;$&quot;* \(#,##0.00\);_(&quot;$&quot;* &quot;-&quot;??_);_(@_)">
                  <c:v>8140.2944925953625</c:v>
                </c:pt>
                <c:pt idx="126" formatCode="_(&quot;$&quot;* #,##0.00_);_(&quot;$&quot;* \(#,##0.00\);_(&quot;$&quot;* &quot;-&quot;??_);_(@_)">
                  <c:v>8729.2996507344415</c:v>
                </c:pt>
                <c:pt idx="127" formatCode="_(&quot;$&quot;* #,##0.00_);_(&quot;$&quot;* \(#,##0.00\);_(&quot;$&quot;* &quot;-&quot;??_);_(@_)">
                  <c:v>8873.2038894507423</c:v>
                </c:pt>
                <c:pt idx="128" formatCode="_(&quot;$&quot;* #,##0.00_);_(&quot;$&quot;* \(#,##0.00\);_(&quot;$&quot;* &quot;-&quot;??_);_(@_)">
                  <c:v>8833.7119128233026</c:v>
                </c:pt>
                <c:pt idx="129" formatCode="_(&quot;$&quot;* #,##0.00_);_(&quot;$&quot;* \(#,##0.00\);_(&quot;$&quot;* &quot;-&quot;??_);_(@_)">
                  <c:v>9132.3048405485988</c:v>
                </c:pt>
                <c:pt idx="130" formatCode="_(&quot;$&quot;* #,##0.00_);_(&quot;$&quot;* \(#,##0.00\);_(&quot;$&quot;* &quot;-&quot;??_);_(@_)">
                  <c:v>8823.105260538965</c:v>
                </c:pt>
                <c:pt idx="131" formatCode="_(&quot;$&quot;* #,##0.00_);_(&quot;$&quot;* \(#,##0.00\);_(&quot;$&quot;* &quot;-&quot;??_);_(@_)">
                  <c:v>9193.8330765710525</c:v>
                </c:pt>
                <c:pt idx="132" formatCode="_(&quot;$&quot;* #,##0.00_);_(&quot;$&quot;* \(#,##0.00\);_(&quot;$&quot;* &quot;-&quot;??_);_(@_)">
                  <c:v>9339.6929101566275</c:v>
                </c:pt>
                <c:pt idx="133" formatCode="_(&quot;$&quot;* #,##0.00_);_(&quot;$&quot;* \(#,##0.00\);_(&quot;$&quot;* &quot;-&quot;??_);_(@_)">
                  <c:v>9316.5559295492985</c:v>
                </c:pt>
                <c:pt idx="134" formatCode="_(&quot;$&quot;* #,##0.00_);_(&quot;$&quot;* \(#,##0.00\);_(&quot;$&quot;* &quot;-&quot;??_);_(@_)">
                  <c:v>9251.1166180037599</c:v>
                </c:pt>
                <c:pt idx="135" formatCode="_(&quot;$&quot;* #,##0.00_);_(&quot;$&quot;* \(#,##0.00\);_(&quot;$&quot;* &quot;-&quot;??_);_(@_)">
                  <c:v>8929.9095564104045</c:v>
                </c:pt>
                <c:pt idx="136" formatCode="_(&quot;$&quot;* #,##0.00_);_(&quot;$&quot;* \(#,##0.00\);_(&quot;$&quot;* &quot;-&quot;??_);_(@_)">
                  <c:v>8585.5604842750563</c:v>
                </c:pt>
                <c:pt idx="137" formatCode="_(&quot;$&quot;* #,##0.00_);_(&quot;$&quot;* \(#,##0.00\);_(&quot;$&quot;* &quot;-&quot;??_);_(@_)">
                  <c:v>8527.7847791683071</c:v>
                </c:pt>
                <c:pt idx="138" formatCode="_(&quot;$&quot;* #,##0.00_);_(&quot;$&quot;* \(#,##0.00\);_(&quot;$&quot;* &quot;-&quot;??_);_(@_)">
                  <c:v>8842.6653428424142</c:v>
                </c:pt>
                <c:pt idx="139" formatCode="_(&quot;$&quot;* #,##0.00_);_(&quot;$&quot;* \(#,##0.00\);_(&quot;$&quot;* &quot;-&quot;??_);_(@_)">
                  <c:v>8405.3574161891665</c:v>
                </c:pt>
                <c:pt idx="140" formatCode="_(&quot;$&quot;* #,##0.00_);_(&quot;$&quot;* \(#,##0.00\);_(&quot;$&quot;* &quot;-&quot;??_);_(@_)">
                  <c:v>9511.0288185606041</c:v>
                </c:pt>
                <c:pt idx="141" formatCode="_(&quot;$&quot;* #,##0.00_);_(&quot;$&quot;* \(#,##0.00\);_(&quot;$&quot;* &quot;-&quot;??_);_(@_)">
                  <c:v>9159.8373849667259</c:v>
                </c:pt>
                <c:pt idx="142" formatCode="_(&quot;$&quot;* #,##0.00_);_(&quot;$&quot;* \(#,##0.00\);_(&quot;$&quot;* &quot;-&quot;??_);_(@_)">
                  <c:v>9209.7438104189896</c:v>
                </c:pt>
                <c:pt idx="143" formatCode="_(&quot;$&quot;* #,##0.00_);_(&quot;$&quot;* \(#,##0.00\);_(&quot;$&quot;* &quot;-&quot;??_);_(@_)">
                  <c:v>9079.6162954148476</c:v>
                </c:pt>
                <c:pt idx="144" formatCode="_(&quot;$&quot;* #,##0.00_);_(&quot;$&quot;* \(#,##0.00\);_(&quot;$&quot;* &quot;-&quot;??_);_(@_)">
                  <c:v>8755.6955261585881</c:v>
                </c:pt>
                <c:pt idx="145" formatCode="_(&quot;$&quot;* #,##0.00_);_(&quot;$&quot;* \(#,##0.00\);_(&quot;$&quot;* &quot;-&quot;??_);_(@_)">
                  <c:v>9120.5933697408691</c:v>
                </c:pt>
                <c:pt idx="146" formatCode="_(&quot;$&quot;* #,##0.00_);_(&quot;$&quot;* \(#,##0.00\);_(&quot;$&quot;* &quot;-&quot;??_);_(@_)">
                  <c:v>9273.6892458569273</c:v>
                </c:pt>
                <c:pt idx="147" formatCode="_(&quot;$&quot;* #,##0.00_);_(&quot;$&quot;* \(#,##0.00\);_(&quot;$&quot;* &quot;-&quot;??_);_(@_)">
                  <c:v>9839.0411841589103</c:v>
                </c:pt>
                <c:pt idx="148" formatCode="_(&quot;$&quot;* #,##0.00_);_(&quot;$&quot;* \(#,##0.00\);_(&quot;$&quot;* &quot;-&quot;??_);_(@_)">
                  <c:v>9344.4375413502403</c:v>
                </c:pt>
                <c:pt idx="149" formatCode="_(&quot;$&quot;* #,##0.00_);_(&quot;$&quot;* \(#,##0.00\);_(&quot;$&quot;* &quot;-&quot;??_);_(@_)">
                  <c:v>9520.8253401766069</c:v>
                </c:pt>
                <c:pt idx="150" formatCode="_(&quot;$&quot;* #,##0.00_);_(&quot;$&quot;* \(#,##0.00\);_(&quot;$&quot;* &quot;-&quot;??_);_(@_)">
                  <c:v>9490.7576584213748</c:v>
                </c:pt>
                <c:pt idx="151" formatCode="_(&quot;$&quot;* #,##0.00_);_(&quot;$&quot;* \(#,##0.00\);_(&quot;$&quot;* &quot;-&quot;??_);_(@_)">
                  <c:v>10200.103950735855</c:v>
                </c:pt>
                <c:pt idx="152" formatCode="_(&quot;$&quot;* #,##0.00_);_(&quot;$&quot;* \(#,##0.00\);_(&quot;$&quot;* &quot;-&quot;??_);_(@_)">
                  <c:v>9619.8657741917723</c:v>
                </c:pt>
                <c:pt idx="153" formatCode="_(&quot;$&quot;* #,##0.00_);_(&quot;$&quot;* \(#,##0.00\);_(&quot;$&quot;* &quot;-&quot;??_);_(@_)">
                  <c:v>9451.1638069925975</c:v>
                </c:pt>
                <c:pt idx="154" formatCode="_(&quot;$&quot;* #,##0.00_);_(&quot;$&quot;* \(#,##0.00\);_(&quot;$&quot;* &quot;-&quot;??_);_(@_)">
                  <c:v>9720.9919382906082</c:v>
                </c:pt>
                <c:pt idx="155" formatCode="_(&quot;$&quot;* #,##0.00_);_(&quot;$&quot;* \(#,##0.00\);_(&quot;$&quot;* &quot;-&quot;??_);_(@_)">
                  <c:v>9539.1807445896939</c:v>
                </c:pt>
                <c:pt idx="156" formatCode="_(&quot;$&quot;* #,##0.00_);_(&quot;$&quot;* \(#,##0.00\);_(&quot;$&quot;* &quot;-&quot;??_);_(@_)">
                  <c:v>9815.2159107578154</c:v>
                </c:pt>
                <c:pt idx="157" formatCode="_(&quot;$&quot;* #,##0.00_);_(&quot;$&quot;* \(#,##0.00\);_(&quot;$&quot;* &quot;-&quot;??_);_(@_)">
                  <c:v>9680.1801874837347</c:v>
                </c:pt>
                <c:pt idx="158" formatCode="_(&quot;$&quot;* #,##0.00_);_(&quot;$&quot;* \(#,##0.00\);_(&quot;$&quot;* &quot;-&quot;??_);_(@_)">
                  <c:v>9852.4384301595019</c:v>
                </c:pt>
                <c:pt idx="159" formatCode="_(&quot;$&quot;* #,##0.00_);_(&quot;$&quot;* \(#,##0.00\);_(&quot;$&quot;* &quot;-&quot;??_);_(@_)">
                  <c:v>10262.140290543428</c:v>
                </c:pt>
                <c:pt idx="160" formatCode="_(&quot;$&quot;* #,##0.00_);_(&quot;$&quot;* \(#,##0.00\);_(&quot;$&quot;* &quot;-&quot;??_);_(@_)">
                  <c:v>10187.458311226481</c:v>
                </c:pt>
                <c:pt idx="161" formatCode="_(&quot;$&quot;* #,##0.00_);_(&quot;$&quot;* \(#,##0.00\);_(&quot;$&quot;* &quot;-&quot;??_);_(@_)">
                  <c:v>10364.339665175918</c:v>
                </c:pt>
                <c:pt idx="162" formatCode="_(&quot;$&quot;* #,##0.00_);_(&quot;$&quot;* \(#,##0.00\);_(&quot;$&quot;* &quot;-&quot;??_);_(@_)">
                  <c:v>10596.389617101368</c:v>
                </c:pt>
                <c:pt idx="163" formatCode="_(&quot;$&quot;* #,##0.00_);_(&quot;$&quot;* \(#,##0.00\);_(&quot;$&quot;* &quot;-&quot;??_);_(@_)">
                  <c:v>10606.635355205834</c:v>
                </c:pt>
                <c:pt idx="164" formatCode="_(&quot;$&quot;* #,##0.00_);_(&quot;$&quot;* \(#,##0.00\);_(&quot;$&quot;* &quot;-&quot;??_);_(@_)">
                  <c:v>10453.431895283818</c:v>
                </c:pt>
                <c:pt idx="165" formatCode="_(&quot;$&quot;* #,##0.00_);_(&quot;$&quot;* \(#,##0.00\);_(&quot;$&quot;* &quot;-&quot;??_);_(@_)">
                  <c:v>10424.60288388972</c:v>
                </c:pt>
                <c:pt idx="166" formatCode="_(&quot;$&quot;* #,##0.00_);_(&quot;$&quot;* \(#,##0.00\);_(&quot;$&quot;* &quot;-&quot;??_);_(@_)">
                  <c:v>10494.711890826529</c:v>
                </c:pt>
                <c:pt idx="167" formatCode="_(&quot;$&quot;* #,##0.00_);_(&quot;$&quot;* \(#,##0.00\);_(&quot;$&quot;* &quot;-&quot;??_);_(@_)">
                  <c:v>10868.900067348699</c:v>
                </c:pt>
                <c:pt idx="168" formatCode="_(&quot;$&quot;* #,##0.00_);_(&quot;$&quot;* \(#,##0.00\);_(&quot;$&quot;* &quot;-&quot;??_);_(@_)">
                  <c:v>11040.717168271847</c:v>
                </c:pt>
                <c:pt idx="169" formatCode="_(&quot;$&quot;* #,##0.00_);_(&quot;$&quot;* \(#,##0.00\);_(&quot;$&quot;* &quot;-&quot;??_);_(@_)">
                  <c:v>10987.666197358141</c:v>
                </c:pt>
                <c:pt idx="170" formatCode="_(&quot;$&quot;* #,##0.00_);_(&quot;$&quot;* \(#,##0.00\);_(&quot;$&quot;* &quot;-&quot;??_);_(@_)">
                  <c:v>11640.658366926695</c:v>
                </c:pt>
                <c:pt idx="171" formatCode="_(&quot;$&quot;* #,##0.00_);_(&quot;$&quot;* \(#,##0.00\);_(&quot;$&quot;* &quot;-&quot;??_);_(@_)">
                  <c:v>11822.81269804705</c:v>
                </c:pt>
                <c:pt idx="172" formatCode="_(&quot;$&quot;* #,##0.00_);_(&quot;$&quot;* \(#,##0.00\);_(&quot;$&quot;* &quot;-&quot;??_);_(@_)">
                  <c:v>11938.42336598632</c:v>
                </c:pt>
                <c:pt idx="173" formatCode="_(&quot;$&quot;* #,##0.00_);_(&quot;$&quot;* \(#,##0.00\);_(&quot;$&quot;* &quot;-&quot;??_);_(@_)">
                  <c:v>11905.955514079089</c:v>
                </c:pt>
                <c:pt idx="174" formatCode="_(&quot;$&quot;* #,##0.00_);_(&quot;$&quot;* \(#,##0.00\);_(&quot;$&quot;* &quot;-&quot;??_);_(@_)">
                  <c:v>11881.464072705134</c:v>
                </c:pt>
                <c:pt idx="175" formatCode="_(&quot;$&quot;* #,##0.00_);_(&quot;$&quot;* \(#,##0.00\);_(&quot;$&quot;* &quot;-&quot;??_);_(@_)">
                  <c:v>11879.594398486555</c:v>
                </c:pt>
                <c:pt idx="176" formatCode="_(&quot;$&quot;* #,##0.00_);_(&quot;$&quot;* \(#,##0.00\);_(&quot;$&quot;* &quot;-&quot;??_);_(@_)">
                  <c:v>11954.748240380401</c:v>
                </c:pt>
                <c:pt idx="177" formatCode="_(&quot;$&quot;* #,##0.00_);_(&quot;$&quot;* \(#,##0.00\);_(&quot;$&quot;* &quot;-&quot;??_);_(@_)">
                  <c:v>12302.975110474343</c:v>
                </c:pt>
                <c:pt idx="178" formatCode="_(&quot;$&quot;* #,##0.00_);_(&quot;$&quot;* \(#,##0.00\);_(&quot;$&quot;* &quot;-&quot;??_);_(@_)">
                  <c:v>12402.939570014618</c:v>
                </c:pt>
                <c:pt idx="179" formatCode="_(&quot;$&quot;* #,##0.00_);_(&quot;$&quot;* \(#,##0.00\);_(&quot;$&quot;* &quot;-&quot;??_);_(@_)">
                  <c:v>12810.331055077982</c:v>
                </c:pt>
                <c:pt idx="180" formatCode="_(&quot;$&quot;* #,##0.00_);_(&quot;$&quot;* \(#,##0.00\);_(&quot;$&quot;* &quot;-&quot;??_);_(@_)">
                  <c:v>12887.865527408136</c:v>
                </c:pt>
                <c:pt idx="181" formatCode="_(&quot;$&quot;* #,##0.00_);_(&quot;$&quot;* \(#,##0.00\);_(&quot;$&quot;* &quot;-&quot;??_);_(@_)">
                  <c:v>12852.635088539173</c:v>
                </c:pt>
                <c:pt idx="182" formatCode="_(&quot;$&quot;* #,##0.00_);_(&quot;$&quot;* \(#,##0.00\);_(&quot;$&quot;* &quot;-&quot;??_);_(@_)">
                  <c:v>13177.915989227948</c:v>
                </c:pt>
                <c:pt idx="183" formatCode="_(&quot;$&quot;* #,##0.00_);_(&quot;$&quot;* \(#,##0.00\);_(&quot;$&quot;* &quot;-&quot;??_);_(@_)">
                  <c:v>13506.278020750471</c:v>
                </c:pt>
                <c:pt idx="184" formatCode="_(&quot;$&quot;* #,##0.00_);_(&quot;$&quot;* \(#,##0.00\);_(&quot;$&quot;* &quot;-&quot;??_);_(@_)">
                  <c:v>13882.510506479592</c:v>
                </c:pt>
                <c:pt idx="185" formatCode="_(&quot;$&quot;* #,##0.00_);_(&quot;$&quot;* \(#,##0.00\);_(&quot;$&quot;* &quot;-&quot;??_);_(@_)">
                  <c:v>13508.894524232548</c:v>
                </c:pt>
                <c:pt idx="186" formatCode="_(&quot;$&quot;* #,##0.00_);_(&quot;$&quot;* \(#,##0.00\);_(&quot;$&quot;* &quot;-&quot;??_);_(@_)">
                  <c:v>13893.835275346948</c:v>
                </c:pt>
                <c:pt idx="187" formatCode="_(&quot;$&quot;* #,##0.00_);_(&quot;$&quot;* \(#,##0.00\);_(&quot;$&quot;* &quot;-&quot;??_);_(@_)">
                  <c:v>13778.39844758135</c:v>
                </c:pt>
                <c:pt idx="188" formatCode="_(&quot;$&quot;* #,##0.00_);_(&quot;$&quot;* \(#,##0.00\);_(&quot;$&quot;* &quot;-&quot;??_);_(@_)">
                  <c:v>14351.170366301161</c:v>
                </c:pt>
                <c:pt idx="189" formatCode="_(&quot;$&quot;* #,##0.00_);_(&quot;$&quot;* \(#,##0.00\);_(&quot;$&quot;* &quot;-&quot;??_);_(@_)">
                  <c:v>15086.269233027488</c:v>
                </c:pt>
                <c:pt idx="190" formatCode="_(&quot;$&quot;* #,##0.00_);_(&quot;$&quot;* \(#,##0.00\);_(&quot;$&quot;* &quot;-&quot;??_);_(@_)">
                  <c:v>15091.000584409219</c:v>
                </c:pt>
                <c:pt idx="191" formatCode="_(&quot;$&quot;* #,##0.00_);_(&quot;$&quot;* \(#,##0.00\);_(&quot;$&quot;* &quot;-&quot;??_);_(@_)">
                  <c:v>14824.539048569637</c:v>
                </c:pt>
                <c:pt idx="192" formatCode="_(&quot;$&quot;* #,##0.00_);_(&quot;$&quot;* \(#,##0.00\);_(&quot;$&quot;* &quot;-&quot;??_);_(@_)">
                  <c:v>15358.876375598878</c:v>
                </c:pt>
                <c:pt idx="193" formatCode="_(&quot;$&quot;* #,##0.00_);_(&quot;$&quot;* \(#,##0.00\);_(&quot;$&quot;* &quot;-&quot;??_);_(@_)">
                  <c:v>14928.45156678342</c:v>
                </c:pt>
                <c:pt idx="194" formatCode="_(&quot;$&quot;* #,##0.00_);_(&quot;$&quot;* \(#,##0.00\);_(&quot;$&quot;* &quot;-&quot;??_);_(@_)">
                  <c:v>14961.714609513632</c:v>
                </c:pt>
                <c:pt idx="195" formatCode="_(&quot;$&quot;* #,##0.00_);_(&quot;$&quot;* \(#,##0.00\);_(&quot;$&quot;* &quot;-&quot;??_);_(@_)">
                  <c:v>14615.801096179313</c:v>
                </c:pt>
                <c:pt idx="196" formatCode="_(&quot;$&quot;* #,##0.00_);_(&quot;$&quot;* \(#,##0.00\);_(&quot;$&quot;* &quot;-&quot;??_);_(@_)">
                  <c:v>13876.999811056612</c:v>
                </c:pt>
                <c:pt idx="197" formatCode="_(&quot;$&quot;* #,##0.00_);_(&quot;$&quot;* \(#,##0.00\);_(&quot;$&quot;* &quot;-&quot;??_);_(@_)">
                  <c:v>14129.832176388192</c:v>
                </c:pt>
                <c:pt idx="198" formatCode="_(&quot;$&quot;* #,##0.00_);_(&quot;$&quot;* \(#,##0.00\);_(&quot;$&quot;* &quot;-&quot;??_);_(@_)">
                  <c:v>14214.177841259654</c:v>
                </c:pt>
                <c:pt idx="199" formatCode="_(&quot;$&quot;* #,##0.00_);_(&quot;$&quot;* \(#,##0.00\);_(&quot;$&quot;* &quot;-&quot;??_);_(@_)">
                  <c:v>14666.966694464101</c:v>
                </c:pt>
                <c:pt idx="200" formatCode="_(&quot;$&quot;* #,##0.00_);_(&quot;$&quot;* \(#,##0.00\);_(&quot;$&quot;* &quot;-&quot;??_);_(@_)">
                  <c:v>14178.12365320619</c:v>
                </c:pt>
                <c:pt idx="201" formatCode="_(&quot;$&quot;* #,##0.00_);_(&quot;$&quot;* \(#,##0.00\);_(&quot;$&quot;* &quot;-&quot;??_);_(@_)">
                  <c:v>14855.793256865456</c:v>
                </c:pt>
                <c:pt idx="202" formatCode="_(&quot;$&quot;* #,##0.00_);_(&quot;$&quot;* \(#,##0.00\);_(&quot;$&quot;* &quot;-&quot;??_);_(@_)">
                  <c:v>14573.138595287972</c:v>
                </c:pt>
                <c:pt idx="203" formatCode="_(&quot;$&quot;* #,##0.00_);_(&quot;$&quot;* \(#,##0.00\);_(&quot;$&quot;* &quot;-&quot;??_);_(@_)">
                  <c:v>14543.499106625606</c:v>
                </c:pt>
                <c:pt idx="204" formatCode="_(&quot;$&quot;* #,##0.00_);_(&quot;$&quot;* \(#,##0.00\);_(&quot;$&quot;* &quot;-&quot;??_);_(@_)">
                  <c:v>14862.0712137179</c:v>
                </c:pt>
                <c:pt idx="205" formatCode="_(&quot;$&quot;* #,##0.00_);_(&quot;$&quot;* \(#,##0.00\);_(&quot;$&quot;* &quot;-&quot;??_);_(@_)">
                  <c:v>14547.706319019826</c:v>
                </c:pt>
                <c:pt idx="206" formatCode="_(&quot;$&quot;* #,##0.00_);_(&quot;$&quot;* \(#,##0.00\);_(&quot;$&quot;* &quot;-&quot;??_);_(@_)">
                  <c:v>14484.21421500511</c:v>
                </c:pt>
                <c:pt idx="207" formatCode="_(&quot;$&quot;* #,##0.00_);_(&quot;$&quot;* \(#,##0.00\);_(&quot;$&quot;* &quot;-&quot;??_);_(@_)">
                  <c:v>14566.577991309756</c:v>
                </c:pt>
                <c:pt idx="208" formatCode="_(&quot;$&quot;* #,##0.00_);_(&quot;$&quot;* \(#,##0.00\);_(&quot;$&quot;* &quot;-&quot;??_);_(@_)">
                  <c:v>14406.902320169371</c:v>
                </c:pt>
                <c:pt idx="209" formatCode="_(&quot;$&quot;* #,##0.00_);_(&quot;$&quot;* \(#,##0.00\);_(&quot;$&quot;* &quot;-&quot;??_);_(@_)">
                  <c:v>14669.975409324663</c:v>
                </c:pt>
                <c:pt idx="210" formatCode="_(&quot;$&quot;* #,##0.00_);_(&quot;$&quot;* \(#,##0.00\);_(&quot;$&quot;* &quot;-&quot;??_);_(@_)">
                  <c:v>14601.107944327374</c:v>
                </c:pt>
                <c:pt idx="211" formatCode="_(&quot;$&quot;* #,##0.00_);_(&quot;$&quot;* \(#,##0.00\);_(&quot;$&quot;* &quot;-&quot;??_);_(@_)">
                  <c:v>14513.32846260738</c:v>
                </c:pt>
                <c:pt idx="212" formatCode="_(&quot;$&quot;* #,##0.00_);_(&quot;$&quot;* \(#,##0.00\);_(&quot;$&quot;* &quot;-&quot;??_);_(@_)">
                  <c:v>14173.002936380333</c:v>
                </c:pt>
                <c:pt idx="213" formatCode="_(&quot;$&quot;* #,##0.00_);_(&quot;$&quot;* \(#,##0.00\);_(&quot;$&quot;* &quot;-&quot;??_);_(@_)">
                  <c:v>14489.034547700867</c:v>
                </c:pt>
                <c:pt idx="214" formatCode="_(&quot;$&quot;* #,##0.00_);_(&quot;$&quot;* \(#,##0.00\);_(&quot;$&quot;* &quot;-&quot;??_);_(@_)">
                  <c:v>14404.433109422091</c:v>
                </c:pt>
                <c:pt idx="215" formatCode="_(&quot;$&quot;* #,##0.00_);_(&quot;$&quot;* \(#,##0.00\);_(&quot;$&quot;* &quot;-&quot;??_);_(@_)">
                  <c:v>14833.873712049448</c:v>
                </c:pt>
                <c:pt idx="216" formatCode="_(&quot;$&quot;* #,##0.00_);_(&quot;$&quot;* \(#,##0.00\);_(&quot;$&quot;* &quot;-&quot;??_);_(@_)">
                  <c:v>14698.289929811795</c:v>
                </c:pt>
                <c:pt idx="217" formatCode="_(&quot;$&quot;* #,##0.00_);_(&quot;$&quot;* \(#,##0.00\);_(&quot;$&quot;* &quot;-&quot;??_);_(@_)">
                  <c:v>14751.053362172283</c:v>
                </c:pt>
                <c:pt idx="218" formatCode="_(&quot;$&quot;* #,##0.00_);_(&quot;$&quot;* \(#,##0.00\);_(&quot;$&quot;* &quot;-&quot;??_);_(@_)">
                  <c:v>15227.046707065563</c:v>
                </c:pt>
                <c:pt idx="219" formatCode="_(&quot;$&quot;* #,##0.00_);_(&quot;$&quot;* \(#,##0.00\);_(&quot;$&quot;* &quot;-&quot;??_);_(@_)">
                  <c:v>14805.475312152807</c:v>
                </c:pt>
                <c:pt idx="220" formatCode="_(&quot;$&quot;* #,##0.00_);_(&quot;$&quot;* \(#,##0.00\);_(&quot;$&quot;* &quot;-&quot;??_);_(@_)">
                  <c:v>14951.828892521598</c:v>
                </c:pt>
                <c:pt idx="221" formatCode="_(&quot;$&quot;* #,##0.00_);_(&quot;$&quot;* \(#,##0.00\);_(&quot;$&quot;* &quot;-&quot;??_);_(@_)">
                  <c:v>15164.277105279984</c:v>
                </c:pt>
                <c:pt idx="222" formatCode="_(&quot;$&quot;* #,##0.00_);_(&quot;$&quot;* \(#,##0.00\);_(&quot;$&quot;* &quot;-&quot;??_);_(@_)">
                  <c:v>15620.577703051533</c:v>
                </c:pt>
                <c:pt idx="223" formatCode="_(&quot;$&quot;* #,##0.00_);_(&quot;$&quot;* \(#,##0.00\);_(&quot;$&quot;* &quot;-&quot;??_);_(@_)">
                  <c:v>15582.576674535716</c:v>
                </c:pt>
                <c:pt idx="224" formatCode="_(&quot;$&quot;* #,##0.00_);_(&quot;$&quot;* \(#,##0.00\);_(&quot;$&quot;* &quot;-&quot;??_);_(@_)">
                  <c:v>15595.969580820856</c:v>
                </c:pt>
                <c:pt idx="225" formatCode="_(&quot;$&quot;* #,##0.00_);_(&quot;$&quot;* \(#,##0.00\);_(&quot;$&quot;* &quot;-&quot;??_);_(@_)">
                  <c:v>15709.064325311247</c:v>
                </c:pt>
                <c:pt idx="226" formatCode="_(&quot;$&quot;* #,##0.00_);_(&quot;$&quot;* \(#,##0.00\);_(&quot;$&quot;* &quot;-&quot;??_);_(@_)">
                  <c:v>15805.806499110568</c:v>
                </c:pt>
                <c:pt idx="227" formatCode="_(&quot;$&quot;* #,##0.00_);_(&quot;$&quot;* \(#,##0.00\);_(&quot;$&quot;* &quot;-&quot;??_);_(@_)">
                  <c:v>15674.360389485286</c:v>
                </c:pt>
                <c:pt idx="228" formatCode="_(&quot;$&quot;* #,##0.00_);_(&quot;$&quot;* \(#,##0.00\);_(&quot;$&quot;* &quot;-&quot;??_);_(@_)">
                  <c:v>15999.74494472452</c:v>
                </c:pt>
                <c:pt idx="229" formatCode="_(&quot;$&quot;* #,##0.00_);_(&quot;$&quot;* \(#,##0.00\);_(&quot;$&quot;* &quot;-&quot;??_);_(@_)">
                  <c:v>15952.096980708433</c:v>
                </c:pt>
                <c:pt idx="230" formatCode="_(&quot;$&quot;* #,##0.00_);_(&quot;$&quot;* \(#,##0.00\);_(&quot;$&quot;* &quot;-&quot;??_);_(@_)">
                  <c:v>16137.896860297498</c:v>
                </c:pt>
                <c:pt idx="231" formatCode="_(&quot;$&quot;* #,##0.00_);_(&quot;$&quot;* \(#,##0.00\);_(&quot;$&quot;* &quot;-&quot;??_);_(@_)">
                  <c:v>16033.84585135011</c:v>
                </c:pt>
                <c:pt idx="232" formatCode="_(&quot;$&quot;* #,##0.00_);_(&quot;$&quot;* \(#,##0.00\);_(&quot;$&quot;* &quot;-&quot;??_);_(@_)">
                  <c:v>16090.799686490756</c:v>
                </c:pt>
                <c:pt idx="233" formatCode="_(&quot;$&quot;* #,##0.00_);_(&quot;$&quot;* \(#,##0.00\);_(&quot;$&quot;* &quot;-&quot;??_);_(@_)">
                  <c:v>16103.08146207933</c:v>
                </c:pt>
                <c:pt idx="234" formatCode="_(&quot;$&quot;* #,##0.00_);_(&quot;$&quot;* \(#,##0.00\);_(&quot;$&quot;* &quot;-&quot;??_);_(@_)">
                  <c:v>16309.479458469141</c:v>
                </c:pt>
                <c:pt idx="235" formatCode="_(&quot;$&quot;* #,##0.00_);_(&quot;$&quot;* \(#,##0.00\);_(&quot;$&quot;* &quot;-&quot;??_);_(@_)">
                  <c:v>16425.254249676487</c:v>
                </c:pt>
                <c:pt idx="236" formatCode="_(&quot;$&quot;* #,##0.00_);_(&quot;$&quot;* \(#,##0.00\);_(&quot;$&quot;* &quot;-&quot;??_);_(@_)">
                  <c:v>16477.985681805425</c:v>
                </c:pt>
                <c:pt idx="237" formatCode="_(&quot;$&quot;* #,##0.00_);_(&quot;$&quot;* \(#,##0.00\);_(&quot;$&quot;* &quot;-&quot;??_);_(@_)">
                  <c:v>16724.393307683855</c:v>
                </c:pt>
                <c:pt idx="238" formatCode="_(&quot;$&quot;* #,##0.00_);_(&quot;$&quot;* \(#,##0.00\);_(&quot;$&quot;* &quot;-&quot;??_);_(@_)">
                  <c:v>16689.527270213024</c:v>
                </c:pt>
                <c:pt idx="239" formatCode="_(&quot;$&quot;* #,##0.00_);_(&quot;$&quot;* \(#,##0.00\);_(&quot;$&quot;* &quot;-&quot;??_);_(@_)">
                  <c:v>17033.902737296572</c:v>
                </c:pt>
                <c:pt idx="240" formatCode="_(&quot;$&quot;* #,##0.00_);_(&quot;$&quot;* \(#,##0.00\);_(&quot;$&quot;* &quot;-&quot;??_);_(@_)">
                  <c:v>16860.462723629196</c:v>
                </c:pt>
                <c:pt idx="241" formatCode="_(&quot;$&quot;* #,##0.00_);_(&quot;$&quot;* \(#,##0.00\);_(&quot;$&quot;* &quot;-&quot;??_);_(@_)">
                  <c:v>17004.862666155437</c:v>
                </c:pt>
                <c:pt idx="242" formatCode="_(&quot;$&quot;* #,##0.00_);_(&quot;$&quot;* \(#,##0.00\);_(&quot;$&quot;* &quot;-&quot;??_);_(@_)">
                  <c:v>17042.722873296269</c:v>
                </c:pt>
                <c:pt idx="243" formatCode="_(&quot;$&quot;* #,##0.00_);_(&quot;$&quot;* \(#,##0.00\);_(&quot;$&quot;* &quot;-&quot;??_);_(@_)">
                  <c:v>16976.564754855932</c:v>
                </c:pt>
                <c:pt idx="244" formatCode="_(&quot;$&quot;* #,##0.00_);_(&quot;$&quot;* \(#,##0.00\);_(&quot;$&quot;* &quot;-&quot;??_);_(@_)">
                  <c:v>17558.341144133745</c:v>
                </c:pt>
                <c:pt idx="245" formatCode="_(&quot;$&quot;* #,##0.00_);_(&quot;$&quot;* \(#,##0.00\);_(&quot;$&quot;* &quot;-&quot;??_);_(@_)">
                  <c:v>17467.144274544546</c:v>
                </c:pt>
                <c:pt idx="246" formatCode="_(&quot;$&quot;* #,##0.00_);_(&quot;$&quot;* \(#,##0.00\);_(&quot;$&quot;* &quot;-&quot;??_);_(@_)">
                  <c:v>17242.781599327805</c:v>
                </c:pt>
                <c:pt idx="247" formatCode="_(&quot;$&quot;* #,##0.00_);_(&quot;$&quot;* \(#,##0.00\);_(&quot;$&quot;* &quot;-&quot;??_);_(@_)">
                  <c:v>16951.093312622757</c:v>
                </c:pt>
                <c:pt idx="248" formatCode="_(&quot;$&quot;* #,##0.00_);_(&quot;$&quot;* \(#,##0.00\);_(&quot;$&quot;* &quot;-&quot;??_);_(@_)">
                  <c:v>16940.337869643507</c:v>
                </c:pt>
                <c:pt idx="249" formatCode="_(&quot;$&quot;* #,##0.00_);_(&quot;$&quot;* \(#,##0.00\);_(&quot;$&quot;* &quot;-&quot;??_);_(@_)">
                  <c:v>16915.277536676735</c:v>
                </c:pt>
                <c:pt idx="250" formatCode="_(&quot;$&quot;* #,##0.00_);_(&quot;$&quot;* \(#,##0.00\);_(&quot;$&quot;* &quot;-&quot;??_);_(@_)">
                  <c:v>16985.709574040771</c:v>
                </c:pt>
                <c:pt idx="251" formatCode="_(&quot;$&quot;* #,##0.00_);_(&quot;$&quot;* \(#,##0.00\);_(&quot;$&quot;* &quot;-&quot;??_);_(@_)">
                  <c:v>16867.293442559017</c:v>
                </c:pt>
                <c:pt idx="252" formatCode="_(&quot;$&quot;* #,##0.00_);_(&quot;$&quot;* \(#,##0.00\);_(&quot;$&quot;* &quot;-&quot;??_);_(@_)">
                  <c:v>16782.750796369553</c:v>
                </c:pt>
                <c:pt idx="253" formatCode="_(&quot;$&quot;* #,##0.00_);_(&quot;$&quot;* \(#,##0.00\);_(&quot;$&quot;* &quot;-&quot;??_);_(@_)">
                  <c:v>17387.021930390812</c:v>
                </c:pt>
                <c:pt idx="254" formatCode="_(&quot;$&quot;* #,##0.00_);_(&quot;$&quot;* \(#,##0.00\);_(&quot;$&quot;* &quot;-&quot;??_);_(@_)">
                  <c:v>16959.736681127015</c:v>
                </c:pt>
                <c:pt idx="255" formatCode="_(&quot;$&quot;* #,##0.00_);_(&quot;$&quot;* \(#,##0.00\);_(&quot;$&quot;* &quot;-&quot;??_);_(@_)">
                  <c:v>17161.670342494312</c:v>
                </c:pt>
                <c:pt idx="256" formatCode="_(&quot;$&quot;* #,##0.00_);_(&quot;$&quot;* \(#,##0.00\);_(&quot;$&quot;* &quot;-&quot;??_);_(@_)">
                  <c:v>17031.02669801861</c:v>
                </c:pt>
                <c:pt idx="257" formatCode="_(&quot;$&quot;* #,##0.00_);_(&quot;$&quot;* \(#,##0.00\);_(&quot;$&quot;* &quot;-&quot;??_);_(@_)">
                  <c:v>17024.887232396453</c:v>
                </c:pt>
                <c:pt idx="258" formatCode="_(&quot;$&quot;* #,##0.00_);_(&quot;$&quot;* \(#,##0.00\);_(&quot;$&quot;* &quot;-&quot;??_);_(@_)">
                  <c:v>17254.111468475639</c:v>
                </c:pt>
                <c:pt idx="259" formatCode="_(&quot;$&quot;* #,##0.00_);_(&quot;$&quot;* \(#,##0.00\);_(&quot;$&quot;* &quot;-&quot;??_);_(@_)">
                  <c:v>17328.756300713005</c:v>
                </c:pt>
                <c:pt idx="260" formatCode="_(&quot;$&quot;* #,##0.00_);_(&quot;$&quot;* \(#,##0.00\);_(&quot;$&quot;* &quot;-&quot;??_);_(@_)">
                  <c:v>17645.386588908546</c:v>
                </c:pt>
                <c:pt idx="261" formatCode="_(&quot;$&quot;* #,##0.00_);_(&quot;$&quot;* \(#,##0.00\);_(&quot;$&quot;* &quot;-&quot;??_);_(@_)">
                  <c:v>17751.736806966463</c:v>
                </c:pt>
                <c:pt idx="262" formatCode="_(&quot;$&quot;* #,##0.00_);_(&quot;$&quot;* \(#,##0.00\);_(&quot;$&quot;* &quot;-&quot;??_);_(@_)">
                  <c:v>17914.596264756718</c:v>
                </c:pt>
                <c:pt idx="263" formatCode="_(&quot;$&quot;* #,##0.00_);_(&quot;$&quot;* \(#,##0.00\);_(&quot;$&quot;* &quot;-&quot;??_);_(@_)">
                  <c:v>17784.667782726006</c:v>
                </c:pt>
                <c:pt idx="264" formatCode="_(&quot;$&quot;* #,##0.00_);_(&quot;$&quot;* \(#,##0.00\);_(&quot;$&quot;* &quot;-&quot;??_);_(@_)">
                  <c:v>17631.703722151429</c:v>
                </c:pt>
                <c:pt idx="265" formatCode="_(&quot;$&quot;* #,##0.00_);_(&quot;$&quot;* \(#,##0.00\);_(&quot;$&quot;* &quot;-&quot;??_);_(@_)">
                  <c:v>17835.292226169284</c:v>
                </c:pt>
                <c:pt idx="266" formatCode="_(&quot;$&quot;* #,##0.00_);_(&quot;$&quot;* \(#,##0.00\);_(&quot;$&quot;* &quot;-&quot;??_);_(@_)">
                  <c:v>17626.920790407232</c:v>
                </c:pt>
                <c:pt idx="267" formatCode="_(&quot;$&quot;* #,##0.00_);_(&quot;$&quot;* \(#,##0.00\);_(&quot;$&quot;* &quot;-&quot;??_);_(@_)">
                  <c:v>17718.403968949646</c:v>
                </c:pt>
                <c:pt idx="268" formatCode="_(&quot;$&quot;* #,##0.00_);_(&quot;$&quot;* \(#,##0.00\);_(&quot;$&quot;* &quot;-&quot;??_);_(@_)">
                  <c:v>17723.759826150213</c:v>
                </c:pt>
                <c:pt idx="269" formatCode="_(&quot;$&quot;* #,##0.00_);_(&quot;$&quot;* \(#,##0.00\);_(&quot;$&quot;* &quot;-&quot;??_);_(@_)">
                  <c:v>17954.092264311283</c:v>
                </c:pt>
                <c:pt idx="270" formatCode="_(&quot;$&quot;* #,##0.00_);_(&quot;$&quot;* \(#,##0.00\);_(&quot;$&quot;* &quot;-&quot;??_);_(@_)">
                  <c:v>17937.595654832447</c:v>
                </c:pt>
                <c:pt idx="271" formatCode="_(&quot;$&quot;* #,##0.00_);_(&quot;$&quot;* \(#,##0.00\);_(&quot;$&quot;* &quot;-&quot;??_);_(@_)">
                  <c:v>17913.723948901228</c:v>
                </c:pt>
                <c:pt idx="272" formatCode="_(&quot;$&quot;* #,##0.00_);_(&quot;$&quot;* \(#,##0.00\);_(&quot;$&quot;* &quot;-&quot;??_);_(@_)">
                  <c:v>17806.930192176536</c:v>
                </c:pt>
                <c:pt idx="273" formatCode="_(&quot;$&quot;* #,##0.00_);_(&quot;$&quot;* \(#,##0.00\);_(&quot;$&quot;* &quot;-&quot;??_);_(@_)">
                  <c:v>17710.741818429804</c:v>
                </c:pt>
                <c:pt idx="274" formatCode="_(&quot;$&quot;* #,##0.00_);_(&quot;$&quot;* \(#,##0.00\);_(&quot;$&quot;* &quot;-&quot;??_);_(@_)">
                  <c:v>18043.231905709323</c:v>
                </c:pt>
                <c:pt idx="275" formatCode="_(&quot;$&quot;* #,##0.00_);_(&quot;$&quot;* \(#,##0.00\);_(&quot;$&quot;* &quot;-&quot;??_);_(@_)">
                  <c:v>17768.966796971421</c:v>
                </c:pt>
                <c:pt idx="276" formatCode="_(&quot;$&quot;* #,##0.00_);_(&quot;$&quot;* \(#,##0.00\);_(&quot;$&quot;* &quot;-&quot;??_);_(@_)">
                  <c:v>17664.682302060141</c:v>
                </c:pt>
                <c:pt idx="277" formatCode="_(&quot;$&quot;* #,##0.00_);_(&quot;$&quot;* \(#,##0.00\);_(&quot;$&quot;* &quot;-&quot;??_);_(@_)">
                  <c:v>17882.346941348049</c:v>
                </c:pt>
                <c:pt idx="278" formatCode="_(&quot;$&quot;* #,##0.00_);_(&quot;$&quot;* \(#,##0.00\);_(&quot;$&quot;* &quot;-&quot;??_);_(@_)">
                  <c:v>18018.572875592687</c:v>
                </c:pt>
                <c:pt idx="279" formatCode="_(&quot;$&quot;* #,##0.00_);_(&quot;$&quot;* \(#,##0.00\);_(&quot;$&quot;* &quot;-&quot;??_);_(@_)">
                  <c:v>18135.642926221284</c:v>
                </c:pt>
                <c:pt idx="280" formatCode="_(&quot;$&quot;* #,##0.00_);_(&quot;$&quot;* \(#,##0.00\);_(&quot;$&quot;* &quot;-&quot;??_);_(@_)">
                  <c:v>18149.436029669567</c:v>
                </c:pt>
                <c:pt idx="281" formatCode="_(&quot;$&quot;* #,##0.00_);_(&quot;$&quot;* \(#,##0.00\);_(&quot;$&quot;* &quot;-&quot;??_);_(@_)">
                  <c:v>18333.34203743664</c:v>
                </c:pt>
                <c:pt idx="282" formatCode="_(&quot;$&quot;* #,##0.00_);_(&quot;$&quot;* \(#,##0.00\);_(&quot;$&quot;* &quot;-&quot;??_);_(@_)">
                  <c:v>18088.437327313019</c:v>
                </c:pt>
                <c:pt idx="283" formatCode="_(&quot;$&quot;* #,##0.00_);_(&quot;$&quot;* \(#,##0.00\);_(&quot;$&quot;* &quot;-&quot;??_);_(@_)">
                  <c:v>18203.306117146814</c:v>
                </c:pt>
                <c:pt idx="284" formatCode="_(&quot;$&quot;* #,##0.00_);_(&quot;$&quot;* \(#,##0.00\);_(&quot;$&quot;* &quot;-&quot;??_);_(@_)">
                  <c:v>17799.884853145664</c:v>
                </c:pt>
                <c:pt idx="285" formatCode="_(&quot;$&quot;* #,##0.00_);_(&quot;$&quot;* \(#,##0.00\);_(&quot;$&quot;* &quot;-&quot;??_);_(@_)">
                  <c:v>18019.601144712095</c:v>
                </c:pt>
                <c:pt idx="286" formatCode="_(&quot;$&quot;* #,##0.00_);_(&quot;$&quot;* \(#,##0.00\);_(&quot;$&quot;* &quot;-&quot;??_);_(@_)">
                  <c:v>18601.177418983581</c:v>
                </c:pt>
                <c:pt idx="287" formatCode="_(&quot;$&quot;* #,##0.00_);_(&quot;$&quot;* \(#,##0.00\);_(&quot;$&quot;* &quot;-&quot;??_);_(@_)">
                  <c:v>18396.618071868368</c:v>
                </c:pt>
                <c:pt idx="288" formatCode="_(&quot;$&quot;* #,##0.00_);_(&quot;$&quot;* \(#,##0.00\);_(&quot;$&quot;* &quot;-&quot;??_);_(@_)">
                  <c:v>18858.900138734949</c:v>
                </c:pt>
                <c:pt idx="289" formatCode="_(&quot;$&quot;* #,##0.00_);_(&quot;$&quot;* \(#,##0.00\);_(&quot;$&quot;* &quot;-&quot;??_);_(@_)">
                  <c:v>18740.359148589545</c:v>
                </c:pt>
                <c:pt idx="290" formatCode="_(&quot;$&quot;* #,##0.00_);_(&quot;$&quot;* \(#,##0.00\);_(&quot;$&quot;* &quot;-&quot;??_);_(@_)">
                  <c:v>18574.447978475557</c:v>
                </c:pt>
                <c:pt idx="291" formatCode="_(&quot;$&quot;* #,##0.00_);_(&quot;$&quot;* \(#,##0.00\);_(&quot;$&quot;* &quot;-&quot;??_);_(@_)">
                  <c:v>18419.742458493467</c:v>
                </c:pt>
                <c:pt idx="292" formatCode="_(&quot;$&quot;* #,##0.00_);_(&quot;$&quot;* \(#,##0.00\);_(&quot;$&quot;* &quot;-&quot;??_);_(@_)">
                  <c:v>18383.640725499357</c:v>
                </c:pt>
                <c:pt idx="293" formatCode="_(&quot;$&quot;* #,##0.00_);_(&quot;$&quot;* \(#,##0.00\);_(&quot;$&quot;* &quot;-&quot;??_);_(@_)">
                  <c:v>18567.310754448881</c:v>
                </c:pt>
                <c:pt idx="294" formatCode="_(&quot;$&quot;* #,##0.00_);_(&quot;$&quot;* \(#,##0.00\);_(&quot;$&quot;* &quot;-&quot;??_);_(@_)">
                  <c:v>18554.767572442917</c:v>
                </c:pt>
                <c:pt idx="295" formatCode="_(&quot;$&quot;* #,##0.00_);_(&quot;$&quot;* \(#,##0.00\);_(&quot;$&quot;* &quot;-&quot;??_);_(@_)">
                  <c:v>18616.155114733025</c:v>
                </c:pt>
                <c:pt idx="296" formatCode="_(&quot;$&quot;* #,##0.00_);_(&quot;$&quot;* \(#,##0.00\);_(&quot;$&quot;* &quot;-&quot;??_);_(@_)">
                  <c:v>18866.188100615072</c:v>
                </c:pt>
                <c:pt idx="297" formatCode="_(&quot;$&quot;* #,##0.00_);_(&quot;$&quot;* \(#,##0.00\);_(&quot;$&quot;* &quot;-&quot;??_);_(@_)">
                  <c:v>19092.217475892161</c:v>
                </c:pt>
                <c:pt idx="298" formatCode="_(&quot;$&quot;* #,##0.00_);_(&quot;$&quot;* \(#,##0.00\);_(&quot;$&quot;* &quot;-&quot;??_);_(@_)">
                  <c:v>18899.001567868891</c:v>
                </c:pt>
                <c:pt idx="299" formatCode="_(&quot;$&quot;* #,##0.00_);_(&quot;$&quot;* \(#,##0.00\);_(&quot;$&quot;* &quot;-&quot;??_);_(@_)">
                  <c:v>18842.007035798841</c:v>
                </c:pt>
                <c:pt idx="300" formatCode="_(&quot;$&quot;* #,##0.00_);_(&quot;$&quot;* \(#,##0.00\);_(&quot;$&quot;* &quot;-&quot;??_);_(@_)">
                  <c:v>18846.219353301807</c:v>
                </c:pt>
                <c:pt idx="301" formatCode="_(&quot;$&quot;* #,##0.00_);_(&quot;$&quot;* \(#,##0.00\);_(&quot;$&quot;* &quot;-&quot;??_);_(@_)">
                  <c:v>18436.426657751625</c:v>
                </c:pt>
                <c:pt idx="302" formatCode="_(&quot;$&quot;* #,##0.00_);_(&quot;$&quot;* \(#,##0.00\);_(&quot;$&quot;* &quot;-&quot;??_);_(@_)">
                  <c:v>18248.905873934946</c:v>
                </c:pt>
                <c:pt idx="303" formatCode="_(&quot;$&quot;* #,##0.00_);_(&quot;$&quot;* \(#,##0.00\);_(&quot;$&quot;* &quot;-&quot;??_);_(@_)">
                  <c:v>18495.156775283995</c:v>
                </c:pt>
                <c:pt idx="304" formatCode="_(&quot;$&quot;* #,##0.00_);_(&quot;$&quot;* \(#,##0.00\);_(&quot;$&quot;* &quot;-&quot;??_);_(@_)">
                  <c:v>18357.402770674231</c:v>
                </c:pt>
                <c:pt idx="305" formatCode="_(&quot;$&quot;* #,##0.00_);_(&quot;$&quot;* \(#,##0.00\);_(&quot;$&quot;* &quot;-&quot;??_);_(@_)">
                  <c:v>18328.617508728334</c:v>
                </c:pt>
                <c:pt idx="306" formatCode="_(&quot;$&quot;* #,##0.00_);_(&quot;$&quot;* \(#,##0.00\);_(&quot;$&quot;* &quot;-&quot;??_);_(@_)">
                  <c:v>18339.769560380006</c:v>
                </c:pt>
                <c:pt idx="307" formatCode="_(&quot;$&quot;* #,##0.00_);_(&quot;$&quot;* \(#,##0.00\);_(&quot;$&quot;* &quot;-&quot;??_);_(@_)">
                  <c:v>18440.428321711606</c:v>
                </c:pt>
                <c:pt idx="308" formatCode="_(&quot;$&quot;* #,##0.00_);_(&quot;$&quot;* \(#,##0.00\);_(&quot;$&quot;* &quot;-&quot;??_);_(@_)">
                  <c:v>18482.135585080287</c:v>
                </c:pt>
                <c:pt idx="309" formatCode="_(&quot;$&quot;* #,##0.00_);_(&quot;$&quot;* \(#,##0.00\);_(&quot;$&quot;* &quot;-&quot;??_);_(@_)">
                  <c:v>18306.275833298118</c:v>
                </c:pt>
                <c:pt idx="310" formatCode="_(&quot;$&quot;* #,##0.00_);_(&quot;$&quot;* \(#,##0.00\);_(&quot;$&quot;* &quot;-&quot;??_);_(@_)">
                  <c:v>18333.529752292288</c:v>
                </c:pt>
                <c:pt idx="311" formatCode="_(&quot;$&quot;* #,##0.00_);_(&quot;$&quot;* \(#,##0.00\);_(&quot;$&quot;* &quot;-&quot;??_);_(@_)">
                  <c:v>18823.96371459381</c:v>
                </c:pt>
                <c:pt idx="312" formatCode="_(&quot;$&quot;* #,##0.00_);_(&quot;$&quot;* \(#,##0.00\);_(&quot;$&quot;* &quot;-&quot;??_);_(@_)">
                  <c:v>18690.899785658301</c:v>
                </c:pt>
                <c:pt idx="313" formatCode="_(&quot;$&quot;* #,##0.00_);_(&quot;$&quot;* \(#,##0.00\);_(&quot;$&quot;* &quot;-&quot;??_);_(@_)">
                  <c:v>18573.12905638343</c:v>
                </c:pt>
                <c:pt idx="314" formatCode="_(&quot;$&quot;* #,##0.00_);_(&quot;$&quot;* \(#,##0.00\);_(&quot;$&quot;* &quot;-&quot;??_);_(@_)">
                  <c:v>18431.490160896348</c:v>
                </c:pt>
                <c:pt idx="315" formatCode="_(&quot;$&quot;* #,##0.00_);_(&quot;$&quot;* \(#,##0.00\);_(&quot;$&quot;* &quot;-&quot;??_);_(@_)">
                  <c:v>18460.217341244897</c:v>
                </c:pt>
                <c:pt idx="316" formatCode="_(&quot;$&quot;* #,##0.00_);_(&quot;$&quot;* \(#,##0.00\);_(&quot;$&quot;* &quot;-&quot;??_);_(@_)">
                  <c:v>18747.161022170905</c:v>
                </c:pt>
                <c:pt idx="317" formatCode="_(&quot;$&quot;* #,##0.00_);_(&quot;$&quot;* \(#,##0.00\);_(&quot;$&quot;* &quot;-&quot;??_);_(@_)">
                  <c:v>19075.639252888424</c:v>
                </c:pt>
                <c:pt idx="318" formatCode="_(&quot;$&quot;* #,##0.00_);_(&quot;$&quot;* \(#,##0.00\);_(&quot;$&quot;* &quot;-&quot;??_);_(@_)">
                  <c:v>18874.740552469673</c:v>
                </c:pt>
                <c:pt idx="319" formatCode="_(&quot;$&quot;* #,##0.00_);_(&quot;$&quot;* \(#,##0.00\);_(&quot;$&quot;* &quot;-&quot;??_);_(@_)">
                  <c:v>19202.697965217001</c:v>
                </c:pt>
                <c:pt idx="320" formatCode="_(&quot;$&quot;* #,##0.00_);_(&quot;$&quot;* \(#,##0.00\);_(&quot;$&quot;* &quot;-&quot;??_);_(@_)">
                  <c:v>18969.224885692398</c:v>
                </c:pt>
                <c:pt idx="321" formatCode="_(&quot;$&quot;* #,##0.00_);_(&quot;$&quot;* \(#,##0.00\);_(&quot;$&quot;* &quot;-&quot;??_);_(@_)">
                  <c:v>18924.129912829812</c:v>
                </c:pt>
                <c:pt idx="322" formatCode="_(&quot;$&quot;* #,##0.00_);_(&quot;$&quot;* \(#,##0.00\);_(&quot;$&quot;* &quot;-&quot;??_);_(@_)">
                  <c:v>19148.099325542658</c:v>
                </c:pt>
                <c:pt idx="323" formatCode="_(&quot;$&quot;* #,##0.00_);_(&quot;$&quot;* \(#,##0.00\);_(&quot;$&quot;* &quot;-&quot;??_);_(@_)">
                  <c:v>18988.22518233287</c:v>
                </c:pt>
                <c:pt idx="324" formatCode="_(&quot;$&quot;* #,##0.00_);_(&quot;$&quot;* \(#,##0.00\);_(&quot;$&quot;* &quot;-&quot;??_);_(@_)">
                  <c:v>19050.12627011595</c:v>
                </c:pt>
                <c:pt idx="325" formatCode="_(&quot;$&quot;* #,##0.00_);_(&quot;$&quot;* \(#,##0.00\);_(&quot;$&quot;* &quot;-&quot;??_);_(@_)">
                  <c:v>19373.0994725294</c:v>
                </c:pt>
                <c:pt idx="326" formatCode="_(&quot;$&quot;* #,##0.00_);_(&quot;$&quot;* \(#,##0.00\);_(&quot;$&quot;* &quot;-&quot;??_);_(@_)">
                  <c:v>19230.804345973982</c:v>
                </c:pt>
                <c:pt idx="327" formatCode="_(&quot;$&quot;* #,##0.00_);_(&quot;$&quot;* \(#,##0.00\);_(&quot;$&quot;* &quot;-&quot;??_);_(@_)">
                  <c:v>19070.516051103048</c:v>
                </c:pt>
                <c:pt idx="328" formatCode="_(&quot;$&quot;* #,##0.00_);_(&quot;$&quot;* \(#,##0.00\);_(&quot;$&quot;* &quot;-&quot;??_);_(@_)">
                  <c:v>19168.775455931787</c:v>
                </c:pt>
                <c:pt idx="329" formatCode="_(&quot;$&quot;* #,##0.00_);_(&quot;$&quot;* \(#,##0.00\);_(&quot;$&quot;* &quot;-&quot;??_);_(@_)">
                  <c:v>19049.996836847302</c:v>
                </c:pt>
                <c:pt idx="330" formatCode="_(&quot;$&quot;* #,##0.00_);_(&quot;$&quot;* \(#,##0.00\);_(&quot;$&quot;* &quot;-&quot;??_);_(@_)">
                  <c:v>19122.816549221279</c:v>
                </c:pt>
                <c:pt idx="331" formatCode="_(&quot;$&quot;* #,##0.00_);_(&quot;$&quot;* \(#,##0.00\);_(&quot;$&quot;* &quot;-&quot;??_);_(@_)">
                  <c:v>19033.0505599877</c:v>
                </c:pt>
                <c:pt idx="332" formatCode="_(&quot;$&quot;* #,##0.00_);_(&quot;$&quot;* \(#,##0.00\);_(&quot;$&quot;* &quot;-&quot;??_);_(@_)">
                  <c:v>19156.156674471411</c:v>
                </c:pt>
                <c:pt idx="333" formatCode="_(&quot;$&quot;* #,##0.00_);_(&quot;$&quot;* \(#,##0.00\);_(&quot;$&quot;* &quot;-&quot;??_);_(@_)">
                  <c:v>19113.475027631332</c:v>
                </c:pt>
                <c:pt idx="334" formatCode="_(&quot;$&quot;* #,##0.00_);_(&quot;$&quot;* \(#,##0.00\);_(&quot;$&quot;* &quot;-&quot;??_);_(@_)">
                  <c:v>19195.756143213384</c:v>
                </c:pt>
                <c:pt idx="335" formatCode="_(&quot;$&quot;* #,##0.00_);_(&quot;$&quot;* \(#,##0.00\);_(&quot;$&quot;* &quot;-&quot;??_);_(@_)">
                  <c:v>18967.641053580395</c:v>
                </c:pt>
                <c:pt idx="336" formatCode="_(&quot;$&quot;* #,##0.00_);_(&quot;$&quot;* \(#,##0.00\);_(&quot;$&quot;* &quot;-&quot;??_);_(@_)">
                  <c:v>18823.206386375186</c:v>
                </c:pt>
                <c:pt idx="337" formatCode="_(&quot;$&quot;* #,##0.00_);_(&quot;$&quot;* \(#,##0.00\);_(&quot;$&quot;* &quot;-&quot;??_);_(@_)">
                  <c:v>19087.742466774685</c:v>
                </c:pt>
                <c:pt idx="338" formatCode="_(&quot;$&quot;* #,##0.00_);_(&quot;$&quot;* \(#,##0.00\);_(&quot;$&quot;* &quot;-&quot;??_);_(@_)">
                  <c:v>19026.490368137889</c:v>
                </c:pt>
                <c:pt idx="339" formatCode="_(&quot;$&quot;* #,##0.00_);_(&quot;$&quot;* \(#,##0.00\);_(&quot;$&quot;* &quot;-&quot;??_);_(@_)">
                  <c:v>19043.698229635524</c:v>
                </c:pt>
                <c:pt idx="340" formatCode="_(&quot;$&quot;* #,##0.00_);_(&quot;$&quot;* \(#,##0.00\);_(&quot;$&quot;* &quot;-&quot;??_);_(@_)">
                  <c:v>18679.598071398879</c:v>
                </c:pt>
                <c:pt idx="341" formatCode="_(&quot;$&quot;* #,##0.00_);_(&quot;$&quot;* \(#,##0.00\);_(&quot;$&quot;* &quot;-&quot;??_);_(@_)">
                  <c:v>18881.40437717428</c:v>
                </c:pt>
                <c:pt idx="342" formatCode="_(&quot;$&quot;* #,##0.00_);_(&quot;$&quot;* \(#,##0.00\);_(&quot;$&quot;* &quot;-&quot;??_);_(@_)">
                  <c:v>18958.899084067034</c:v>
                </c:pt>
                <c:pt idx="343" formatCode="_(&quot;$&quot;* #,##0.00_);_(&quot;$&quot;* \(#,##0.00\);_(&quot;$&quot;* &quot;-&quot;??_);_(@_)">
                  <c:v>18998.08537267978</c:v>
                </c:pt>
                <c:pt idx="344" formatCode="_(&quot;$&quot;* #,##0.00_);_(&quot;$&quot;* \(#,##0.00\);_(&quot;$&quot;* &quot;-&quot;??_);_(@_)">
                  <c:v>19519.912881465843</c:v>
                </c:pt>
                <c:pt idx="345" formatCode="_(&quot;$&quot;* #,##0.00_);_(&quot;$&quot;* \(#,##0.00\);_(&quot;$&quot;* &quot;-&quot;??_);_(@_)">
                  <c:v>19773.821651485228</c:v>
                </c:pt>
                <c:pt idx="346" formatCode="_(&quot;$&quot;* #,##0.00_);_(&quot;$&quot;* \(#,##0.00\);_(&quot;$&quot;* &quot;-&quot;??_);_(@_)">
                  <c:v>19757.686441975729</c:v>
                </c:pt>
                <c:pt idx="347" formatCode="_(&quot;$&quot;* #,##0.00_);_(&quot;$&quot;* \(#,##0.00\);_(&quot;$&quot;* &quot;-&quot;??_);_(@_)">
                  <c:v>19808.39869268797</c:v>
                </c:pt>
                <c:pt idx="348" formatCode="_(&quot;$&quot;* #,##0.00_);_(&quot;$&quot;* \(#,##0.00\);_(&quot;$&quot;* &quot;-&quot;??_);_(@_)">
                  <c:v>20013.818988835399</c:v>
                </c:pt>
                <c:pt idx="349" formatCode="_(&quot;$&quot;* #,##0.00_);_(&quot;$&quot;* \(#,##0.00\);_(&quot;$&quot;* &quot;-&quot;??_);_(@_)">
                  <c:v>20326.755404855852</c:v>
                </c:pt>
                <c:pt idx="350" formatCode="_(&quot;$&quot;* #,##0.00_);_(&quot;$&quot;* \(#,##0.00\);_(&quot;$&quot;* &quot;-&quot;??_);_(@_)">
                  <c:v>20317.445577361144</c:v>
                </c:pt>
                <c:pt idx="351" formatCode="_(&quot;$&quot;* #,##0.00_);_(&quot;$&quot;* \(#,##0.00\);_(&quot;$&quot;* &quot;-&quot;??_);_(@_)">
                  <c:v>20595.675547179158</c:v>
                </c:pt>
                <c:pt idx="352" formatCode="_(&quot;$&quot;* #,##0.00_);_(&quot;$&quot;* \(#,##0.00\);_(&quot;$&quot;* &quot;-&quot;??_);_(@_)">
                  <c:v>20798.697535606374</c:v>
                </c:pt>
                <c:pt idx="353" formatCode="_(&quot;$&quot;* #,##0.00_);_(&quot;$&quot;* \(#,##0.00\);_(&quot;$&quot;* &quot;-&quot;??_);_(@_)">
                  <c:v>20940.252903597753</c:v>
                </c:pt>
                <c:pt idx="354" formatCode="_(&quot;$&quot;* #,##0.00_);_(&quot;$&quot;* \(#,##0.00\);_(&quot;$&quot;* &quot;-&quot;??_);_(@_)">
                  <c:v>20769.289353950026</c:v>
                </c:pt>
                <c:pt idx="355" formatCode="_(&quot;$&quot;* #,##0.00_);_(&quot;$&quot;* \(#,##0.00\);_(&quot;$&quot;* &quot;-&quot;??_);_(@_)">
                  <c:v>21091.344305681017</c:v>
                </c:pt>
                <c:pt idx="356" formatCode="_(&quot;$&quot;* #,##0.00_);_(&quot;$&quot;* \(#,##0.00\);_(&quot;$&quot;* &quot;-&quot;??_);_(@_)">
                  <c:v>21385.648024582624</c:v>
                </c:pt>
                <c:pt idx="357" formatCode="_(&quot;$&quot;* #,##0.00_);_(&quot;$&quot;* \(#,##0.00\);_(&quot;$&quot;* &quot;-&quot;??_);_(@_)">
                  <c:v>21595.503824662166</c:v>
                </c:pt>
                <c:pt idx="358" formatCode="_(&quot;$&quot;* #,##0.00_);_(&quot;$&quot;* \(#,##0.00\);_(&quot;$&quot;* &quot;-&quot;??_);_(@_)">
                  <c:v>21803.878903444849</c:v>
                </c:pt>
                <c:pt idx="359" formatCode="_(&quot;$&quot;* #,##0.00_);_(&quot;$&quot;* \(#,##0.00\);_(&quot;$&quot;* &quot;-&quot;??_);_(@_)">
                  <c:v>22740.763254471378</c:v>
                </c:pt>
                <c:pt idx="360" formatCode="_(&quot;$&quot;* #,##0.00_);_(&quot;$&quot;* \(#,##0.00\);_(&quot;$&quot;* &quot;-&quot;??_);_(@_)">
                  <c:v>22299.974071872319</c:v>
                </c:pt>
                <c:pt idx="361" formatCode="_(&quot;$&quot;* #,##0.00_);_(&quot;$&quot;* \(#,##0.00\);_(&quot;$&quot;* &quot;-&quot;??_);_(@_)">
                  <c:v>21956.404457872159</c:v>
                </c:pt>
                <c:pt idx="362" formatCode="_(&quot;$&quot;* #,##0.00_);_(&quot;$&quot;* \(#,##0.00\);_(&quot;$&quot;* &quot;-&quot;??_);_(@_)">
                  <c:v>21894.301719185514</c:v>
                </c:pt>
                <c:pt idx="363" formatCode="_(&quot;$&quot;* #,##0.00_);_(&quot;$&quot;* \(#,##0.00\);_(&quot;$&quot;* &quot;-&quot;??_);_(@_)">
                  <c:v>22095.444422430839</c:v>
                </c:pt>
                <c:pt idx="364" formatCode="_(&quot;$&quot;* #,##0.00_);_(&quot;$&quot;* \(#,##0.00\);_(&quot;$&quot;* &quot;-&quot;??_);_(@_)">
                  <c:v>21846.991785783768</c:v>
                </c:pt>
                <c:pt idx="365" formatCode="_(&quot;$&quot;* #,##0.00_);_(&quot;$&quot;* \(#,##0.00\);_(&quot;$&quot;* &quot;-&quot;??_);_(@_)">
                  <c:v>22103.997072802329</c:v>
                </c:pt>
                <c:pt idx="366" formatCode="_(&quot;$&quot;* #,##0.00_);_(&quot;$&quot;* \(#,##0.00\);_(&quot;$&quot;* &quot;-&quot;??_);_(@_)">
                  <c:v>22303.4668129069</c:v>
                </c:pt>
                <c:pt idx="367" formatCode="_(&quot;$&quot;* #,##0.00_);_(&quot;$&quot;* \(#,##0.00\);_(&quot;$&quot;* &quot;-&quot;??_);_(@_)">
                  <c:v>22187.659495797281</c:v>
                </c:pt>
                <c:pt idx="368" formatCode="_(&quot;$&quot;* #,##0.00_);_(&quot;$&quot;* \(#,##0.00\);_(&quot;$&quot;* &quot;-&quot;??_);_(@_)">
                  <c:v>22268.668617679006</c:v>
                </c:pt>
                <c:pt idx="369" formatCode="_(&quot;$&quot;* #,##0.00_);_(&quot;$&quot;* \(#,##0.00\);_(&quot;$&quot;* &quot;-&quot;??_);_(@_)">
                  <c:v>22343.61801316015</c:v>
                </c:pt>
                <c:pt idx="370" formatCode="_(&quot;$&quot;* #,##0.00_);_(&quot;$&quot;* \(#,##0.00\);_(&quot;$&quot;* &quot;-&quot;??_);_(@_)">
                  <c:v>22258.066642182541</c:v>
                </c:pt>
                <c:pt idx="371" formatCode="_(&quot;$&quot;* #,##0.00_);_(&quot;$&quot;* \(#,##0.00\);_(&quot;$&quot;* &quot;-&quot;??_);_(@_)">
                  <c:v>22472.289001091056</c:v>
                </c:pt>
                <c:pt idx="372" formatCode="_(&quot;$&quot;* #,##0.00_);_(&quot;$&quot;* \(#,##0.00\);_(&quot;$&quot;* &quot;-&quot;??_);_(@_)">
                  <c:v>22622.544485167458</c:v>
                </c:pt>
                <c:pt idx="373" formatCode="_(&quot;$&quot;* #,##0.00_);_(&quot;$&quot;* \(#,##0.00\);_(&quot;$&quot;* &quot;-&quot;??_);_(@_)">
                  <c:v>22517.957135308145</c:v>
                </c:pt>
                <c:pt idx="374" formatCode="_(&quot;$&quot;* #,##0.00_);_(&quot;$&quot;* \(#,##0.00\);_(&quot;$&quot;* &quot;-&quot;??_);_(@_)">
                  <c:v>22573.0302340177</c:v>
                </c:pt>
                <c:pt idx="375" formatCode="_(&quot;$&quot;* #,##0.00_);_(&quot;$&quot;* \(#,##0.00\);_(&quot;$&quot;* &quot;-&quot;??_);_(@_)">
                  <c:v>22421.311426204174</c:v>
                </c:pt>
                <c:pt idx="376" formatCode="_(&quot;$&quot;* #,##0.00_);_(&quot;$&quot;* \(#,##0.00\);_(&quot;$&quot;* &quot;-&quot;??_);_(@_)">
                  <c:v>22920.006436722935</c:v>
                </c:pt>
                <c:pt idx="377" formatCode="_(&quot;$&quot;* #,##0.00_);_(&quot;$&quot;* \(#,##0.00\);_(&quot;$&quot;* &quot;-&quot;??_);_(@_)">
                  <c:v>23081.319376131109</c:v>
                </c:pt>
                <c:pt idx="378" formatCode="_(&quot;$&quot;* #,##0.00_);_(&quot;$&quot;* \(#,##0.00\);_(&quot;$&quot;* &quot;-&quot;??_);_(@_)">
                  <c:v>22805.522438712254</c:v>
                </c:pt>
                <c:pt idx="379" formatCode="_(&quot;$&quot;* #,##0.00_);_(&quot;$&quot;* \(#,##0.00\);_(&quot;$&quot;* &quot;-&quot;??_);_(@_)">
                  <c:v>22864.366276483368</c:v>
                </c:pt>
                <c:pt idx="380" formatCode="_(&quot;$&quot;* #,##0.00_);_(&quot;$&quot;* \(#,##0.00\);_(&quot;$&quot;* &quot;-&quot;??_);_(@_)">
                  <c:v>22876.704286915359</c:v>
                </c:pt>
                <c:pt idx="381" formatCode="_(&quot;$&quot;* #,##0.00_);_(&quot;$&quot;* \(#,##0.00\);_(&quot;$&quot;* &quot;-&quot;??_);_(@_)">
                  <c:v>22554.23573611983</c:v>
                </c:pt>
                <c:pt idx="382" formatCode="_(&quot;$&quot;* #,##0.00_);_(&quot;$&quot;* \(#,##0.00\);_(&quot;$&quot;* &quot;-&quot;??_);_(@_)">
                  <c:v>22476.193717186005</c:v>
                </c:pt>
                <c:pt idx="383" formatCode="_(&quot;$&quot;* #,##0.00_);_(&quot;$&quot;* \(#,##0.00\);_(&quot;$&quot;* &quot;-&quot;??_);_(@_)">
                  <c:v>22712.184187093626</c:v>
                </c:pt>
                <c:pt idx="384" formatCode="_(&quot;$&quot;* #,##0.00_);_(&quot;$&quot;* \(#,##0.00\);_(&quot;$&quot;* &quot;-&quot;??_);_(@_)">
                  <c:v>22788.772685458516</c:v>
                </c:pt>
                <c:pt idx="385" formatCode="_(&quot;$&quot;* #,##0.00_);_(&quot;$&quot;* \(#,##0.00\);_(&quot;$&quot;* &quot;-&quot;??_);_(@_)">
                  <c:v>23263.588919023063</c:v>
                </c:pt>
                <c:pt idx="386" formatCode="_(&quot;$&quot;* #,##0.00_);_(&quot;$&quot;* \(#,##0.00\);_(&quot;$&quot;* &quot;-&quot;??_);_(@_)">
                  <c:v>23814.887306156899</c:v>
                </c:pt>
                <c:pt idx="387" formatCode="_(&quot;$&quot;* #,##0.00_);_(&quot;$&quot;* \(#,##0.00\);_(&quot;$&quot;* &quot;-&quot;??_);_(@_)">
                  <c:v>23927.780332347211</c:v>
                </c:pt>
                <c:pt idx="388" formatCode="_(&quot;$&quot;* #,##0.00_);_(&quot;$&quot;* \(#,##0.00\);_(&quot;$&quot;* &quot;-&quot;??_);_(@_)">
                  <c:v>23926.430486437766</c:v>
                </c:pt>
                <c:pt idx="389" formatCode="_(&quot;$&quot;* #,##0.00_);_(&quot;$&quot;* \(#,##0.00\);_(&quot;$&quot;* &quot;-&quot;??_);_(@_)">
                  <c:v>23687.729048029101</c:v>
                </c:pt>
                <c:pt idx="390" formatCode="_(&quot;$&quot;* #,##0.00_);_(&quot;$&quot;* \(#,##0.00\);_(&quot;$&quot;* &quot;-&quot;??_);_(@_)">
                  <c:v>23913.835816627106</c:v>
                </c:pt>
                <c:pt idx="391" formatCode="_(&quot;$&quot;* #,##0.00_);_(&quot;$&quot;* \(#,##0.00\);_(&quot;$&quot;* &quot;-&quot;??_);_(@_)">
                  <c:v>24194.175345090454</c:v>
                </c:pt>
                <c:pt idx="392" formatCode="_(&quot;$&quot;* #,##0.00_);_(&quot;$&quot;* \(#,##0.00\);_(&quot;$&quot;* &quot;-&quot;??_);_(@_)">
                  <c:v>24281.263396912083</c:v>
                </c:pt>
                <c:pt idx="393" formatCode="_(&quot;$&quot;* #,##0.00_);_(&quot;$&quot;* \(#,##0.00\);_(&quot;$&quot;* &quot;-&quot;??_);_(@_)">
                  <c:v>24305.826326045873</c:v>
                </c:pt>
                <c:pt idx="394" formatCode="_(&quot;$&quot;* #,##0.00_);_(&quot;$&quot;* \(#,##0.00\);_(&quot;$&quot;* &quot;-&quot;??_);_(@_)">
                  <c:v>24244.105767398083</c:v>
                </c:pt>
                <c:pt idx="395" formatCode="_(&quot;$&quot;* #,##0.00_);_(&quot;$&quot;* \(#,##0.00\);_(&quot;$&quot;* &quot;-&quot;??_);_(@_)">
                  <c:v>24085.67863832376</c:v>
                </c:pt>
                <c:pt idx="396" formatCode="_(&quot;$&quot;* #,##0.00_);_(&quot;$&quot;* \(#,##0.00\);_(&quot;$&quot;* &quot;-&quot;??_);_(@_)">
                  <c:v>24205.631790212283</c:v>
                </c:pt>
                <c:pt idx="397" formatCode="_(&quot;$&quot;* #,##0.00_);_(&quot;$&quot;* \(#,##0.00\);_(&quot;$&quot;* &quot;-&quot;??_);_(@_)">
                  <c:v>23919.177009145569</c:v>
                </c:pt>
                <c:pt idx="398" formatCode="_(&quot;$&quot;* #,##0.00_);_(&quot;$&quot;* \(#,##0.00\);_(&quot;$&quot;* &quot;-&quot;??_);_(@_)">
                  <c:v>24101.715575539311</c:v>
                </c:pt>
                <c:pt idx="399" formatCode="_(&quot;$&quot;* #,##0.00_);_(&quot;$&quot;* \(#,##0.00\);_(&quot;$&quot;* &quot;-&quot;??_);_(@_)">
                  <c:v>23858.689155261935</c:v>
                </c:pt>
                <c:pt idx="400" formatCode="_(&quot;$&quot;* #,##0.00_);_(&quot;$&quot;* \(#,##0.00\);_(&quot;$&quot;* &quot;-&quot;??_);_(@_)">
                  <c:v>23779.44383220762</c:v>
                </c:pt>
                <c:pt idx="401" formatCode="_(&quot;$&quot;* #,##0.00_);_(&quot;$&quot;* \(#,##0.00\);_(&quot;$&quot;* &quot;-&quot;??_);_(@_)">
                  <c:v>23568.819725398625</c:v>
                </c:pt>
                <c:pt idx="402" formatCode="_(&quot;$&quot;* #,##0.00_);_(&quot;$&quot;* \(#,##0.00\);_(&quot;$&quot;* &quot;-&quot;??_);_(@_)">
                  <c:v>23657.189477927393</c:v>
                </c:pt>
                <c:pt idx="403" formatCode="_(&quot;$&quot;* #,##0.00_);_(&quot;$&quot;* \(#,##0.00\);_(&quot;$&quot;* &quot;-&quot;??_);_(@_)">
                  <c:v>24043.551184763583</c:v>
                </c:pt>
                <c:pt idx="404" formatCode="_(&quot;$&quot;* #,##0.00_);_(&quot;$&quot;* \(#,##0.00\);_(&quot;$&quot;* &quot;-&quot;??_);_(@_)">
                  <c:v>24129.553279138723</c:v>
                </c:pt>
                <c:pt idx="405" formatCode="_(&quot;$&quot;* #,##0.00_);_(&quot;$&quot;* \(#,##0.00\);_(&quot;$&quot;* &quot;-&quot;??_);_(@_)">
                  <c:v>23997.870601686944</c:v>
                </c:pt>
                <c:pt idx="406" formatCode="_(&quot;$&quot;* #,##0.00_);_(&quot;$&quot;* \(#,##0.00\);_(&quot;$&quot;* &quot;-&quot;??_);_(@_)">
                  <c:v>23668.193394259306</c:v>
                </c:pt>
                <c:pt idx="407" formatCode="_(&quot;$&quot;* #,##0.00_);_(&quot;$&quot;* \(#,##0.00\);_(&quot;$&quot;* &quot;-&quot;??_);_(@_)">
                  <c:v>23763.830755992207</c:v>
                </c:pt>
                <c:pt idx="408" formatCode="_(&quot;$&quot;* #,##0.00_);_(&quot;$&quot;* \(#,##0.00\);_(&quot;$&quot;* &quot;-&quot;??_);_(@_)">
                  <c:v>24071.279265422309</c:v>
                </c:pt>
                <c:pt idx="409" formatCode="_(&quot;$&quot;* #,##0.00_);_(&quot;$&quot;* \(#,##0.00\);_(&quot;$&quot;* &quot;-&quot;??_);_(@_)">
                  <c:v>24171.128178985673</c:v>
                </c:pt>
                <c:pt idx="410" formatCode="_(&quot;$&quot;* #,##0.00_);_(&quot;$&quot;* \(#,##0.00\);_(&quot;$&quot;* &quot;-&quot;??_);_(@_)">
                  <c:v>24079.084355840092</c:v>
                </c:pt>
                <c:pt idx="411" formatCode="_(&quot;$&quot;* #,##0.00_);_(&quot;$&quot;* \(#,##0.00\);_(&quot;$&quot;* &quot;-&quot;??_);_(@_)">
                  <c:v>24434.347397421068</c:v>
                </c:pt>
                <c:pt idx="412" formatCode="_(&quot;$&quot;* #,##0.00_);_(&quot;$&quot;* \(#,##0.00\);_(&quot;$&quot;* &quot;-&quot;??_);_(@_)">
                  <c:v>24092.211870836654</c:v>
                </c:pt>
                <c:pt idx="413" formatCode="_(&quot;$&quot;* #,##0.00_);_(&quot;$&quot;* \(#,##0.00\);_(&quot;$&quot;* &quot;-&quot;??_);_(@_)">
                  <c:v>24011.509131004033</c:v>
                </c:pt>
                <c:pt idx="414" formatCode="_(&quot;$&quot;* #,##0.00_);_(&quot;$&quot;* \(#,##0.00\);_(&quot;$&quot;* &quot;-&quot;??_);_(@_)">
                  <c:v>23958.206566022425</c:v>
                </c:pt>
                <c:pt idx="415" formatCode="_(&quot;$&quot;* #,##0.00_);_(&quot;$&quot;* \(#,##0.00\);_(&quot;$&quot;* &quot;-&quot;??_);_(@_)">
                  <c:v>24058.210191841685</c:v>
                </c:pt>
                <c:pt idx="416" formatCode="_(&quot;$&quot;* #,##0.00_);_(&quot;$&quot;* \(#,##0.00\);_(&quot;$&quot;* &quot;-&quot;??_);_(@_)">
                  <c:v>24007.119417035519</c:v>
                </c:pt>
                <c:pt idx="417" formatCode="_(&quot;$&quot;* #,##0.00_);_(&quot;$&quot;* \(#,##0.00\);_(&quot;$&quot;* &quot;-&quot;??_);_(@_)">
                  <c:v>24122.426630155751</c:v>
                </c:pt>
                <c:pt idx="418" formatCode="_(&quot;$&quot;* #,##0.00_);_(&quot;$&quot;* \(#,##0.00\);_(&quot;$&quot;* &quot;-&quot;??_);_(@_)">
                  <c:v>24197.898328268955</c:v>
                </c:pt>
                <c:pt idx="419" formatCode="_(&quot;$&quot;* #,##0.00_);_(&quot;$&quot;* \(#,##0.00\);_(&quot;$&quot;* &quot;-&quot;??_);_(@_)">
                  <c:v>24278.957135828681</c:v>
                </c:pt>
                <c:pt idx="420" formatCode="_(&quot;$&quot;* #,##0.00_);_(&quot;$&quot;* \(#,##0.00\);_(&quot;$&quot;* &quot;-&quot;??_);_(@_)">
                  <c:v>24376.851770283512</c:v>
                </c:pt>
                <c:pt idx="421" formatCode="_(&quot;$&quot;* #,##0.00_);_(&quot;$&quot;* \(#,##0.00\);_(&quot;$&quot;* &quot;-&quot;??_);_(@_)">
                  <c:v>24293.018297532137</c:v>
                </c:pt>
                <c:pt idx="422" formatCode="_(&quot;$&quot;* #,##0.00_);_(&quot;$&quot;* \(#,##0.00\);_(&quot;$&quot;* &quot;-&quot;??_);_(@_)">
                  <c:v>24312.83754598624</c:v>
                </c:pt>
                <c:pt idx="423" formatCode="_(&quot;$&quot;* #,##0.00_);_(&quot;$&quot;* \(#,##0.00\);_(&quot;$&quot;* &quot;-&quot;??_);_(@_)">
                  <c:v>24429.3988689299</c:v>
                </c:pt>
                <c:pt idx="424" formatCode="_(&quot;$&quot;* #,##0.00_);_(&quot;$&quot;* \(#,##0.00\);_(&quot;$&quot;* &quot;-&quot;??_);_(@_)">
                  <c:v>24305.960459222246</c:v>
                </c:pt>
                <c:pt idx="425" formatCode="_(&quot;$&quot;* #,##0.00_);_(&quot;$&quot;* \(#,##0.00\);_(&quot;$&quot;* &quot;-&quot;??_);_(@_)">
                  <c:v>24197.1957130511</c:v>
                </c:pt>
                <c:pt idx="426" formatCode="_(&quot;$&quot;* #,##0.00_);_(&quot;$&quot;* \(#,##0.00\);_(&quot;$&quot;* &quot;-&quot;??_);_(@_)">
                  <c:v>24162.908033124077</c:v>
                </c:pt>
                <c:pt idx="427" formatCode="_(&quot;$&quot;* #,##0.00_);_(&quot;$&quot;* \(#,##0.00\);_(&quot;$&quot;* &quot;-&quot;??_);_(@_)">
                  <c:v>24393.208547270107</c:v>
                </c:pt>
                <c:pt idx="428" formatCode="_(&quot;$&quot;* #,##0.00_);_(&quot;$&quot;* \(#,##0.00\);_(&quot;$&quot;* &quot;-&quot;??_);_(@_)">
                  <c:v>24289.347293150346</c:v>
                </c:pt>
                <c:pt idx="429" formatCode="_(&quot;$&quot;* #,##0.00_);_(&quot;$&quot;* \(#,##0.00\);_(&quot;$&quot;* &quot;-&quot;??_);_(@_)">
                  <c:v>24538.86000367134</c:v>
                </c:pt>
                <c:pt idx="430" formatCode="_(&quot;$&quot;* #,##0.00_);_(&quot;$&quot;* \(#,##0.00\);_(&quot;$&quot;* &quot;-&quot;??_);_(@_)">
                  <c:v>24386.815060357989</c:v>
                </c:pt>
                <c:pt idx="431" formatCode="_(&quot;$&quot;* #,##0.00_);_(&quot;$&quot;* \(#,##0.00\);_(&quot;$&quot;* &quot;-&quot;??_);_(@_)">
                  <c:v>24290.048427460897</c:v>
                </c:pt>
                <c:pt idx="432" formatCode="_(&quot;$&quot;* #,##0.00_);_(&quot;$&quot;* \(#,##0.00\);_(&quot;$&quot;* &quot;-&quot;??_);_(@_)">
                  <c:v>24451.887037938755</c:v>
                </c:pt>
                <c:pt idx="433" formatCode="_(&quot;$&quot;* #,##0.00_);_(&quot;$&quot;* \(#,##0.00\);_(&quot;$&quot;* &quot;-&quot;??_);_(@_)">
                  <c:v>24688.006019587858</c:v>
                </c:pt>
                <c:pt idx="434" formatCode="_(&quot;$&quot;* #,##0.00_);_(&quot;$&quot;* \(#,##0.00\);_(&quot;$&quot;* &quot;-&quot;??_);_(@_)">
                  <c:v>24760.32975030829</c:v>
                </c:pt>
                <c:pt idx="435" formatCode="_(&quot;$&quot;* #,##0.00_);_(&quot;$&quot;* \(#,##0.00\);_(&quot;$&quot;* &quot;-&quot;??_);_(@_)">
                  <c:v>24768.670145388365</c:v>
                </c:pt>
                <c:pt idx="436" formatCode="_(&quot;$&quot;* #,##0.00_);_(&quot;$&quot;* \(#,##0.00\);_(&quot;$&quot;* &quot;-&quot;??_);_(@_)">
                  <c:v>24825.215240101388</c:v>
                </c:pt>
                <c:pt idx="437" formatCode="_(&quot;$&quot;* #,##0.00_);_(&quot;$&quot;* \(#,##0.00\);_(&quot;$&quot;* &quot;-&quot;??_);_(@_)">
                  <c:v>24937.246508658995</c:v>
                </c:pt>
                <c:pt idx="438" formatCode="_(&quot;$&quot;* #,##0.00_);_(&quot;$&quot;* \(#,##0.00\);_(&quot;$&quot;* &quot;-&quot;??_);_(@_)">
                  <c:v>24732.380806036461</c:v>
                </c:pt>
                <c:pt idx="439" formatCode="_(&quot;$&quot;* #,##0.00_);_(&quot;$&quot;* \(#,##0.00\);_(&quot;$&quot;* &quot;-&quot;??_);_(@_)">
                  <c:v>24997.934168761723</c:v>
                </c:pt>
                <c:pt idx="440" formatCode="_(&quot;$&quot;* #,##0.00_);_(&quot;$&quot;* \(#,##0.00\);_(&quot;$&quot;* &quot;-&quot;??_);_(@_)">
                  <c:v>25035.12660337898</c:v>
                </c:pt>
                <c:pt idx="441" formatCode="_(&quot;$&quot;* #,##0.00_);_(&quot;$&quot;* \(#,##0.00\);_(&quot;$&quot;* &quot;-&quot;??_);_(@_)">
                  <c:v>25223.695404660666</c:v>
                </c:pt>
                <c:pt idx="442" formatCode="_(&quot;$&quot;* #,##0.00_);_(&quot;$&quot;* \(#,##0.00\);_(&quot;$&quot;* &quot;-&quot;??_);_(@_)">
                  <c:v>25155.401196554918</c:v>
                </c:pt>
                <c:pt idx="443" formatCode="_(&quot;$&quot;* #,##0.00_);_(&quot;$&quot;* \(#,##0.00\);_(&quot;$&quot;* &quot;-&quot;??_);_(@_)">
                  <c:v>25060.397019956199</c:v>
                </c:pt>
                <c:pt idx="444" formatCode="_(&quot;$&quot;* #,##0.00_);_(&quot;$&quot;* \(#,##0.00\);_(&quot;$&quot;* &quot;-&quot;??_);_(@_)">
                  <c:v>25057.005861384841</c:v>
                </c:pt>
                <c:pt idx="445" formatCode="_(&quot;$&quot;* #,##0.00_);_(&quot;$&quot;* \(#,##0.00\);_(&quot;$&quot;* &quot;-&quot;??_);_(@_)">
                  <c:v>25172.417302443206</c:v>
                </c:pt>
                <c:pt idx="446" formatCode="_(&quot;$&quot;* #,##0.00_);_(&quot;$&quot;* \(#,##0.00\);_(&quot;$&quot;* &quot;-&quot;??_);_(@_)">
                  <c:v>25381.118917881391</c:v>
                </c:pt>
                <c:pt idx="447" formatCode="_(&quot;$&quot;* #,##0.00_);_(&quot;$&quot;* \(#,##0.00\);_(&quot;$&quot;* &quot;-&quot;??_);_(@_)">
                  <c:v>25348.070213955089</c:v>
                </c:pt>
                <c:pt idx="448" formatCode="_(&quot;$&quot;* #,##0.00_);_(&quot;$&quot;* \(#,##0.00\);_(&quot;$&quot;* &quot;-&quot;??_);_(@_)">
                  <c:v>25340.203239100178</c:v>
                </c:pt>
                <c:pt idx="449" formatCode="_(&quot;$&quot;* #,##0.00_);_(&quot;$&quot;* \(#,##0.00\);_(&quot;$&quot;* &quot;-&quot;??_);_(@_)">
                  <c:v>25413.237681544986</c:v>
                </c:pt>
                <c:pt idx="450" formatCode="_(&quot;$&quot;* #,##0.00_);_(&quot;$&quot;* \(#,##0.00\);_(&quot;$&quot;* &quot;-&quot;??_);_(@_)">
                  <c:v>25319.110226851401</c:v>
                </c:pt>
                <c:pt idx="451" formatCode="_(&quot;$&quot;* #,##0.00_);_(&quot;$&quot;* \(#,##0.00\);_(&quot;$&quot;* &quot;-&quot;??_);_(@_)">
                  <c:v>25260.556610567062</c:v>
                </c:pt>
                <c:pt idx="452" formatCode="_(&quot;$&quot;* #,##0.00_);_(&quot;$&quot;* \(#,##0.00\);_(&quot;$&quot;* &quot;-&quot;??_);_(@_)">
                  <c:v>25267.656163928641</c:v>
                </c:pt>
                <c:pt idx="453" formatCode="_(&quot;$&quot;* #,##0.00_);_(&quot;$&quot;* \(#,##0.00\);_(&quot;$&quot;* &quot;-&quot;??_);_(@_)">
                  <c:v>25300.365449166777</c:v>
                </c:pt>
                <c:pt idx="454" formatCode="_(&quot;$&quot;* #,##0.00_);_(&quot;$&quot;* \(#,##0.00\);_(&quot;$&quot;* &quot;-&quot;??_);_(@_)">
                  <c:v>25621.413011246197</c:v>
                </c:pt>
                <c:pt idx="455" formatCode="_(&quot;$&quot;* #,##0.00_);_(&quot;$&quot;* \(#,##0.00\);_(&quot;$&quot;* &quot;-&quot;??_);_(@_)">
                  <c:v>25695.015898378799</c:v>
                </c:pt>
                <c:pt idx="456" formatCode="_(&quot;$&quot;* #,##0.00_);_(&quot;$&quot;* \(#,##0.00\);_(&quot;$&quot;* &quot;-&quot;??_);_(@_)">
                  <c:v>25937.922159353304</c:v>
                </c:pt>
                <c:pt idx="457" formatCode="_(&quot;$&quot;* #,##0.00_);_(&quot;$&quot;* \(#,##0.00\);_(&quot;$&quot;* &quot;-&quot;??_);_(@_)">
                  <c:v>26118.201147730204</c:v>
                </c:pt>
                <c:pt idx="458" formatCode="_(&quot;$&quot;* #,##0.00_);_(&quot;$&quot;* \(#,##0.00\);_(&quot;$&quot;* &quot;-&quot;??_);_(@_)">
                  <c:v>26118.506985694032</c:v>
                </c:pt>
                <c:pt idx="459" formatCode="_(&quot;$&quot;* #,##0.00_);_(&quot;$&quot;* \(#,##0.00\);_(&quot;$&quot;* &quot;-&quot;??_);_(@_)">
                  <c:v>26157.040185499791</c:v>
                </c:pt>
                <c:pt idx="460" formatCode="_(&quot;$&quot;* #,##0.00_);_(&quot;$&quot;* \(#,##0.00\);_(&quot;$&quot;* &quot;-&quot;??_);_(@_)">
                  <c:v>26267.81825048141</c:v>
                </c:pt>
                <c:pt idx="461" formatCode="_(&quot;$&quot;* #,##0.00_);_(&quot;$&quot;* \(#,##0.00\);_(&quot;$&quot;* &quot;-&quot;??_);_(@_)">
                  <c:v>25953.711989351421</c:v>
                </c:pt>
                <c:pt idx="462" formatCode="_(&quot;$&quot;* #,##0.00_);_(&quot;$&quot;* \(#,##0.00\);_(&quot;$&quot;* &quot;-&quot;??_);_(@_)">
                  <c:v>25979.876074740248</c:v>
                </c:pt>
                <c:pt idx="463" formatCode="_(&quot;$&quot;* #,##0.00_);_(&quot;$&quot;* \(#,##0.00\);_(&quot;$&quot;* &quot;-&quot;??_);_(@_)">
                  <c:v>26031.299549571297</c:v>
                </c:pt>
                <c:pt idx="464" formatCode="_(&quot;$&quot;* #,##0.00_);_(&quot;$&quot;* \(#,##0.00\);_(&quot;$&quot;* &quot;-&quot;??_);_(@_)">
                  <c:v>26103.139106567352</c:v>
                </c:pt>
                <c:pt idx="465" formatCode="_(&quot;$&quot;* #,##0.00_);_(&quot;$&quot;* \(#,##0.00\);_(&quot;$&quot;* &quot;-&quot;??_);_(@_)">
                  <c:v>26228.731969980639</c:v>
                </c:pt>
                <c:pt idx="466" formatCode="_(&quot;$&quot;* #,##0.00_);_(&quot;$&quot;* \(#,##0.00\);_(&quot;$&quot;* &quot;-&quot;??_);_(@_)">
                  <c:v>26062.966158399104</c:v>
                </c:pt>
                <c:pt idx="467" formatCode="_(&quot;$&quot;* #,##0.00_);_(&quot;$&quot;* \(#,##0.00\);_(&quot;$&quot;* &quot;-&quot;??_);_(@_)">
                  <c:v>26037.621452077154</c:v>
                </c:pt>
                <c:pt idx="468" formatCode="_(&quot;$&quot;* #,##0.00_);_(&quot;$&quot;* \(#,##0.00\);_(&quot;$&quot;* &quot;-&quot;??_);_(@_)">
                  <c:v>26311.354730547377</c:v>
                </c:pt>
                <c:pt idx="469" formatCode="_(&quot;$&quot;* #,##0.00_);_(&quot;$&quot;* \(#,##0.00\);_(&quot;$&quot;* &quot;-&quot;??_);_(@_)">
                  <c:v>26523.007261876613</c:v>
                </c:pt>
                <c:pt idx="470" formatCode="_(&quot;$&quot;* #,##0.00_);_(&quot;$&quot;* \(#,##0.00\);_(&quot;$&quot;* &quot;-&quot;??_);_(@_)">
                  <c:v>26750.130782001554</c:v>
                </c:pt>
                <c:pt idx="471" formatCode="_(&quot;$&quot;* #,##0.00_);_(&quot;$&quot;* \(#,##0.00\);_(&quot;$&quot;* &quot;-&quot;??_);_(@_)">
                  <c:v>26713.628478134633</c:v>
                </c:pt>
                <c:pt idx="472" formatCode="_(&quot;$&quot;* #,##0.00_);_(&quot;$&quot;* \(#,##0.00\);_(&quot;$&quot;* &quot;-&quot;??_);_(@_)">
                  <c:v>26847.229012536784</c:v>
                </c:pt>
                <c:pt idx="473" formatCode="_(&quot;$&quot;* #,##0.00_);_(&quot;$&quot;* \(#,##0.00\);_(&quot;$&quot;* &quot;-&quot;??_);_(@_)">
                  <c:v>26824.927960161018</c:v>
                </c:pt>
                <c:pt idx="474" formatCode="_(&quot;$&quot;* #,##0.00_);_(&quot;$&quot;* \(#,##0.00\);_(&quot;$&quot;* &quot;-&quot;??_);_(@_)">
                  <c:v>26764.038010664313</c:v>
                </c:pt>
                <c:pt idx="475" formatCode="_(&quot;$&quot;* #,##0.00_);_(&quot;$&quot;* \(#,##0.00\);_(&quot;$&quot;* &quot;-&quot;??_);_(@_)">
                  <c:v>26838.992568167905</c:v>
                </c:pt>
                <c:pt idx="476" formatCode="_(&quot;$&quot;* #,##0.00_);_(&quot;$&quot;* \(#,##0.00\);_(&quot;$&quot;* &quot;-&quot;??_);_(@_)">
                  <c:v>27039.687671728985</c:v>
                </c:pt>
                <c:pt idx="477" formatCode="_(&quot;$&quot;* #,##0.00_);_(&quot;$&quot;* \(#,##0.00\);_(&quot;$&quot;* &quot;-&quot;??_);_(@_)">
                  <c:v>26900.014081635643</c:v>
                </c:pt>
                <c:pt idx="478" formatCode="_(&quot;$&quot;* #,##0.00_);_(&quot;$&quot;* \(#,##0.00\);_(&quot;$&quot;* &quot;-&quot;??_);_(@_)">
                  <c:v>27026.883784682348</c:v>
                </c:pt>
                <c:pt idx="479" formatCode="_(&quot;$&quot;* #,##0.00_);_(&quot;$&quot;* \(#,##0.00\);_(&quot;$&quot;* &quot;-&quot;??_);_(@_)">
                  <c:v>26639.338329982194</c:v>
                </c:pt>
                <c:pt idx="480" formatCode="_(&quot;$&quot;* #,##0.00_);_(&quot;$&quot;* \(#,##0.00\);_(&quot;$&quot;* &quot;-&quot;??_);_(@_)">
                  <c:v>26994.427845070702</c:v>
                </c:pt>
                <c:pt idx="481" formatCode="_(&quot;$&quot;* #,##0.00_);_(&quot;$&quot;* \(#,##0.00\);_(&quot;$&quot;* &quot;-&quot;??_);_(@_)">
                  <c:v>26975.173000757779</c:v>
                </c:pt>
                <c:pt idx="482" formatCode="_(&quot;$&quot;* #,##0.00_);_(&quot;$&quot;* \(#,##0.00\);_(&quot;$&quot;* &quot;-&quot;??_);_(@_)">
                  <c:v>26960.968979851947</c:v>
                </c:pt>
                <c:pt idx="483" formatCode="_(&quot;$&quot;* #,##0.00_);_(&quot;$&quot;* \(#,##0.00\);_(&quot;$&quot;* &quot;-&quot;??_);_(@_)">
                  <c:v>26942.136000940751</c:v>
                </c:pt>
                <c:pt idx="484" formatCode="_(&quot;$&quot;* #,##0.00_);_(&quot;$&quot;* \(#,##0.00\);_(&quot;$&quot;* &quot;-&quot;??_);_(@_)">
                  <c:v>26897.657862950236</c:v>
                </c:pt>
                <c:pt idx="485" formatCode="_(&quot;$&quot;* #,##0.00_);_(&quot;$&quot;* \(#,##0.00\);_(&quot;$&quot;* &quot;-&quot;??_);_(@_)">
                  <c:v>27003.679478283637</c:v>
                </c:pt>
                <c:pt idx="486" formatCode="_(&quot;$&quot;* #,##0.00_);_(&quot;$&quot;* \(#,##0.00\);_(&quot;$&quot;* &quot;-&quot;??_);_(@_)">
                  <c:v>26809.730836124396</c:v>
                </c:pt>
                <c:pt idx="487" formatCode="_(&quot;$&quot;* #,##0.00_);_(&quot;$&quot;* \(#,##0.00\);_(&quot;$&quot;* &quot;-&quot;??_);_(@_)">
                  <c:v>26899.881086541754</c:v>
                </c:pt>
                <c:pt idx="488" formatCode="_(&quot;$&quot;* #,##0.00_);_(&quot;$&quot;* \(#,##0.00\);_(&quot;$&quot;* &quot;-&quot;??_);_(@_)">
                  <c:v>26983.786337688096</c:v>
                </c:pt>
                <c:pt idx="489" formatCode="_(&quot;$&quot;* #,##0.00_);_(&quot;$&quot;* \(#,##0.00\);_(&quot;$&quot;* &quot;-&quot;??_);_(@_)">
                  <c:v>26794.302541983292</c:v>
                </c:pt>
                <c:pt idx="490" formatCode="_(&quot;$&quot;* #,##0.00_);_(&quot;$&quot;* \(#,##0.00\);_(&quot;$&quot;* &quot;-&quot;??_);_(@_)">
                  <c:v>26767.602933260772</c:v>
                </c:pt>
                <c:pt idx="491" formatCode="_(&quot;$&quot;* #,##0.00_);_(&quot;$&quot;* \(#,##0.00\);_(&quot;$&quot;* &quot;-&quot;??_);_(@_)">
                  <c:v>26741.803139659125</c:v>
                </c:pt>
                <c:pt idx="492" formatCode="_(&quot;$&quot;* #,##0.00_);_(&quot;$&quot;* \(#,##0.00\);_(&quot;$&quot;* &quot;-&quot;??_);_(@_)">
                  <c:v>26778.233325705831</c:v>
                </c:pt>
                <c:pt idx="493" formatCode="_(&quot;$&quot;* #,##0.00_);_(&quot;$&quot;* \(#,##0.00\);_(&quot;$&quot;* &quot;-&quot;??_);_(@_)">
                  <c:v>26851.026276828219</c:v>
                </c:pt>
                <c:pt idx="494" formatCode="_(&quot;$&quot;* #,##0.00_);_(&quot;$&quot;* \(#,##0.00\);_(&quot;$&quot;* &quot;-&quot;??_);_(@_)">
                  <c:v>26799.119156349796</c:v>
                </c:pt>
                <c:pt idx="495" formatCode="_(&quot;$&quot;* #,##0.00_);_(&quot;$&quot;* \(#,##0.00\);_(&quot;$&quot;* &quot;-&quot;??_);_(@_)">
                  <c:v>26803.088494215292</c:v>
                </c:pt>
                <c:pt idx="496" formatCode="_(&quot;$&quot;* #,##0.00_);_(&quot;$&quot;* \(#,##0.00\);_(&quot;$&quot;* &quot;-&quot;??_);_(@_)">
                  <c:v>27176.229522784943</c:v>
                </c:pt>
                <c:pt idx="497" formatCode="_(&quot;$&quot;* #,##0.00_);_(&quot;$&quot;* \(#,##0.00\);_(&quot;$&quot;* &quot;-&quot;??_);_(@_)">
                  <c:v>27008.159500038775</c:v>
                </c:pt>
                <c:pt idx="498" formatCode="_(&quot;$&quot;* #,##0.00_);_(&quot;$&quot;* \(#,##0.00\);_(&quot;$&quot;* &quot;-&quot;??_);_(@_)">
                  <c:v>26860.73474527894</c:v>
                </c:pt>
                <c:pt idx="499" formatCode="_(&quot;$&quot;* #,##0.00_);_(&quot;$&quot;* \(#,##0.00\);_(&quot;$&quot;* &quot;-&quot;??_);_(@_)">
                  <c:v>27183.864565790966</c:v>
                </c:pt>
                <c:pt idx="500" formatCode="_(&quot;$&quot;* #,##0.00_);_(&quot;$&quot;* \(#,##0.00\);_(&quot;$&quot;* &quot;-&quot;??_);_(@_)">
                  <c:v>27008.450900662156</c:v>
                </c:pt>
                <c:pt idx="501" formatCode="_(&quot;$&quot;* #,##0.00_);_(&quot;$&quot;* \(#,##0.00\);_(&quot;$&quot;* &quot;-&quot;??_);_(@_)">
                  <c:v>27269.289925472101</c:v>
                </c:pt>
                <c:pt idx="502" formatCode="_(&quot;$&quot;* #,##0.00_);_(&quot;$&quot;* \(#,##0.00\);_(&quot;$&quot;* &quot;-&quot;??_);_(@_)">
                  <c:v>27674.550016495145</c:v>
                </c:pt>
                <c:pt idx="503" formatCode="_(&quot;$&quot;* #,##0.00_);_(&quot;$&quot;* \(#,##0.00\);_(&quot;$&quot;* &quot;-&quot;??_);_(@_)">
                  <c:v>27563.754055365698</c:v>
                </c:pt>
                <c:pt idx="504" formatCode="_(&quot;$&quot;* #,##0.00_);_(&quot;$&quot;* \(#,##0.00\);_(&quot;$&quot;* &quot;-&quot;??_);_(@_)">
                  <c:v>27618.681858791249</c:v>
                </c:pt>
                <c:pt idx="505" formatCode="_(&quot;$&quot;* #,##0.00_);_(&quot;$&quot;* \(#,##0.00\);_(&quot;$&quot;* &quot;-&quot;??_);_(@_)">
                  <c:v>27344.082414620429</c:v>
                </c:pt>
                <c:pt idx="506" formatCode="_(&quot;$&quot;* #,##0.00_);_(&quot;$&quot;* \(#,##0.00\);_(&quot;$&quot;* &quot;-&quot;??_);_(@_)">
                  <c:v>27348.520256001721</c:v>
                </c:pt>
                <c:pt idx="507" formatCode="_(&quot;$&quot;* #,##0.00_);_(&quot;$&quot;* \(#,##0.00\);_(&quot;$&quot;* &quot;-&quot;??_);_(@_)">
                  <c:v>27504.61411612944</c:v>
                </c:pt>
                <c:pt idx="508" formatCode="_(&quot;$&quot;* #,##0.00_);_(&quot;$&quot;* \(#,##0.00\);_(&quot;$&quot;* &quot;-&quot;??_);_(@_)">
                  <c:v>27691.810193974405</c:v>
                </c:pt>
                <c:pt idx="509" formatCode="_(&quot;$&quot;* #,##0.00_);_(&quot;$&quot;* \(#,##0.00\);_(&quot;$&quot;* &quot;-&quot;??_);_(@_)">
                  <c:v>27796.519802240618</c:v>
                </c:pt>
                <c:pt idx="510" formatCode="_(&quot;$&quot;* #,##0.00_);_(&quot;$&quot;* \(#,##0.00\);_(&quot;$&quot;* &quot;-&quot;??_);_(@_)">
                  <c:v>27915.686022770755</c:v>
                </c:pt>
                <c:pt idx="511" formatCode="_(&quot;$&quot;* #,##0.00_);_(&quot;$&quot;* \(#,##0.00\);_(&quot;$&quot;* &quot;-&quot;??_);_(@_)">
                  <c:v>28026.719352431424</c:v>
                </c:pt>
                <c:pt idx="512" formatCode="_(&quot;$&quot;* #,##0.00_);_(&quot;$&quot;* \(#,##0.00\);_(&quot;$&quot;* &quot;-&quot;??_);_(@_)">
                  <c:v>28784.119810722816</c:v>
                </c:pt>
                <c:pt idx="513" formatCode="_(&quot;$&quot;* #,##0.00_);_(&quot;$&quot;* \(#,##0.00\);_(&quot;$&quot;* &quot;-&quot;??_);_(@_)">
                  <c:v>28354.77470204332</c:v>
                </c:pt>
                <c:pt idx="514" formatCode="_(&quot;$&quot;* #,##0.00_);_(&quot;$&quot;* \(#,##0.00\);_(&quot;$&quot;* &quot;-&quot;??_);_(@_)">
                  <c:v>28060.882267233286</c:v>
                </c:pt>
                <c:pt idx="515" formatCode="_(&quot;$&quot;* #,##0.00_);_(&quot;$&quot;* \(#,##0.00\);_(&quot;$&quot;* &quot;-&quot;??_);_(@_)">
                  <c:v>28090.331084196536</c:v>
                </c:pt>
                <c:pt idx="516" formatCode="_(&quot;$&quot;* #,##0.00_);_(&quot;$&quot;* \(#,##0.00\);_(&quot;$&quot;* &quot;-&quot;??_);_(@_)">
                  <c:v>28189.943683663379</c:v>
                </c:pt>
                <c:pt idx="517" formatCode="_(&quot;$&quot;* #,##0.00_);_(&quot;$&quot;* \(#,##0.00\);_(&quot;$&quot;* &quot;-&quot;??_);_(@_)">
                  <c:v>28379.445198323108</c:v>
                </c:pt>
                <c:pt idx="518" formatCode="_(&quot;$&quot;* #,##0.00_);_(&quot;$&quot;* \(#,##0.00\);_(&quot;$&quot;* &quot;-&quot;??_);_(@_)">
                  <c:v>28244.084506615451</c:v>
                </c:pt>
                <c:pt idx="519" formatCode="_(&quot;$&quot;* #,##0.00_);_(&quot;$&quot;* \(#,##0.00\);_(&quot;$&quot;* &quot;-&quot;??_);_(@_)">
                  <c:v>28367.184967570218</c:v>
                </c:pt>
                <c:pt idx="520" formatCode="_(&quot;$&quot;* #,##0.00_);_(&quot;$&quot;* \(#,##0.00\);_(&quot;$&quot;* &quot;-&quot;??_);_(@_)">
                  <c:v>28613.600664574151</c:v>
                </c:pt>
                <c:pt idx="521" formatCode="_(&quot;$&quot;* #,##0.00_);_(&quot;$&quot;* \(#,##0.00\);_(&quot;$&quot;* &quot;-&quot;??_);_(@_)">
                  <c:v>28805.153468376957</c:v>
                </c:pt>
                <c:pt idx="522" formatCode="_(&quot;$&quot;* #,##0.00_);_(&quot;$&quot;* \(#,##0.00\);_(&quot;$&quot;* &quot;-&quot;??_);_(@_)">
                  <c:v>29008.806319891275</c:v>
                </c:pt>
                <c:pt idx="523" formatCode="_(&quot;$&quot;* #,##0.00_);_(&quot;$&quot;* \(#,##0.00\);_(&quot;$&quot;* &quot;-&quot;??_);_(@_)">
                  <c:v>29048.228283513152</c:v>
                </c:pt>
                <c:pt idx="524" formatCode="_(&quot;$&quot;* #,##0.00_);_(&quot;$&quot;* \(#,##0.00\);_(&quot;$&quot;* &quot;-&quot;??_);_(@_)">
                  <c:v>29022.880484328176</c:v>
                </c:pt>
                <c:pt idx="525" formatCode="_(&quot;$&quot;* #,##0.00_);_(&quot;$&quot;* \(#,##0.00\);_(&quot;$&quot;* &quot;-&quot;??_);_(@_)">
                  <c:v>28997.630493062268</c:v>
                </c:pt>
                <c:pt idx="526" formatCode="_(&quot;$&quot;* #,##0.00_);_(&quot;$&quot;* \(#,##0.00\);_(&quot;$&quot;* &quot;-&quot;??_);_(@_)">
                  <c:v>29089.054692741884</c:v>
                </c:pt>
                <c:pt idx="527" formatCode="_(&quot;$&quot;* #,##0.00_);_(&quot;$&quot;* \(#,##0.00\);_(&quot;$&quot;* &quot;-&quot;??_);_(@_)">
                  <c:v>29248.029514605718</c:v>
                </c:pt>
                <c:pt idx="528" formatCode="_(&quot;$&quot;* #,##0.00_);_(&quot;$&quot;* \(#,##0.00\);_(&quot;$&quot;* &quot;-&quot;??_);_(@_)">
                  <c:v>29345.237611488301</c:v>
                </c:pt>
                <c:pt idx="529" formatCode="_(&quot;$&quot;* #,##0.00_);_(&quot;$&quot;* \(#,##0.00\);_(&quot;$&quot;* &quot;-&quot;??_);_(@_)">
                  <c:v>29524.435428085802</c:v>
                </c:pt>
                <c:pt idx="530" formatCode="_(&quot;$&quot;* #,##0.00_);_(&quot;$&quot;* \(#,##0.00\);_(&quot;$&quot;* &quot;-&quot;??_);_(@_)">
                  <c:v>29751.336917156914</c:v>
                </c:pt>
                <c:pt idx="531" formatCode="_(&quot;$&quot;* #,##0.00_);_(&quot;$&quot;* \(#,##0.00\);_(&quot;$&quot;* &quot;-&quot;??_);_(@_)">
                  <c:v>30132.142218840647</c:v>
                </c:pt>
                <c:pt idx="532" formatCode="_(&quot;$&quot;* #,##0.00_);_(&quot;$&quot;* \(#,##0.00\);_(&quot;$&quot;* &quot;-&quot;??_);_(@_)">
                  <c:v>30326.591045658766</c:v>
                </c:pt>
                <c:pt idx="533" formatCode="_(&quot;$&quot;* #,##0.00_);_(&quot;$&quot;* \(#,##0.00\);_(&quot;$&quot;* &quot;-&quot;??_);_(@_)">
                  <c:v>30448.178921516956</c:v>
                </c:pt>
                <c:pt idx="534" formatCode="_(&quot;$&quot;* #,##0.00_);_(&quot;$&quot;* \(#,##0.00\);_(&quot;$&quot;* &quot;-&quot;??_);_(@_)">
                  <c:v>30608.50899919666</c:v>
                </c:pt>
                <c:pt idx="535" formatCode="_(&quot;$&quot;* #,##0.00_);_(&quot;$&quot;* \(#,##0.00\);_(&quot;$&quot;* &quot;-&quot;??_);_(@_)">
                  <c:v>30708.052069076559</c:v>
                </c:pt>
                <c:pt idx="536" formatCode="_(&quot;$&quot;* #,##0.00_);_(&quot;$&quot;* \(#,##0.00\);_(&quot;$&quot;* &quot;-&quot;??_);_(@_)">
                  <c:v>30782.767366483626</c:v>
                </c:pt>
                <c:pt idx="537" formatCode="_(&quot;$&quot;* #,##0.00_);_(&quot;$&quot;* \(#,##0.00\);_(&quot;$&quot;* &quot;-&quot;??_);_(@_)">
                  <c:v>30775.339428327454</c:v>
                </c:pt>
                <c:pt idx="538" formatCode="_(&quot;$&quot;* #,##0.00_);_(&quot;$&quot;* \(#,##0.00\);_(&quot;$&quot;* &quot;-&quot;??_);_(@_)">
                  <c:v>31026.318048926947</c:v>
                </c:pt>
                <c:pt idx="539" formatCode="_(&quot;$&quot;* #,##0.00_);_(&quot;$&quot;* \(#,##0.00\);_(&quot;$&quot;* &quot;-&quot;??_);_(@_)">
                  <c:v>31105.013383477337</c:v>
                </c:pt>
                <c:pt idx="540" formatCode="_(&quot;$&quot;* #,##0.00_);_(&quot;$&quot;* \(#,##0.00\);_(&quot;$&quot;* &quot;-&quot;??_);_(@_)">
                  <c:v>31262.50116331286</c:v>
                </c:pt>
                <c:pt idx="541" formatCode="_(&quot;$&quot;* #,##0.00_);_(&quot;$&quot;* \(#,##0.00\);_(&quot;$&quot;* &quot;-&quot;??_);_(@_)">
                  <c:v>31257.167534492055</c:v>
                </c:pt>
                <c:pt idx="542" formatCode="_(&quot;$&quot;* #,##0.00_);_(&quot;$&quot;* \(#,##0.00\);_(&quot;$&quot;* &quot;-&quot;??_);_(@_)">
                  <c:v>31254.532525532821</c:v>
                </c:pt>
                <c:pt idx="543" formatCode="_(&quot;$&quot;* #,##0.00_);_(&quot;$&quot;* \(#,##0.00\);_(&quot;$&quot;* &quot;-&quot;??_);_(@_)">
                  <c:v>30868.873128303705</c:v>
                </c:pt>
                <c:pt idx="544" formatCode="_(&quot;$&quot;* #,##0.00_);_(&quot;$&quot;* \(#,##0.00\);_(&quot;$&quot;* &quot;-&quot;??_);_(@_)">
                  <c:v>30858.104945380659</c:v>
                </c:pt>
                <c:pt idx="545" formatCode="_(&quot;$&quot;* #,##0.00_);_(&quot;$&quot;* \(#,##0.00\);_(&quot;$&quot;* &quot;-&quot;??_);_(@_)">
                  <c:v>31093.250160472555</c:v>
                </c:pt>
                <c:pt idx="546" formatCode="_(&quot;$&quot;* #,##0.00_);_(&quot;$&quot;* \(#,##0.00\);_(&quot;$&quot;* &quot;-&quot;??_);_(@_)">
                  <c:v>30791.160678566386</c:v>
                </c:pt>
                <c:pt idx="547" formatCode="_(&quot;$&quot;* #,##0.00_);_(&quot;$&quot;* \(#,##0.00\);_(&quot;$&quot;* &quot;-&quot;??_);_(@_)">
                  <c:v>30873.978284265911</c:v>
                </c:pt>
                <c:pt idx="548" formatCode="_(&quot;$&quot;* #,##0.00_);_(&quot;$&quot;* \(#,##0.00\);_(&quot;$&quot;* &quot;-&quot;??_);_(@_)">
                  <c:v>30995.530360471035</c:v>
                </c:pt>
                <c:pt idx="549" formatCode="_(&quot;$&quot;* #,##0.00_);_(&quot;$&quot;* \(#,##0.00\);_(&quot;$&quot;* &quot;-&quot;??_);_(@_)">
                  <c:v>30847.492612849292</c:v>
                </c:pt>
                <c:pt idx="550" formatCode="_(&quot;$&quot;* #,##0.00_);_(&quot;$&quot;* \(#,##0.00\);_(&quot;$&quot;* &quot;-&quot;??_);_(@_)">
                  <c:v>30854.662551052406</c:v>
                </c:pt>
                <c:pt idx="551" formatCode="_(&quot;$&quot;* #,##0.00_);_(&quot;$&quot;* \(#,##0.00\);_(&quot;$&quot;* &quot;-&quot;??_);_(@_)">
                  <c:v>31029.493670373049</c:v>
                </c:pt>
                <c:pt idx="552" formatCode="_(&quot;$&quot;* #,##0.00_);_(&quot;$&quot;* \(#,##0.00\);_(&quot;$&quot;* &quot;-&quot;??_);_(@_)">
                  <c:v>31017.996334387946</c:v>
                </c:pt>
                <c:pt idx="553" formatCode="_(&quot;$&quot;* #,##0.00_);_(&quot;$&quot;* \(#,##0.00\);_(&quot;$&quot;* &quot;-&quot;??_);_(@_)">
                  <c:v>31179.474339214914</c:v>
                </c:pt>
                <c:pt idx="554" formatCode="_(&quot;$&quot;* #,##0.00_);_(&quot;$&quot;* \(#,##0.00\);_(&quot;$&quot;* &quot;-&quot;??_);_(@_)">
                  <c:v>31113.191647748867</c:v>
                </c:pt>
                <c:pt idx="555" formatCode="_(&quot;$&quot;* #,##0.00_);_(&quot;$&quot;* \(#,##0.00\);_(&quot;$&quot;* &quot;-&quot;??_);_(@_)">
                  <c:v>31187.782954394985</c:v>
                </c:pt>
                <c:pt idx="556" formatCode="_(&quot;$&quot;* #,##0.00_);_(&quot;$&quot;* \(#,##0.00\);_(&quot;$&quot;* &quot;-&quot;??_);_(@_)">
                  <c:v>31008.420055161332</c:v>
                </c:pt>
                <c:pt idx="557" formatCode="_(&quot;$&quot;* #,##0.00_);_(&quot;$&quot;* \(#,##0.00\);_(&quot;$&quot;* &quot;-&quot;??_);_(@_)">
                  <c:v>31284.917026184678</c:v>
                </c:pt>
                <c:pt idx="558" formatCode="_(&quot;$&quot;* #,##0.00_);_(&quot;$&quot;* \(#,##0.00\);_(&quot;$&quot;* &quot;-&quot;??_);_(@_)">
                  <c:v>31522.139650870842</c:v>
                </c:pt>
                <c:pt idx="559" formatCode="_(&quot;$&quot;* #,##0.00_);_(&quot;$&quot;* \(#,##0.00\);_(&quot;$&quot;* &quot;-&quot;??_);_(@_)">
                  <c:v>31453.867049934561</c:v>
                </c:pt>
                <c:pt idx="560" formatCode="_(&quot;$&quot;* #,##0.00_);_(&quot;$&quot;* \(#,##0.00\);_(&quot;$&quot;* &quot;-&quot;??_);_(@_)">
                  <c:v>31509.432954658889</c:v>
                </c:pt>
                <c:pt idx="561" formatCode="_(&quot;$&quot;* #,##0.00_);_(&quot;$&quot;* \(#,##0.00\);_(&quot;$&quot;* &quot;-&quot;??_);_(@_)">
                  <c:v>31561.761914895633</c:v>
                </c:pt>
                <c:pt idx="562" formatCode="_(&quot;$&quot;* #,##0.00_);_(&quot;$&quot;* \(#,##0.00\);_(&quot;$&quot;* &quot;-&quot;??_);_(@_)">
                  <c:v>31785.258062936788</c:v>
                </c:pt>
                <c:pt idx="563" formatCode="_(&quot;$&quot;* #,##0.00_);_(&quot;$&quot;* \(#,##0.00\);_(&quot;$&quot;* &quot;-&quot;??_);_(@_)">
                  <c:v>31768.718750210799</c:v>
                </c:pt>
                <c:pt idx="564" formatCode="_(&quot;$&quot;* #,##0.00_);_(&quot;$&quot;* \(#,##0.00\);_(&quot;$&quot;* &quot;-&quot;??_);_(@_)">
                  <c:v>31857.894331495183</c:v>
                </c:pt>
                <c:pt idx="565" formatCode="_(&quot;$&quot;* #,##0.00_);_(&quot;$&quot;* \(#,##0.00\);_(&quot;$&quot;* &quot;-&quot;??_);_(@_)">
                  <c:v>31926.033108238567</c:v>
                </c:pt>
                <c:pt idx="566" formatCode="_(&quot;$&quot;* #,##0.00_);_(&quot;$&quot;* \(#,##0.00\);_(&quot;$&quot;* &quot;-&quot;??_);_(@_)">
                  <c:v>32401.629291255518</c:v>
                </c:pt>
                <c:pt idx="567" formatCode="_(&quot;$&quot;* #,##0.00_);_(&quot;$&quot;* \(#,##0.00\);_(&quot;$&quot;* &quot;-&quot;??_);_(@_)">
                  <c:v>32698.588569405463</c:v>
                </c:pt>
                <c:pt idx="568" formatCode="_(&quot;$&quot;* #,##0.00_);_(&quot;$&quot;* \(#,##0.00\);_(&quot;$&quot;* &quot;-&quot;??_);_(@_)">
                  <c:v>32714.569577514325</c:v>
                </c:pt>
                <c:pt idx="569" formatCode="_(&quot;$&quot;* #,##0.00_);_(&quot;$&quot;* \(#,##0.00\);_(&quot;$&quot;* &quot;-&quot;??_);_(@_)">
                  <c:v>32704.537234960422</c:v>
                </c:pt>
                <c:pt idx="570" formatCode="_(&quot;$&quot;* #,##0.00_);_(&quot;$&quot;* \(#,##0.00\);_(&quot;$&quot;* &quot;-&quot;??_);_(@_)">
                  <c:v>32752.678388113887</c:v>
                </c:pt>
                <c:pt idx="571" formatCode="_(&quot;$&quot;* #,##0.00_);_(&quot;$&quot;* \(#,##0.00\);_(&quot;$&quot;* &quot;-&quot;??_);_(@_)">
                  <c:v>32869.92180715852</c:v>
                </c:pt>
                <c:pt idx="572" formatCode="_(&quot;$&quot;* #,##0.00_);_(&quot;$&quot;* \(#,##0.00\);_(&quot;$&quot;* &quot;-&quot;??_);_(@_)">
                  <c:v>32720.268820450368</c:v>
                </c:pt>
                <c:pt idx="573" formatCode="_(&quot;$&quot;* #,##0.00_);_(&quot;$&quot;* \(#,##0.00\);_(&quot;$&quot;* &quot;-&quot;??_);_(@_)">
                  <c:v>32769.664945341763</c:v>
                </c:pt>
                <c:pt idx="574" formatCode="_(&quot;$&quot;* #,##0.00_);_(&quot;$&quot;* \(#,##0.00\);_(&quot;$&quot;* &quot;-&quot;??_);_(@_)">
                  <c:v>32845.391252826535</c:v>
                </c:pt>
                <c:pt idx="575" formatCode="_(&quot;$&quot;* #,##0.00_);_(&quot;$&quot;* \(#,##0.00\);_(&quot;$&quot;* &quot;-&quot;??_);_(@_)">
                  <c:v>32890.685922729441</c:v>
                </c:pt>
                <c:pt idx="576" formatCode="_(&quot;$&quot;* #,##0.00_);_(&quot;$&quot;* \(#,##0.00\);_(&quot;$&quot;* &quot;-&quot;??_);_(@_)">
                  <c:v>32870.324668548295</c:v>
                </c:pt>
                <c:pt idx="577" formatCode="_(&quot;$&quot;* #,##0.00_);_(&quot;$&quot;* \(#,##0.00\);_(&quot;$&quot;* &quot;-&quot;??_);_(@_)">
                  <c:v>32887.393420800079</c:v>
                </c:pt>
                <c:pt idx="578" formatCode="_(&quot;$&quot;* #,##0.00_);_(&quot;$&quot;* \(#,##0.00\);_(&quot;$&quot;* &quot;-&quot;??_);_(@_)">
                  <c:v>32945.149743963426</c:v>
                </c:pt>
                <c:pt idx="579" formatCode="_(&quot;$&quot;* #,##0.00_);_(&quot;$&quot;* \(#,##0.00\);_(&quot;$&quot;* &quot;-&quot;??_);_(@_)">
                  <c:v>32836.631024484319</c:v>
                </c:pt>
                <c:pt idx="580" formatCode="_(&quot;$&quot;* #,##0.00_);_(&quot;$&quot;* \(#,##0.00\);_(&quot;$&quot;* &quot;-&quot;??_);_(@_)">
                  <c:v>32826.592997653017</c:v>
                </c:pt>
                <c:pt idx="581" formatCode="_(&quot;$&quot;* #,##0.00_);_(&quot;$&quot;* \(#,##0.00\);_(&quot;$&quot;* &quot;-&quot;??_);_(@_)">
                  <c:v>32907.207785546503</c:v>
                </c:pt>
                <c:pt idx="582" formatCode="_(&quot;$&quot;* #,##0.00_);_(&quot;$&quot;* \(#,##0.00\);_(&quot;$&quot;* &quot;-&quot;??_);_(@_)">
                  <c:v>33038.998677331525</c:v>
                </c:pt>
                <c:pt idx="583" formatCode="_(&quot;$&quot;* #,##0.00_);_(&quot;$&quot;* \(#,##0.00\);_(&quot;$&quot;* &quot;-&quot;??_);_(@_)">
                  <c:v>32939.720337704821</c:v>
                </c:pt>
                <c:pt idx="584" formatCode="_(&quot;$&quot;* #,##0.00_);_(&quot;$&quot;* \(#,##0.00\);_(&quot;$&quot;* &quot;-&quot;??_);_(@_)">
                  <c:v>33136.65092355333</c:v>
                </c:pt>
                <c:pt idx="585" formatCode="_(&quot;$&quot;* #,##0.00_);_(&quot;$&quot;* \(#,##0.00\);_(&quot;$&quot;* &quot;-&quot;??_);_(@_)">
                  <c:v>33035.983526145043</c:v>
                </c:pt>
                <c:pt idx="586" formatCode="_(&quot;$&quot;* #,##0.00_);_(&quot;$&quot;* \(#,##0.00\);_(&quot;$&quot;* &quot;-&quot;??_);_(@_)">
                  <c:v>33124.198935741966</c:v>
                </c:pt>
                <c:pt idx="587" formatCode="_(&quot;$&quot;* #,##0.00_);_(&quot;$&quot;* \(#,##0.00\);_(&quot;$&quot;* &quot;-&quot;??_);_(@_)">
                  <c:v>33099.198500901366</c:v>
                </c:pt>
                <c:pt idx="588" formatCode="_(&quot;$&quot;* #,##0.00_);_(&quot;$&quot;* \(#,##0.00\);_(&quot;$&quot;* &quot;-&quot;??_);_(@_)">
                  <c:v>32932.559369043294</c:v>
                </c:pt>
                <c:pt idx="589" formatCode="_(&quot;$&quot;* #,##0.00_);_(&quot;$&quot;* \(#,##0.00\);_(&quot;$&quot;* &quot;-&quot;??_);_(@_)">
                  <c:v>32862.288791100189</c:v>
                </c:pt>
                <c:pt idx="590" formatCode="_(&quot;$&quot;* #,##0.00_);_(&quot;$&quot;* \(#,##0.00\);_(&quot;$&quot;* &quot;-&quot;??_);_(@_)">
                  <c:v>33033.520422120106</c:v>
                </c:pt>
                <c:pt idx="591" formatCode="_(&quot;$&quot;* #,##0.00_);_(&quot;$&quot;* \(#,##0.00\);_(&quot;$&quot;* &quot;-&quot;??_);_(@_)">
                  <c:v>33345.910352598607</c:v>
                </c:pt>
                <c:pt idx="592" formatCode="_(&quot;$&quot;* #,##0.00_);_(&quot;$&quot;* \(#,##0.00\);_(&quot;$&quot;* &quot;-&quot;??_);_(@_)">
                  <c:v>33660.07204910845</c:v>
                </c:pt>
                <c:pt idx="593" formatCode="_(&quot;$&quot;* #,##0.00_);_(&quot;$&quot;* \(#,##0.00\);_(&quot;$&quot;* &quot;-&quot;??_);_(@_)">
                  <c:v>33660.07204910845</c:v>
                </c:pt>
                <c:pt idx="594" formatCode="_(&quot;$&quot;* #,##0.00_);_(&quot;$&quot;* \(#,##0.00\);_(&quot;$&quot;* &quot;-&quot;??_);_(@_)">
                  <c:v>33433.146526739511</c:v>
                </c:pt>
                <c:pt idx="595" formatCode="_(&quot;$&quot;* #,##0.00_);_(&quot;$&quot;* \(#,##0.00\);_(&quot;$&quot;* &quot;-&quot;??_);_(@_)">
                  <c:v>33340.904039122266</c:v>
                </c:pt>
                <c:pt idx="596" formatCode="_(&quot;$&quot;* #,##0.00_);_(&quot;$&quot;* \(#,##0.00\);_(&quot;$&quot;* &quot;-&quot;??_);_(@_)">
                  <c:v>33437.199721349498</c:v>
                </c:pt>
                <c:pt idx="597" formatCode="_(&quot;$&quot;* #,##0.00_);_(&quot;$&quot;* \(#,##0.00\);_(&quot;$&quot;* &quot;-&quot;??_);_(@_)">
                  <c:v>33319.453344781548</c:v>
                </c:pt>
                <c:pt idx="598" formatCode="_(&quot;$&quot;* #,##0.00_);_(&quot;$&quot;* \(#,##0.00\);_(&quot;$&quot;* &quot;-&quot;??_);_(@_)">
                  <c:v>33176.053661954444</c:v>
                </c:pt>
                <c:pt idx="599" formatCode="_(&quot;$&quot;* #,##0.00_);_(&quot;$&quot;* \(#,##0.00\);_(&quot;$&quot;* &quot;-&quot;??_);_(@_)">
                  <c:v>33361.408044223317</c:v>
                </c:pt>
                <c:pt idx="600" formatCode="_(&quot;$&quot;* #,##0.00_);_(&quot;$&quot;* \(#,##0.00\);_(&quot;$&quot;* &quot;-&quot;??_);_(@_)">
                  <c:v>33346.329761629102</c:v>
                </c:pt>
                <c:pt idx="601" formatCode="_(&quot;$&quot;* #,##0.00_);_(&quot;$&quot;* \(#,##0.00\);_(&quot;$&quot;* &quot;-&quot;??_);_(@_)">
                  <c:v>33355.656121621498</c:v>
                </c:pt>
                <c:pt idx="602" formatCode="_(&quot;$&quot;* #,##0.00_);_(&quot;$&quot;* \(#,##0.00\);_(&quot;$&quot;* &quot;-&quot;??_);_(@_)">
                  <c:v>33247.128923584074</c:v>
                </c:pt>
                <c:pt idx="603" formatCode="_(&quot;$&quot;* #,##0.00_);_(&quot;$&quot;* \(#,##0.00\);_(&quot;$&quot;* &quot;-&quot;??_);_(@_)">
                  <c:v>33409.156524217105</c:v>
                </c:pt>
                <c:pt idx="604" formatCode="_(&quot;$&quot;* #,##0.00_);_(&quot;$&quot;* \(#,##0.00\);_(&quot;$&quot;* &quot;-&quot;??_);_(@_)">
                  <c:v>33311.997337726767</c:v>
                </c:pt>
                <c:pt idx="605" formatCode="_(&quot;$&quot;* #,##0.00_);_(&quot;$&quot;* \(#,##0.00\);_(&quot;$&quot;* &quot;-&quot;??_);_(@_)">
                  <c:v>33303.144334444347</c:v>
                </c:pt>
                <c:pt idx="606" formatCode="_(&quot;$&quot;* #,##0.00_);_(&quot;$&quot;* \(#,##0.00\);_(&quot;$&quot;* &quot;-&quot;??_);_(@_)">
                  <c:v>33667.024119585083</c:v>
                </c:pt>
                <c:pt idx="607" formatCode="_(&quot;$&quot;* #,##0.00_);_(&quot;$&quot;* \(#,##0.00\);_(&quot;$&quot;* &quot;-&quot;??_);_(@_)">
                  <c:v>33587.457638229534</c:v>
                </c:pt>
                <c:pt idx="608" formatCode="_(&quot;$&quot;* #,##0.00_);_(&quot;$&quot;* \(#,##0.00\);_(&quot;$&quot;* &quot;-&quot;??_);_(@_)">
                  <c:v>33477.296220834571</c:v>
                </c:pt>
                <c:pt idx="609" formatCode="_(&quot;$&quot;* #,##0.00_);_(&quot;$&quot;* \(#,##0.00\);_(&quot;$&quot;* &quot;-&quot;??_);_(@_)">
                  <c:v>33478.35472039508</c:v>
                </c:pt>
                <c:pt idx="610" formatCode="_(&quot;$&quot;* #,##0.00_);_(&quot;$&quot;* \(#,##0.00\);_(&quot;$&quot;* &quot;-&quot;??_);_(@_)">
                  <c:v>33449.213496071286</c:v>
                </c:pt>
                <c:pt idx="611" formatCode="_(&quot;$&quot;* #,##0.00_);_(&quot;$&quot;* \(#,##0.00\);_(&quot;$&quot;* &quot;-&quot;??_);_(@_)">
                  <c:v>33569.182760860975</c:v>
                </c:pt>
                <c:pt idx="612" formatCode="_(&quot;$&quot;* #,##0.00_);_(&quot;$&quot;* \(#,##0.00\);_(&quot;$&quot;* &quot;-&quot;??_);_(@_)">
                  <c:v>33335.787175403879</c:v>
                </c:pt>
                <c:pt idx="613" formatCode="_(&quot;$&quot;* #,##0.00_);_(&quot;$&quot;* \(#,##0.00\);_(&quot;$&quot;* &quot;-&quot;??_);_(@_)">
                  <c:v>33373.437910880333</c:v>
                </c:pt>
                <c:pt idx="614" formatCode="_(&quot;$&quot;* #,##0.00_);_(&quot;$&quot;* \(#,##0.00\);_(&quot;$&quot;* &quot;-&quot;??_);_(@_)">
                  <c:v>33532.245677246756</c:v>
                </c:pt>
                <c:pt idx="615" formatCode="_(&quot;$&quot;* #,##0.00_);_(&quot;$&quot;* \(#,##0.00\);_(&quot;$&quot;* &quot;-&quot;??_);_(@_)">
                  <c:v>33676.680859030719</c:v>
                </c:pt>
                <c:pt idx="616" formatCode="_(&quot;$&quot;* #,##0.00_);_(&quot;$&quot;* \(#,##0.00\);_(&quot;$&quot;* &quot;-&quot;??_);_(@_)">
                  <c:v>33699.757024171238</c:v>
                </c:pt>
                <c:pt idx="617" formatCode="_(&quot;$&quot;* #,##0.00_);_(&quot;$&quot;* \(#,##0.00\);_(&quot;$&quot;* &quot;-&quot;??_);_(@_)">
                  <c:v>33902.661772640269</c:v>
                </c:pt>
                <c:pt idx="618" formatCode="_(&quot;$&quot;* #,##0.00_);_(&quot;$&quot;* \(#,##0.00\);_(&quot;$&quot;* &quot;-&quot;??_);_(@_)">
                  <c:v>33782.218450064385</c:v>
                </c:pt>
                <c:pt idx="619" formatCode="_(&quot;$&quot;* #,##0.00_);_(&quot;$&quot;* \(#,##0.00\);_(&quot;$&quot;* &quot;-&quot;??_);_(@_)">
                  <c:v>33844.057498443253</c:v>
                </c:pt>
                <c:pt idx="620" formatCode="_(&quot;$&quot;* #,##0.00_);_(&quot;$&quot;* \(#,##0.00\);_(&quot;$&quot;* &quot;-&quot;??_);_(@_)">
                  <c:v>34048.59182151188</c:v>
                </c:pt>
                <c:pt idx="621" formatCode="_(&quot;$&quot;* #,##0.00_);_(&quot;$&quot;* \(#,##0.00\);_(&quot;$&quot;* &quot;-&quot;??_);_(@_)">
                  <c:v>34029.134394712142</c:v>
                </c:pt>
                <c:pt idx="622" formatCode="_(&quot;$&quot;* #,##0.00_);_(&quot;$&quot;* \(#,##0.00\);_(&quot;$&quot;* &quot;-&quot;??_);_(@_)">
                  <c:v>33983.626298888907</c:v>
                </c:pt>
                <c:pt idx="623" formatCode="_(&quot;$&quot;* #,##0.00_);_(&quot;$&quot;* \(#,##0.00\);_(&quot;$&quot;* &quot;-&quot;??_);_(@_)">
                  <c:v>33985.140930661502</c:v>
                </c:pt>
                <c:pt idx="624" formatCode="_(&quot;$&quot;* #,##0.00_);_(&quot;$&quot;* \(#,##0.00\);_(&quot;$&quot;* &quot;-&quot;??_);_(@_)">
                  <c:v>34428.988001352445</c:v>
                </c:pt>
                <c:pt idx="625" formatCode="_(&quot;$&quot;* #,##0.00_);_(&quot;$&quot;* \(#,##0.00\);_(&quot;$&quot;* &quot;-&quot;??_);_(@_)">
                  <c:v>34290.25915509546</c:v>
                </c:pt>
                <c:pt idx="626" formatCode="_(&quot;$&quot;* #,##0.00_);_(&quot;$&quot;* \(#,##0.00\);_(&quot;$&quot;* &quot;-&quot;??_);_(@_)">
                  <c:v>34535.821713879093</c:v>
                </c:pt>
                <c:pt idx="627" formatCode="_(&quot;$&quot;* #,##0.00_);_(&quot;$&quot;* \(#,##0.00\);_(&quot;$&quot;* &quot;-&quot;??_);_(@_)">
                  <c:v>34621.829955379602</c:v>
                </c:pt>
                <c:pt idx="628" formatCode="_(&quot;$&quot;* #,##0.00_);_(&quot;$&quot;* \(#,##0.00\);_(&quot;$&quot;* &quot;-&quot;??_);_(@_)">
                  <c:v>34702.086106698647</c:v>
                </c:pt>
                <c:pt idx="629" formatCode="_(&quot;$&quot;* #,##0.00_);_(&quot;$&quot;* \(#,##0.00\);_(&quot;$&quot;* &quot;-&quot;??_);_(@_)">
                  <c:v>34805.480714335026</c:v>
                </c:pt>
                <c:pt idx="630" formatCode="_(&quot;$&quot;* #,##0.00_);_(&quot;$&quot;* \(#,##0.00\);_(&quot;$&quot;* &quot;-&quot;??_);_(@_)">
                  <c:v>34862.278997481466</c:v>
                </c:pt>
                <c:pt idx="631" formatCode="_(&quot;$&quot;* #,##0.00_);_(&quot;$&quot;* \(#,##0.00\);_(&quot;$&quot;* &quot;-&quot;??_);_(@_)">
                  <c:v>34950.550670939097</c:v>
                </c:pt>
                <c:pt idx="632" formatCode="_(&quot;$&quot;* #,##0.00_);_(&quot;$&quot;* \(#,##0.00\);_(&quot;$&quot;* &quot;-&quot;??_);_(@_)">
                  <c:v>34929.786147766616</c:v>
                </c:pt>
                <c:pt idx="633" formatCode="_(&quot;$&quot;* #,##0.00_);_(&quot;$&quot;* \(#,##0.00\);_(&quot;$&quot;* &quot;-&quot;??_);_(@_)">
                  <c:v>34841.94408738835</c:v>
                </c:pt>
                <c:pt idx="634" formatCode="_(&quot;$&quot;* #,##0.00_);_(&quot;$&quot;* \(#,##0.00\);_(&quot;$&quot;* &quot;-&quot;??_);_(@_)">
                  <c:v>34854.212823485876</c:v>
                </c:pt>
                <c:pt idx="635" formatCode="_(&quot;$&quot;* #,##0.00_);_(&quot;$&quot;* \(#,##0.00\);_(&quot;$&quot;* &quot;-&quot;??_);_(@_)">
                  <c:v>34900.804861864555</c:v>
                </c:pt>
                <c:pt idx="636" formatCode="_(&quot;$&quot;* #,##0.00_);_(&quot;$&quot;* \(#,##0.00\);_(&quot;$&quot;* &quot;-&quot;??_);_(@_)">
                  <c:v>34924.511034006937</c:v>
                </c:pt>
                <c:pt idx="637" formatCode="_(&quot;$&quot;* #,##0.00_);_(&quot;$&quot;* \(#,##0.00\);_(&quot;$&quot;* &quot;-&quot;??_);_(@_)">
                  <c:v>34929.851272759668</c:v>
                </c:pt>
                <c:pt idx="638" formatCode="_(&quot;$&quot;* #,##0.00_);_(&quot;$&quot;* \(#,##0.00\);_(&quot;$&quot;* &quot;-&quot;??_);_(@_)">
                  <c:v>34985.492051873989</c:v>
                </c:pt>
                <c:pt idx="639" formatCode="_(&quot;$&quot;* #,##0.00_);_(&quot;$&quot;* \(#,##0.00\);_(&quot;$&quot;* &quot;-&quot;??_);_(@_)">
                  <c:v>34924.360663356485</c:v>
                </c:pt>
                <c:pt idx="640" formatCode="_(&quot;$&quot;* #,##0.00_);_(&quot;$&quot;* \(#,##0.00\);_(&quot;$&quot;* &quot;-&quot;??_);_(@_)">
                  <c:v>34989.459341302601</c:v>
                </c:pt>
                <c:pt idx="641" formatCode="_(&quot;$&quot;* #,##0.00_);_(&quot;$&quot;* \(#,##0.00\);_(&quot;$&quot;* &quot;-&quot;??_);_(@_)">
                  <c:v>35070.686415650467</c:v>
                </c:pt>
                <c:pt idx="642" formatCode="_(&quot;$&quot;* #,##0.00_);_(&quot;$&quot;* \(#,##0.00\);_(&quot;$&quot;* &quot;-&quot;??_);_(@_)">
                  <c:v>35013.644664966581</c:v>
                </c:pt>
                <c:pt idx="643" formatCode="_(&quot;$&quot;* #,##0.00_);_(&quot;$&quot;* \(#,##0.00\);_(&quot;$&quot;* &quot;-&quot;??_);_(@_)">
                  <c:v>35017.242135533881</c:v>
                </c:pt>
                <c:pt idx="644" formatCode="_(&quot;$&quot;* #,##0.00_);_(&quot;$&quot;* \(#,##0.00\);_(&quot;$&quot;* &quot;-&quot;??_);_(@_)">
                  <c:v>35098.786237559689</c:v>
                </c:pt>
                <c:pt idx="645" formatCode="_(&quot;$&quot;* #,##0.00_);_(&quot;$&quot;* \(#,##0.00\);_(&quot;$&quot;* &quot;-&quot;??_);_(@_)">
                  <c:v>35156.620293354397</c:v>
                </c:pt>
                <c:pt idx="646" formatCode="_(&quot;$&quot;* #,##0.00_);_(&quot;$&quot;* \(#,##0.00\);_(&quot;$&quot;* &quot;-&quot;??_);_(@_)">
                  <c:v>35200.249129237898</c:v>
                </c:pt>
                <c:pt idx="647" formatCode="_(&quot;$&quot;* #,##0.00_);_(&quot;$&quot;* \(#,##0.00\);_(&quot;$&quot;* &quot;-&quot;??_);_(@_)">
                  <c:v>35020.394704798957</c:v>
                </c:pt>
                <c:pt idx="648" formatCode="_(&quot;$&quot;* #,##0.00_);_(&quot;$&quot;* \(#,##0.00\);_(&quot;$&quot;* &quot;-&quot;??_);_(@_)">
                  <c:v>34934.47523483335</c:v>
                </c:pt>
                <c:pt idx="649" formatCode="_(&quot;$&quot;* #,##0.00_);_(&quot;$&quot;* \(#,##0.00\);_(&quot;$&quot;* &quot;-&quot;??_);_(@_)">
                  <c:v>34931.226823938996</c:v>
                </c:pt>
                <c:pt idx="650" formatCode="_(&quot;$&quot;* #,##0.00_);_(&quot;$&quot;* \(#,##0.00\);_(&quot;$&quot;* &quot;-&quot;??_);_(@_)">
                  <c:v>35007.494778686676</c:v>
                </c:pt>
                <c:pt idx="651" formatCode="_(&quot;$&quot;* #,##0.00_);_(&quot;$&quot;* \(#,##0.00\);_(&quot;$&quot;* &quot;-&quot;??_);_(@_)">
                  <c:v>35122.517889728573</c:v>
                </c:pt>
                <c:pt idx="652" formatCode="_(&quot;$&quot;* #,##0.00_);_(&quot;$&quot;* \(#,##0.00\);_(&quot;$&quot;* &quot;-&quot;??_);_(@_)">
                  <c:v>35053.653985006524</c:v>
                </c:pt>
                <c:pt idx="653" formatCode="_(&quot;$&quot;* #,##0.00_);_(&quot;$&quot;* \(#,##0.00\);_(&quot;$&quot;* &quot;-&quot;??_);_(@_)">
                  <c:v>35418.06848265505</c:v>
                </c:pt>
                <c:pt idx="654" formatCode="_(&quot;$&quot;* #,##0.00_);_(&quot;$&quot;* \(#,##0.00\);_(&quot;$&quot;* &quot;-&quot;??_);_(@_)">
                  <c:v>35499.422682138582</c:v>
                </c:pt>
                <c:pt idx="655" formatCode="_(&quot;$&quot;* #,##0.00_);_(&quot;$&quot;* \(#,##0.00\);_(&quot;$&quot;* &quot;-&quot;??_);_(@_)">
                  <c:v>35522.842587994186</c:v>
                </c:pt>
                <c:pt idx="656" formatCode="_(&quot;$&quot;* #,##0.00_);_(&quot;$&quot;* \(#,##0.00\);_(&quot;$&quot;* &quot;-&quot;??_);_(@_)">
                  <c:v>35557.876390706508</c:v>
                </c:pt>
                <c:pt idx="657" formatCode="_(&quot;$&quot;* #,##0.00_);_(&quot;$&quot;* \(#,##0.00\);_(&quot;$&quot;* &quot;-&quot;??_);_(@_)">
                  <c:v>35517.154660565247</c:v>
                </c:pt>
                <c:pt idx="658" formatCode="_(&quot;$&quot;* #,##0.00_);_(&quot;$&quot;* \(#,##0.00\);_(&quot;$&quot;* &quot;-&quot;??_);_(@_)">
                  <c:v>35489.649614911599</c:v>
                </c:pt>
                <c:pt idx="659" formatCode="_(&quot;$&quot;* #,##0.00_);_(&quot;$&quot;* \(#,##0.00\);_(&quot;$&quot;* &quot;-&quot;??_);_(@_)">
                  <c:v>35587.48553186583</c:v>
                </c:pt>
                <c:pt idx="660" formatCode="_(&quot;$&quot;* #,##0.00_);_(&quot;$&quot;* \(#,##0.00\);_(&quot;$&quot;* &quot;-&quot;??_);_(@_)">
                  <c:v>35435.949208742044</c:v>
                </c:pt>
                <c:pt idx="661" formatCode="_(&quot;$&quot;* #,##0.00_);_(&quot;$&quot;* \(#,##0.00\);_(&quot;$&quot;* &quot;-&quot;??_);_(@_)">
                  <c:v>35549.156755911863</c:v>
                </c:pt>
                <c:pt idx="662" formatCode="_(&quot;$&quot;* #,##0.00_);_(&quot;$&quot;* \(#,##0.00\);_(&quot;$&quot;* &quot;-&quot;??_);_(@_)">
                  <c:v>35576.264212615497</c:v>
                </c:pt>
                <c:pt idx="663" formatCode="_(&quot;$&quot;* #,##0.00_);_(&quot;$&quot;* \(#,##0.00\);_(&quot;$&quot;* &quot;-&quot;??_);_(@_)">
                  <c:v>35480.288776865164</c:v>
                </c:pt>
                <c:pt idx="664" formatCode="_(&quot;$&quot;* #,##0.00_);_(&quot;$&quot;* \(#,##0.00\);_(&quot;$&quot;* &quot;-&quot;??_);_(@_)">
                  <c:v>35535.619251165779</c:v>
                </c:pt>
                <c:pt idx="665" formatCode="_(&quot;$&quot;* #,##0.00_);_(&quot;$&quot;* \(#,##0.00\);_(&quot;$&quot;* &quot;-&quot;??_);_(@_)">
                  <c:v>35402.776436687978</c:v>
                </c:pt>
                <c:pt idx="666" formatCode="_(&quot;$&quot;* #,##0.00_);_(&quot;$&quot;* \(#,##0.00\);_(&quot;$&quot;* &quot;-&quot;??_);_(@_)">
                  <c:v>35484.54394995435</c:v>
                </c:pt>
                <c:pt idx="667" formatCode="_(&quot;$&quot;* #,##0.00_);_(&quot;$&quot;* \(#,##0.00\);_(&quot;$&quot;* &quot;-&quot;??_);_(@_)">
                  <c:v>35431.238369679086</c:v>
                </c:pt>
                <c:pt idx="668" formatCode="_(&quot;$&quot;* #,##0.00_);_(&quot;$&quot;* \(#,##0.00\);_(&quot;$&quot;* &quot;-&quot;??_);_(@_)">
                  <c:v>35421.833718732683</c:v>
                </c:pt>
                <c:pt idx="669" formatCode="_(&quot;$&quot;* #,##0.00_);_(&quot;$&quot;* \(#,##0.00\);_(&quot;$&quot;* &quot;-&quot;??_);_(@_)">
                  <c:v>35378.625489927152</c:v>
                </c:pt>
                <c:pt idx="670" formatCode="_(&quot;$&quot;* #,##0.00_);_(&quot;$&quot;* \(#,##0.00\);_(&quot;$&quot;* &quot;-&quot;??_);_(@_)">
                  <c:v>35451.012697887687</c:v>
                </c:pt>
                <c:pt idx="671" formatCode="_(&quot;$&quot;* #,##0.00_);_(&quot;$&quot;* \(#,##0.00\);_(&quot;$&quot;* &quot;-&quot;??_);_(@_)">
                  <c:v>35318.843281884612</c:v>
                </c:pt>
                <c:pt idx="672" formatCode="_(&quot;$&quot;* #,##0.00_);_(&quot;$&quot;* \(#,##0.00\);_(&quot;$&quot;* &quot;-&quot;??_);_(@_)">
                  <c:v>35391.745562185293</c:v>
                </c:pt>
                <c:pt idx="673" formatCode="_(&quot;$&quot;* #,##0.00_);_(&quot;$&quot;* \(#,##0.00\);_(&quot;$&quot;* &quot;-&quot;??_);_(@_)">
                  <c:v>35493.387437686448</c:v>
                </c:pt>
                <c:pt idx="674" formatCode="_(&quot;$&quot;* #,##0.00_);_(&quot;$&quot;* \(#,##0.00\);_(&quot;$&quot;* &quot;-&quot;??_);_(@_)">
                  <c:v>35494.350558283768</c:v>
                </c:pt>
                <c:pt idx="675" formatCode="_(&quot;$&quot;* #,##0.00_);_(&quot;$&quot;* \(#,##0.00\);_(&quot;$&quot;* &quot;-&quot;??_);_(@_)">
                  <c:v>35558.999727636648</c:v>
                </c:pt>
                <c:pt idx="676" formatCode="_(&quot;$&quot;* #,##0.00_);_(&quot;$&quot;* \(#,##0.00\);_(&quot;$&quot;* &quot;-&quot;??_);_(@_)">
                  <c:v>35613.999217707606</c:v>
                </c:pt>
                <c:pt idx="677" formatCode="_(&quot;$&quot;* #,##0.00_);_(&quot;$&quot;* \(#,##0.00\);_(&quot;$&quot;* &quot;-&quot;??_);_(@_)">
                  <c:v>35484.717242812803</c:v>
                </c:pt>
                <c:pt idx="678" formatCode="_(&quot;$&quot;* #,##0.00_);_(&quot;$&quot;* \(#,##0.00\);_(&quot;$&quot;* &quot;-&quot;??_);_(@_)">
                  <c:v>35559.478711901807</c:v>
                </c:pt>
                <c:pt idx="679" formatCode="_(&quot;$&quot;* #,##0.00_);_(&quot;$&quot;* \(#,##0.00\);_(&quot;$&quot;* &quot;-&quot;??_);_(@_)">
                  <c:v>35522.086154404111</c:v>
                </c:pt>
                <c:pt idx="680" formatCode="_(&quot;$&quot;* #,##0.00_);_(&quot;$&quot;* \(#,##0.00\);_(&quot;$&quot;* &quot;-&quot;??_);_(@_)">
                  <c:v>35473.413439831565</c:v>
                </c:pt>
                <c:pt idx="681" formatCode="_(&quot;$&quot;* #,##0.00_);_(&quot;$&quot;* \(#,##0.00\);_(&quot;$&quot;* &quot;-&quot;??_);_(@_)">
                  <c:v>35524.239888606688</c:v>
                </c:pt>
                <c:pt idx="682" formatCode="_(&quot;$&quot;* #,##0.00_);_(&quot;$&quot;* \(#,##0.00\);_(&quot;$&quot;* &quot;-&quot;??_);_(@_)">
                  <c:v>35574.335631680289</c:v>
                </c:pt>
                <c:pt idx="683" formatCode="_(&quot;$&quot;* #,##0.00_);_(&quot;$&quot;* \(#,##0.00\);_(&quot;$&quot;* &quot;-&quot;??_);_(@_)">
                  <c:v>35498.80258691762</c:v>
                </c:pt>
                <c:pt idx="684" formatCode="_(&quot;$&quot;* #,##0.00_);_(&quot;$&quot;* \(#,##0.00\);_(&quot;$&quot;* &quot;-&quot;??_);_(@_)">
                  <c:v>35513.502221041366</c:v>
                </c:pt>
                <c:pt idx="685" formatCode="_(&quot;$&quot;* #,##0.00_);_(&quot;$&quot;* \(#,##0.00\);_(&quot;$&quot;* &quot;-&quot;??_);_(@_)">
                  <c:v>35800.455249894578</c:v>
                </c:pt>
                <c:pt idx="686" formatCode="_(&quot;$&quot;* #,##0.00_);_(&quot;$&quot;* \(#,##0.00\);_(&quot;$&quot;* &quot;-&quot;??_);_(@_)">
                  <c:v>35771.878703324786</c:v>
                </c:pt>
                <c:pt idx="687" formatCode="_(&quot;$&quot;* #,##0.00_);_(&quot;$&quot;* \(#,##0.00\);_(&quot;$&quot;* &quot;-&quot;??_);_(@_)">
                  <c:v>35566.258824140219</c:v>
                </c:pt>
                <c:pt idx="688" formatCode="_(&quot;$&quot;* #,##0.00_);_(&quot;$&quot;* \(#,##0.00\);_(&quot;$&quot;* &quot;-&quot;??_);_(@_)">
                  <c:v>35555.574177065799</c:v>
                </c:pt>
                <c:pt idx="689" formatCode="_(&quot;$&quot;* #,##0.00_);_(&quot;$&quot;* \(#,##0.00\);_(&quot;$&quot;* &quot;-&quot;??_);_(@_)">
                  <c:v>35748.271465217163</c:v>
                </c:pt>
                <c:pt idx="690" formatCode="_(&quot;$&quot;* #,##0.00_);_(&quot;$&quot;* \(#,##0.00\);_(&quot;$&quot;* &quot;-&quot;??_);_(@_)">
                  <c:v>35961.777503642843</c:v>
                </c:pt>
                <c:pt idx="691" formatCode="_(&quot;$&quot;* #,##0.00_);_(&quot;$&quot;* \(#,##0.00\);_(&quot;$&quot;* &quot;-&quot;??_);_(@_)">
                  <c:v>36117.413783764787</c:v>
                </c:pt>
                <c:pt idx="692" formatCode="_(&quot;$&quot;* #,##0.00_);_(&quot;$&quot;* \(#,##0.00\);_(&quot;$&quot;* &quot;-&quot;??_);_(@_)">
                  <c:v>36498.009004913256</c:v>
                </c:pt>
                <c:pt idx="693" formatCode="_(&quot;$&quot;* #,##0.00_);_(&quot;$&quot;* \(#,##0.00\);_(&quot;$&quot;* &quot;-&quot;??_);_(@_)">
                  <c:v>36652.721825756402</c:v>
                </c:pt>
                <c:pt idx="694" formatCode="_(&quot;$&quot;* #,##0.00_);_(&quot;$&quot;* \(#,##0.00\);_(&quot;$&quot;* &quot;-&quot;??_);_(@_)">
                  <c:v>36706.649972451851</c:v>
                </c:pt>
                <c:pt idx="695" formatCode="_(&quot;$&quot;* #,##0.00_);_(&quot;$&quot;* \(#,##0.00\);_(&quot;$&quot;* &quot;-&quot;??_);_(@_)">
                  <c:v>36865.821881416814</c:v>
                </c:pt>
                <c:pt idx="696" formatCode="_(&quot;$&quot;* #,##0.00_);_(&quot;$&quot;* \(#,##0.00\);_(&quot;$&quot;* &quot;-&quot;??_);_(@_)">
                  <c:v>36739.880975228494</c:v>
                </c:pt>
                <c:pt idx="697" formatCode="_(&quot;$&quot;* #,##0.00_);_(&quot;$&quot;* \(#,##0.00\);_(&quot;$&quot;* &quot;-&quot;??_);_(@_)">
                  <c:v>36788.72292725314</c:v>
                </c:pt>
                <c:pt idx="698" formatCode="_(&quot;$&quot;* #,##0.00_);_(&quot;$&quot;* \(#,##0.00\);_(&quot;$&quot;* &quot;-&quot;??_);_(@_)">
                  <c:v>36896.765253076723</c:v>
                </c:pt>
                <c:pt idx="699" formatCode="_(&quot;$&quot;* #,##0.00_);_(&quot;$&quot;* \(#,##0.00\);_(&quot;$&quot;* &quot;-&quot;??_);_(@_)">
                  <c:v>37051.532757147208</c:v>
                </c:pt>
                <c:pt idx="700" formatCode="_(&quot;$&quot;* #,##0.00_);_(&quot;$&quot;* \(#,##0.00\);_(&quot;$&quot;* &quot;-&quot;??_);_(@_)">
                  <c:v>36974.742807009236</c:v>
                </c:pt>
                <c:pt idx="701" formatCode="_(&quot;$&quot;* #,##0.00_);_(&quot;$&quot;* \(#,##0.00\);_(&quot;$&quot;* &quot;-&quot;??_);_(@_)">
                  <c:v>36958.459486835054</c:v>
                </c:pt>
                <c:pt idx="702" formatCode="_(&quot;$&quot;* #,##0.00_);_(&quot;$&quot;* \(#,##0.00\);_(&quot;$&quot;* &quot;-&quot;??_);_(@_)">
                  <c:v>36980.188217074508</c:v>
                </c:pt>
                <c:pt idx="703" formatCode="_(&quot;$&quot;* #,##0.00_);_(&quot;$&quot;* \(#,##0.00\);_(&quot;$&quot;* &quot;-&quot;??_);_(@_)">
                  <c:v>37099.252733031411</c:v>
                </c:pt>
                <c:pt idx="704" formatCode="_(&quot;$&quot;* #,##0.00_);_(&quot;$&quot;* \(#,##0.00\);_(&quot;$&quot;* &quot;-&quot;??_);_(@_)">
                  <c:v>37000.010122320818</c:v>
                </c:pt>
                <c:pt idx="705" formatCode="_(&quot;$&quot;* #,##0.00_);_(&quot;$&quot;* \(#,##0.00\);_(&quot;$&quot;* &quot;-&quot;??_);_(@_)">
                  <c:v>37228.906813314774</c:v>
                </c:pt>
                <c:pt idx="706" formatCode="_(&quot;$&quot;* #,##0.00_);_(&quot;$&quot;* \(#,##0.00\);_(&quot;$&quot;* &quot;-&quot;??_);_(@_)">
                  <c:v>37376.542353041055</c:v>
                </c:pt>
                <c:pt idx="707" formatCode="_(&quot;$&quot;* #,##0.00_);_(&quot;$&quot;* \(#,##0.00\);_(&quot;$&quot;* &quot;-&quot;??_);_(@_)">
                  <c:v>37417.557928732735</c:v>
                </c:pt>
                <c:pt idx="708" formatCode="_(&quot;$&quot;* #,##0.00_);_(&quot;$&quot;* \(#,##0.00\);_(&quot;$&quot;* &quot;-&quot;??_);_(@_)">
                  <c:v>37582.632369510189</c:v>
                </c:pt>
                <c:pt idx="709" formatCode="_(&quot;$&quot;* #,##0.00_);_(&quot;$&quot;* \(#,##0.00\);_(&quot;$&quot;* &quot;-&quot;??_);_(@_)">
                  <c:v>37777.786508307203</c:v>
                </c:pt>
                <c:pt idx="710" formatCode="_(&quot;$&quot;* #,##0.00_);_(&quot;$&quot;* \(#,##0.00\);_(&quot;$&quot;* &quot;-&quot;??_);_(@_)">
                  <c:v>38013.657302912245</c:v>
                </c:pt>
                <c:pt idx="711" formatCode="_(&quot;$&quot;* #,##0.00_);_(&quot;$&quot;* \(#,##0.00\);_(&quot;$&quot;* &quot;-&quot;??_);_(@_)">
                  <c:v>37896.78606460811</c:v>
                </c:pt>
                <c:pt idx="712" formatCode="_(&quot;$&quot;* #,##0.00_);_(&quot;$&quot;* \(#,##0.00\);_(&quot;$&quot;* &quot;-&quot;??_);_(@_)">
                  <c:v>38165.992207133699</c:v>
                </c:pt>
                <c:pt idx="713" formatCode="_(&quot;$&quot;* #,##0.00_);_(&quot;$&quot;* \(#,##0.00\);_(&quot;$&quot;* &quot;-&quot;??_);_(@_)">
                  <c:v>38121.049225225543</c:v>
                </c:pt>
                <c:pt idx="714" formatCode="_(&quot;$&quot;* #,##0.00_);_(&quot;$&quot;* \(#,##0.00\);_(&quot;$&quot;* &quot;-&quot;??_);_(@_)">
                  <c:v>37842.885108396607</c:v>
                </c:pt>
                <c:pt idx="715" formatCode="_(&quot;$&quot;* #,##0.00_);_(&quot;$&quot;* \(#,##0.00\);_(&quot;$&quot;* &quot;-&quot;??_);_(@_)">
                  <c:v>37962.882791322903</c:v>
                </c:pt>
                <c:pt idx="716" formatCode="_(&quot;$&quot;* #,##0.00_);_(&quot;$&quot;* \(#,##0.00\);_(&quot;$&quot;* &quot;-&quot;??_);_(@_)">
                  <c:v>37957.526825890367</c:v>
                </c:pt>
                <c:pt idx="717" formatCode="_(&quot;$&quot;* #,##0.00_);_(&quot;$&quot;* \(#,##0.00\);_(&quot;$&quot;* &quot;-&quot;??_);_(@_)">
                  <c:v>37976.478312161074</c:v>
                </c:pt>
                <c:pt idx="718" formatCode="_(&quot;$&quot;* #,##0.00_);_(&quot;$&quot;* \(#,##0.00\);_(&quot;$&quot;* &quot;-&quot;??_);_(@_)">
                  <c:v>38257.55714575055</c:v>
                </c:pt>
                <c:pt idx="719" formatCode="_(&quot;$&quot;* #,##0.00_);_(&quot;$&quot;* \(#,##0.00\);_(&quot;$&quot;* &quot;-&quot;??_);_(@_)">
                  <c:v>38442.866531365427</c:v>
                </c:pt>
                <c:pt idx="720" formatCode="_(&quot;$&quot;* #,##0.00_);_(&quot;$&quot;* \(#,##0.00\);_(&quot;$&quot;* &quot;-&quot;??_);_(@_)">
                  <c:v>38449.82762835727</c:v>
                </c:pt>
                <c:pt idx="721" formatCode="_(&quot;$&quot;* #,##0.00_);_(&quot;$&quot;* \(#,##0.00\);_(&quot;$&quot;* &quot;-&quot;??_);_(@_)">
                  <c:v>38520.99699527608</c:v>
                </c:pt>
                <c:pt idx="722" formatCode="_(&quot;$&quot;* #,##0.00_);_(&quot;$&quot;* \(#,##0.00\);_(&quot;$&quot;* &quot;-&quot;??_);_(@_)">
                  <c:v>38490.751153032295</c:v>
                </c:pt>
                <c:pt idx="723" formatCode="_(&quot;$&quot;* #,##0.00_);_(&quot;$&quot;* \(#,##0.00\);_(&quot;$&quot;* &quot;-&quot;??_);_(@_)">
                  <c:v>38434.710047623099</c:v>
                </c:pt>
                <c:pt idx="724" formatCode="_(&quot;$&quot;* #,##0.00_);_(&quot;$&quot;* \(#,##0.00\);_(&quot;$&quot;* &quot;-&quot;??_);_(@_)">
                  <c:v>38430.092681388043</c:v>
                </c:pt>
                <c:pt idx="725" formatCode="_(&quot;$&quot;* #,##0.00_);_(&quot;$&quot;* \(#,##0.00\);_(&quot;$&quot;* &quot;-&quot;??_);_(@_)">
                  <c:v>38373.381111607458</c:v>
                </c:pt>
                <c:pt idx="726" formatCode="_(&quot;$&quot;* #,##0.00_);_(&quot;$&quot;* \(#,##0.00\);_(&quot;$&quot;* &quot;-&quot;??_);_(@_)">
                  <c:v>38421.698179565588</c:v>
                </c:pt>
                <c:pt idx="727" formatCode="_(&quot;$&quot;* #,##0.00_);_(&quot;$&quot;* \(#,##0.00\);_(&quot;$&quot;* &quot;-&quot;??_);_(@_)">
                  <c:v>38581.194754074328</c:v>
                </c:pt>
                <c:pt idx="728" formatCode="_(&quot;$&quot;* #,##0.00_);_(&quot;$&quot;* \(#,##0.00\);_(&quot;$&quot;* &quot;-&quot;??_);_(@_)">
                  <c:v>38504.388005691391</c:v>
                </c:pt>
                <c:pt idx="729" formatCode="_(&quot;$&quot;* #,##0.00_);_(&quot;$&quot;* \(#,##0.00\);_(&quot;$&quot;* &quot;-&quot;??_);_(@_)">
                  <c:v>38420.976035301559</c:v>
                </c:pt>
                <c:pt idx="730" formatCode="_(&quot;$&quot;* #,##0.00_);_(&quot;$&quot;* \(#,##0.00\);_(&quot;$&quot;* &quot;-&quot;??_);_(@_)">
                  <c:v>38489.2401879752</c:v>
                </c:pt>
                <c:pt idx="731" formatCode="_(&quot;$&quot;* #,##0.00_);_(&quot;$&quot;* \(#,##0.00\);_(&quot;$&quot;* &quot;-&quot;??_);_(@_)">
                  <c:v>38414.121674630558</c:v>
                </c:pt>
                <c:pt idx="732" formatCode="_(&quot;$&quot;* #,##0.00_);_(&quot;$&quot;* \(#,##0.00\);_(&quot;$&quot;* &quot;-&quot;??_);_(@_)">
                  <c:v>38562.781505467326</c:v>
                </c:pt>
                <c:pt idx="733" formatCode="_(&quot;$&quot;* #,##0.00_);_(&quot;$&quot;* \(#,##0.00\);_(&quot;$&quot;* &quot;-&quot;??_);_(@_)">
                  <c:v>38735.289103509749</c:v>
                </c:pt>
                <c:pt idx="734" formatCode="_(&quot;$&quot;* #,##0.00_);_(&quot;$&quot;* \(#,##0.00\);_(&quot;$&quot;* &quot;-&quot;??_);_(@_)">
                  <c:v>38771.028953890323</c:v>
                </c:pt>
                <c:pt idx="735" formatCode="_(&quot;$&quot;* #,##0.00_);_(&quot;$&quot;* \(#,##0.00\);_(&quot;$&quot;* &quot;-&quot;??_);_(@_)">
                  <c:v>38801.650344462199</c:v>
                </c:pt>
                <c:pt idx="736" formatCode="_(&quot;$&quot;* #,##0.00_);_(&quot;$&quot;* \(#,##0.00\);_(&quot;$&quot;* &quot;-&quot;??_);_(@_)">
                  <c:v>38938.911026074173</c:v>
                </c:pt>
                <c:pt idx="737" formatCode="_(&quot;$&quot;* #,##0.00_);_(&quot;$&quot;* \(#,##0.00\);_(&quot;$&quot;* &quot;-&quot;??_);_(@_)">
                  <c:v>39142.863355357113</c:v>
                </c:pt>
                <c:pt idx="738" formatCode="_(&quot;$&quot;* #,##0.00_);_(&quot;$&quot;* \(#,##0.00\);_(&quot;$&quot;* &quot;-&quot;??_);_(@_)">
                  <c:v>39247.290652847551</c:v>
                </c:pt>
                <c:pt idx="739" formatCode="_(&quot;$&quot;* #,##0.00_);_(&quot;$&quot;* \(#,##0.00\);_(&quot;$&quot;* &quot;-&quot;??_);_(@_)">
                  <c:v>39626.152358863001</c:v>
                </c:pt>
                <c:pt idx="740" formatCode="_(&quot;$&quot;* #,##0.00_);_(&quot;$&quot;* \(#,##0.00\);_(&quot;$&quot;* &quot;-&quot;??_);_(@_)">
                  <c:v>39581.703940430307</c:v>
                </c:pt>
                <c:pt idx="741" formatCode="_(&quot;$&quot;* #,##0.00_);_(&quot;$&quot;* \(#,##0.00\);_(&quot;$&quot;* &quot;-&quot;??_);_(@_)">
                  <c:v>39705.499137343053</c:v>
                </c:pt>
                <c:pt idx="742" formatCode="_(&quot;$&quot;* #,##0.00_);_(&quot;$&quot;* \(#,##0.00\);_(&quot;$&quot;* &quot;-&quot;??_);_(@_)">
                  <c:v>39903.508374813006</c:v>
                </c:pt>
                <c:pt idx="743" formatCode="_(&quot;$&quot;* #,##0.00_);_(&quot;$&quot;* \(#,##0.00\);_(&quot;$&quot;* &quot;-&quot;??_);_(@_)">
                  <c:v>40405.281468533678</c:v>
                </c:pt>
                <c:pt idx="744" formatCode="_(&quot;$&quot;* #,##0.00_);_(&quot;$&quot;* \(#,##0.00\);_(&quot;$&quot;* &quot;-&quot;??_);_(@_)">
                  <c:v>40845.618559607392</c:v>
                </c:pt>
                <c:pt idx="745" formatCode="_(&quot;$&quot;* #,##0.00_);_(&quot;$&quot;* \(#,##0.00\);_(&quot;$&quot;* &quot;-&quot;??_);_(@_)">
                  <c:v>40923.367970236817</c:v>
                </c:pt>
                <c:pt idx="746" formatCode="_(&quot;$&quot;* #,##0.00_);_(&quot;$&quot;* \(#,##0.00\);_(&quot;$&quot;* &quot;-&quot;??_);_(@_)">
                  <c:v>41133.092857863834</c:v>
                </c:pt>
                <c:pt idx="747" formatCode="_(&quot;$&quot;* #,##0.00_);_(&quot;$&quot;* \(#,##0.00\);_(&quot;$&quot;* &quot;-&quot;??_);_(@_)">
                  <c:v>41106.20042676614</c:v>
                </c:pt>
                <c:pt idx="748" formatCode="_(&quot;$&quot;* #,##0.00_);_(&quot;$&quot;* \(#,##0.00\);_(&quot;$&quot;* &quot;-&quot;??_);_(@_)">
                  <c:v>40885.072319642328</c:v>
                </c:pt>
                <c:pt idx="749" formatCode="_(&quot;$&quot;* #,##0.00_);_(&quot;$&quot;* \(#,##0.00\);_(&quot;$&quot;* &quot;-&quot;??_);_(@_)">
                  <c:v>40963.026084120014</c:v>
                </c:pt>
                <c:pt idx="750" formatCode="_(&quot;$&quot;* #,##0.00_);_(&quot;$&quot;* \(#,##0.00\);_(&quot;$&quot;* &quot;-&quot;??_);_(@_)">
                  <c:v>41206.301697237963</c:v>
                </c:pt>
                <c:pt idx="751" formatCode="_(&quot;$&quot;* #,##0.00_);_(&quot;$&quot;* \(#,##0.00\);_(&quot;$&quot;* &quot;-&quot;??_);_(@_)">
                  <c:v>41657.672843550361</c:v>
                </c:pt>
                <c:pt idx="752" formatCode="_(&quot;$&quot;* #,##0.00_);_(&quot;$&quot;* \(#,##0.00\);_(&quot;$&quot;* &quot;-&quot;??_);_(@_)">
                  <c:v>42341.13245000827</c:v>
                </c:pt>
                <c:pt idx="753" formatCode="_(&quot;$&quot;* #,##0.00_);_(&quot;$&quot;* \(#,##0.00\);_(&quot;$&quot;* &quot;-&quot;??_);_(@_)">
                  <c:v>42927.718805940043</c:v>
                </c:pt>
                <c:pt idx="754" formatCode="_(&quot;$&quot;* #,##0.00_);_(&quot;$&quot;* \(#,##0.00\);_(&quot;$&quot;* &quot;-&quot;??_);_(@_)">
                  <c:v>43757.356423728335</c:v>
                </c:pt>
                <c:pt idx="755" formatCode="_(&quot;$&quot;* #,##0.00_);_(&quot;$&quot;* \(#,##0.00\);_(&quot;$&quot;* &quot;-&quot;??_);_(@_)">
                  <c:v>43722.403462394446</c:v>
                </c:pt>
                <c:pt idx="756" formatCode="_(&quot;$&quot;* #,##0.00_);_(&quot;$&quot;* \(#,##0.00\);_(&quot;$&quot;* &quot;-&quot;??_);_(@_)">
                  <c:v>43703.565185372536</c:v>
                </c:pt>
                <c:pt idx="757" formatCode="_(&quot;$&quot;* #,##0.00_);_(&quot;$&quot;* \(#,##0.00\);_(&quot;$&quot;* &quot;-&quot;??_);_(@_)">
                  <c:v>43982.206644671962</c:v>
                </c:pt>
                <c:pt idx="758" formatCode="_(&quot;$&quot;* #,##0.00_);_(&quot;$&quot;* \(#,##0.00\);_(&quot;$&quot;* &quot;-&quot;??_);_(@_)">
                  <c:v>44377.873577125996</c:v>
                </c:pt>
                <c:pt idx="759" formatCode="_(&quot;$&quot;* #,##0.00_);_(&quot;$&quot;* \(#,##0.00\);_(&quot;$&quot;* &quot;-&quot;??_);_(@_)">
                  <c:v>44331.934101847728</c:v>
                </c:pt>
                <c:pt idx="760" formatCode="_(&quot;$&quot;* #,##0.00_);_(&quot;$&quot;* \(#,##0.00\);_(&quot;$&quot;* &quot;-&quot;??_);_(@_)">
                  <c:v>44394.61801347095</c:v>
                </c:pt>
                <c:pt idx="761" formatCode="_(&quot;$&quot;* #,##0.00_);_(&quot;$&quot;* \(#,##0.00\);_(&quot;$&quot;* &quot;-&quot;??_);_(@_)">
                  <c:v>44488.90849510215</c:v>
                </c:pt>
                <c:pt idx="762" formatCode="_(&quot;$&quot;* #,##0.00_);_(&quot;$&quot;* \(#,##0.00\);_(&quot;$&quot;* &quot;-&quot;??_);_(@_)">
                  <c:v>44217.857836138464</c:v>
                </c:pt>
                <c:pt idx="763" formatCode="_(&quot;$&quot;* #,##0.00_);_(&quot;$&quot;* \(#,##0.00\);_(&quot;$&quot;* &quot;-&quot;??_);_(@_)">
                  <c:v>44289.517874931444</c:v>
                </c:pt>
                <c:pt idx="764" formatCode="_(&quot;$&quot;* #,##0.00_);_(&quot;$&quot;* \(#,##0.00\);_(&quot;$&quot;* &quot;-&quot;??_);_(@_)">
                  <c:v>44451.431211607698</c:v>
                </c:pt>
                <c:pt idx="765" formatCode="_(&quot;$&quot;* #,##0.00_);_(&quot;$&quot;* \(#,##0.00\);_(&quot;$&quot;* &quot;-&quot;??_);_(@_)">
                  <c:v>44321.617271664902</c:v>
                </c:pt>
                <c:pt idx="766" formatCode="_(&quot;$&quot;* #,##0.00_);_(&quot;$&quot;* \(#,##0.00\);_(&quot;$&quot;* &quot;-&quot;??_);_(@_)">
                  <c:v>44268.213581437012</c:v>
                </c:pt>
                <c:pt idx="767" formatCode="_(&quot;$&quot;* #,##0.00_);_(&quot;$&quot;* \(#,##0.00\);_(&quot;$&quot;* &quot;-&quot;??_);_(@_)">
                  <c:v>44430.447337750309</c:v>
                </c:pt>
                <c:pt idx="768" formatCode="_(&quot;$&quot;* #,##0.00_);_(&quot;$&quot;* \(#,##0.00\);_(&quot;$&quot;* &quot;-&quot;??_);_(@_)">
                  <c:v>44307.190451056857</c:v>
                </c:pt>
                <c:pt idx="769" formatCode="_(&quot;$&quot;* #,##0.00_);_(&quot;$&quot;* \(#,##0.00\);_(&quot;$&quot;* &quot;-&quot;??_);_(@_)">
                  <c:v>44408.601114417412</c:v>
                </c:pt>
                <c:pt idx="770" formatCode="_(&quot;$&quot;* #,##0.00_);_(&quot;$&quot;* \(#,##0.00\);_(&quot;$&quot;* &quot;-&quot;??_);_(@_)">
                  <c:v>44255.811457253505</c:v>
                </c:pt>
                <c:pt idx="771" formatCode="_(&quot;$&quot;* #,##0.00_);_(&quot;$&quot;* \(#,##0.00\);_(&quot;$&quot;* &quot;-&quot;??_);_(@_)">
                  <c:v>44114.100053438116</c:v>
                </c:pt>
                <c:pt idx="772" formatCode="_(&quot;$&quot;* #,##0.00_);_(&quot;$&quot;* \(#,##0.00\);_(&quot;$&quot;* &quot;-&quot;??_);_(@_)">
                  <c:v>44143.423039769055</c:v>
                </c:pt>
                <c:pt idx="773" formatCode="_(&quot;$&quot;* #,##0.00_);_(&quot;$&quot;* \(#,##0.00\);_(&quot;$&quot;* &quot;-&quot;??_);_(@_)">
                  <c:v>44360.295806406299</c:v>
                </c:pt>
                <c:pt idx="774" formatCode="_(&quot;$&quot;* #,##0.00_);_(&quot;$&quot;* \(#,##0.00\);_(&quot;$&quot;* &quot;-&quot;??_);_(@_)">
                  <c:v>44294.146521524868</c:v>
                </c:pt>
                <c:pt idx="775" formatCode="_(&quot;$&quot;* #,##0.00_);_(&quot;$&quot;* \(#,##0.00\);_(&quot;$&quot;* &quot;-&quot;??_);_(@_)">
                  <c:v>44204.336185470078</c:v>
                </c:pt>
                <c:pt idx="776" formatCode="_(&quot;$&quot;* #,##0.00_);_(&quot;$&quot;* \(#,##0.00\);_(&quot;$&quot;* &quot;-&quot;??_);_(@_)">
                  <c:v>44421.415956707409</c:v>
                </c:pt>
                <c:pt idx="777" formatCode="_(&quot;$&quot;* #,##0.00_);_(&quot;$&quot;* \(#,##0.00\);_(&quot;$&quot;* &quot;-&quot;??_);_(@_)">
                  <c:v>44717.891084374955</c:v>
                </c:pt>
                <c:pt idx="778" formatCode="_(&quot;$&quot;* #,##0.00_);_(&quot;$&quot;* \(#,##0.00\);_(&quot;$&quot;* &quot;-&quot;??_);_(@_)">
                  <c:v>44804.531979943335</c:v>
                </c:pt>
                <c:pt idx="779" formatCode="_(&quot;$&quot;* #,##0.00_);_(&quot;$&quot;* \(#,##0.00\);_(&quot;$&quot;* &quot;-&quot;??_);_(@_)">
                  <c:v>44890.354084817642</c:v>
                </c:pt>
                <c:pt idx="780" formatCode="_(&quot;$&quot;* #,##0.00_);_(&quot;$&quot;* \(#,##0.00\);_(&quot;$&quot;* &quot;-&quot;??_);_(@_)">
                  <c:v>44918.691955514994</c:v>
                </c:pt>
                <c:pt idx="781" formatCode="_(&quot;$&quot;* #,##0.00_);_(&quot;$&quot;* \(#,##0.00\);_(&quot;$&quot;* &quot;-&quot;??_);_(@_)">
                  <c:v>45063.462012235861</c:v>
                </c:pt>
                <c:pt idx="782" formatCode="_(&quot;$&quot;* #,##0.00_);_(&quot;$&quot;* \(#,##0.00\);_(&quot;$&quot;* &quot;-&quot;??_);_(@_)">
                  <c:v>45093.280551427408</c:v>
                </c:pt>
                <c:pt idx="783" formatCode="_(&quot;$&quot;* #,##0.00_);_(&quot;$&quot;* \(#,##0.00\);_(&quot;$&quot;* &quot;-&quot;??_);_(@_)">
                  <c:v>45189.408032101739</c:v>
                </c:pt>
                <c:pt idx="784" formatCode="_(&quot;$&quot;* #,##0.00_);_(&quot;$&quot;* \(#,##0.00\);_(&quot;$&quot;* &quot;-&quot;??_);_(@_)">
                  <c:v>45272.384951271983</c:v>
                </c:pt>
                <c:pt idx="785" formatCode="_(&quot;$&quot;* #,##0.00_);_(&quot;$&quot;* \(#,##0.00\);_(&quot;$&quot;* &quot;-&quot;??_);_(@_)">
                  <c:v>45158.720127211076</c:v>
                </c:pt>
                <c:pt idx="786" formatCode="_(&quot;$&quot;* #,##0.00_);_(&quot;$&quot;* \(#,##0.00\);_(&quot;$&quot;* &quot;-&quot;??_);_(@_)">
                  <c:v>45250.224901083013</c:v>
                </c:pt>
                <c:pt idx="787" formatCode="_(&quot;$&quot;* #,##0.00_);_(&quot;$&quot;* \(#,##0.00\);_(&quot;$&quot;* &quot;-&quot;??_);_(@_)">
                  <c:v>45415.020706913914</c:v>
                </c:pt>
                <c:pt idx="788" formatCode="_(&quot;$&quot;* #,##0.00_);_(&quot;$&quot;* \(#,##0.00\);_(&quot;$&quot;* &quot;-&quot;??_);_(@_)">
                  <c:v>45336.936658024671</c:v>
                </c:pt>
                <c:pt idx="789" formatCode="_(&quot;$&quot;* #,##0.00_);_(&quot;$&quot;* \(#,##0.00\);_(&quot;$&quot;* &quot;-&quot;??_);_(@_)">
                  <c:v>45475.025296365959</c:v>
                </c:pt>
                <c:pt idx="790" formatCode="_(&quot;$&quot;* #,##0.00_);_(&quot;$&quot;* \(#,##0.00\);_(&quot;$&quot;* &quot;-&quot;??_);_(@_)">
                  <c:v>45283.431475266691</c:v>
                </c:pt>
                <c:pt idx="791" formatCode="_(&quot;$&quot;* #,##0.00_);_(&quot;$&quot;* \(#,##0.00\);_(&quot;$&quot;* &quot;-&quot;??_);_(@_)">
                  <c:v>45494.845283575138</c:v>
                </c:pt>
                <c:pt idx="792" formatCode="_(&quot;$&quot;* #,##0.00_);_(&quot;$&quot;* \(#,##0.00\);_(&quot;$&quot;* &quot;-&quot;??_);_(@_)">
                  <c:v>45472.874612264881</c:v>
                </c:pt>
                <c:pt idx="793" formatCode="_(&quot;$&quot;* #,##0.00_);_(&quot;$&quot;* \(#,##0.00\);_(&quot;$&quot;* &quot;-&quot;??_);_(@_)">
                  <c:v>45480.677225931853</c:v>
                </c:pt>
                <c:pt idx="794" formatCode="_(&quot;$&quot;* #,##0.00_);_(&quot;$&quot;* \(#,##0.00\);_(&quot;$&quot;* &quot;-&quot;??_);_(@_)">
                  <c:v>45469.393786226508</c:v>
                </c:pt>
                <c:pt idx="795" formatCode="_(&quot;$&quot;* #,##0.00_);_(&quot;$&quot;* \(#,##0.00\);_(&quot;$&quot;* &quot;-&quot;??_);_(@_)">
                  <c:v>45331.444550384251</c:v>
                </c:pt>
                <c:pt idx="796" formatCode="_(&quot;$&quot;* #,##0.00_);_(&quot;$&quot;* \(#,##0.00\);_(&quot;$&quot;* &quot;-&quot;??_);_(@_)">
                  <c:v>45281.278869888592</c:v>
                </c:pt>
                <c:pt idx="797" formatCode="_(&quot;$&quot;* #,##0.00_);_(&quot;$&quot;* \(#,##0.00\);_(&quot;$&quot;* &quot;-&quot;??_);_(@_)">
                  <c:v>45449.512497800846</c:v>
                </c:pt>
                <c:pt idx="798" formatCode="_(&quot;$&quot;* #,##0.00_);_(&quot;$&quot;* \(#,##0.00\);_(&quot;$&quot;* &quot;-&quot;??_);_(@_)">
                  <c:v>45379.843536686378</c:v>
                </c:pt>
                <c:pt idx="799" formatCode="_(&quot;$&quot;* #,##0.00_);_(&quot;$&quot;* \(#,##0.00\);_(&quot;$&quot;* &quot;-&quot;??_);_(@_)">
                  <c:v>45592.374924496049</c:v>
                </c:pt>
                <c:pt idx="800" formatCode="_(&quot;$&quot;* #,##0.00_);_(&quot;$&quot;* \(#,##0.00\);_(&quot;$&quot;* &quot;-&quot;??_);_(@_)">
                  <c:v>45514.668329078915</c:v>
                </c:pt>
                <c:pt idx="801" formatCode="_(&quot;$&quot;* #,##0.00_);_(&quot;$&quot;* \(#,##0.00\);_(&quot;$&quot;* &quot;-&quot;??_);_(@_)">
                  <c:v>45517.98922559878</c:v>
                </c:pt>
                <c:pt idx="802" formatCode="_(&quot;$&quot;* #,##0.00_);_(&quot;$&quot;* \(#,##0.00\);_(&quot;$&quot;* &quot;-&quot;??_);_(@_)">
                  <c:v>45441.291990048565</c:v>
                </c:pt>
                <c:pt idx="803" formatCode="_(&quot;$&quot;* #,##0.00_);_(&quot;$&quot;* \(#,##0.00\);_(&quot;$&quot;* &quot;-&quot;??_);_(@_)">
                  <c:v>45428.449418096687</c:v>
                </c:pt>
                <c:pt idx="804" formatCode="_(&quot;$&quot;* #,##0.00_);_(&quot;$&quot;* \(#,##0.00\);_(&quot;$&quot;* &quot;-&quot;??_);_(@_)">
                  <c:v>45441.362209241073</c:v>
                </c:pt>
                <c:pt idx="805" formatCode="_(&quot;$&quot;* #,##0.00_);_(&quot;$&quot;* \(#,##0.00\);_(&quot;$&quot;* &quot;-&quot;??_);_(@_)">
                  <c:v>45428.537753938734</c:v>
                </c:pt>
                <c:pt idx="806" formatCode="_(&quot;$&quot;* #,##0.00_);_(&quot;$&quot;* \(#,##0.00\);_(&quot;$&quot;* &quot;-&quot;??_);_(@_)">
                  <c:v>45489.852956557726</c:v>
                </c:pt>
                <c:pt idx="807" formatCode="_(&quot;$&quot;* #,##0.00_);_(&quot;$&quot;* \(#,##0.00\);_(&quot;$&quot;* &quot;-&quot;??_);_(@_)">
                  <c:v>45415.993536280628</c:v>
                </c:pt>
                <c:pt idx="808" formatCode="_(&quot;$&quot;* #,##0.00_);_(&quot;$&quot;* \(#,##0.00\);_(&quot;$&quot;* &quot;-&quot;??_);_(@_)">
                  <c:v>45459.304785836532</c:v>
                </c:pt>
                <c:pt idx="809" formatCode="_(&quot;$&quot;* #,##0.00_);_(&quot;$&quot;* \(#,##0.00\);_(&quot;$&quot;* &quot;-&quot;??_);_(@_)">
                  <c:v>45698.624905527729</c:v>
                </c:pt>
                <c:pt idx="810" formatCode="_(&quot;$&quot;* #,##0.00_);_(&quot;$&quot;* \(#,##0.00\);_(&quot;$&quot;* &quot;-&quot;??_);_(@_)">
                  <c:v>45774.898656592086</c:v>
                </c:pt>
                <c:pt idx="811" formatCode="_(&quot;$&quot;* #,##0.00_);_(&quot;$&quot;* \(#,##0.00\);_(&quot;$&quot;* &quot;-&quot;??_);_(@_)">
                  <c:v>45709.10850404104</c:v>
                </c:pt>
                <c:pt idx="812" formatCode="_(&quot;$&quot;* #,##0.00_);_(&quot;$&quot;* \(#,##0.00\);_(&quot;$&quot;* &quot;-&quot;??_);_(@_)">
                  <c:v>45848.194506397282</c:v>
                </c:pt>
                <c:pt idx="813" formatCode="_(&quot;$&quot;* #,##0.00_);_(&quot;$&quot;* \(#,##0.00\);_(&quot;$&quot;* &quot;-&quot;??_);_(@_)">
                  <c:v>46009.116867330282</c:v>
                </c:pt>
                <c:pt idx="814" formatCode="_(&quot;$&quot;* #,##0.00_);_(&quot;$&quot;* \(#,##0.00\);_(&quot;$&quot;* &quot;-&quot;??_);_(@_)">
                  <c:v>46145.359320694668</c:v>
                </c:pt>
                <c:pt idx="815" formatCode="_(&quot;$&quot;* #,##0.00_);_(&quot;$&quot;* \(#,##0.00\);_(&quot;$&quot;* &quot;-&quot;??_);_(@_)">
                  <c:v>46262.815262581295</c:v>
                </c:pt>
                <c:pt idx="816" formatCode="_(&quot;$&quot;* #,##0.00_);_(&quot;$&quot;* \(#,##0.00\);_(&quot;$&quot;* &quot;-&quot;??_);_(@_)">
                  <c:v>46503.465889798281</c:v>
                </c:pt>
                <c:pt idx="817" formatCode="_(&quot;$&quot;* #,##0.00_);_(&quot;$&quot;* \(#,##0.00\);_(&quot;$&quot;* &quot;-&quot;??_);_(@_)">
                  <c:v>46904.962215310981</c:v>
                </c:pt>
                <c:pt idx="818" formatCode="_(&quot;$&quot;* #,##0.00_);_(&quot;$&quot;* \(#,##0.00\);_(&quot;$&quot;* &quot;-&quot;??_);_(@_)">
                  <c:v>46767.377986757536</c:v>
                </c:pt>
                <c:pt idx="819" formatCode="_(&quot;$&quot;* #,##0.00_);_(&quot;$&quot;* \(#,##0.00\);_(&quot;$&quot;* &quot;-&quot;??_);_(@_)">
                  <c:v>46406.632145424766</c:v>
                </c:pt>
                <c:pt idx="820" formatCode="_(&quot;$&quot;* #,##0.00_);_(&quot;$&quot;* \(#,##0.00\);_(&quot;$&quot;* &quot;-&quot;??_);_(@_)">
                  <c:v>46482.075597909818</c:v>
                </c:pt>
                <c:pt idx="821" formatCode="_(&quot;$&quot;* #,##0.00_);_(&quot;$&quot;* \(#,##0.00\);_(&quot;$&quot;* &quot;-&quot;??_);_(@_)">
                  <c:v>46661.533973926773</c:v>
                </c:pt>
                <c:pt idx="822" formatCode="_(&quot;$&quot;* #,##0.00_);_(&quot;$&quot;* \(#,##0.00\);_(&quot;$&quot;* &quot;-&quot;??_);_(@_)">
                  <c:v>46595.009397129572</c:v>
                </c:pt>
                <c:pt idx="823" formatCode="_(&quot;$&quot;* #,##0.00_);_(&quot;$&quot;* \(#,##0.00\);_(&quot;$&quot;* &quot;-&quot;??_);_(@_)">
                  <c:v>46723.974227168539</c:v>
                </c:pt>
                <c:pt idx="824" formatCode="_(&quot;$&quot;* #,##0.00_);_(&quot;$&quot;* \(#,##0.00\);_(&quot;$&quot;* &quot;-&quot;??_);_(@_)">
                  <c:v>46596.874771896255</c:v>
                </c:pt>
                <c:pt idx="825" formatCode="_(&quot;$&quot;* #,##0.00_);_(&quot;$&quot;* \(#,##0.00\);_(&quot;$&quot;* &quot;-&quot;??_);_(@_)">
                  <c:v>46647.518411072888</c:v>
                </c:pt>
                <c:pt idx="826" formatCode="_(&quot;$&quot;* #,##0.00_);_(&quot;$&quot;* \(#,##0.00\);_(&quot;$&quot;* &quot;-&quot;??_);_(@_)">
                  <c:v>46690.670815485595</c:v>
                </c:pt>
                <c:pt idx="827" formatCode="_(&quot;$&quot;* #,##0.00_);_(&quot;$&quot;* \(#,##0.00\);_(&quot;$&quot;* &quot;-&quot;??_);_(@_)">
                  <c:v>46776.81859621303</c:v>
                </c:pt>
                <c:pt idx="828" formatCode="_(&quot;$&quot;* #,##0.00_);_(&quot;$&quot;* \(#,##0.00\);_(&quot;$&quot;* &quot;-&quot;??_);_(@_)">
                  <c:v>46784.339146115643</c:v>
                </c:pt>
                <c:pt idx="829" formatCode="_(&quot;$&quot;* #,##0.00_);_(&quot;$&quot;* \(#,##0.00\);_(&quot;$&quot;* &quot;-&quot;??_);_(@_)">
                  <c:v>46763.07566390482</c:v>
                </c:pt>
                <c:pt idx="830" formatCode="_(&quot;$&quot;* #,##0.00_);_(&quot;$&quot;* \(#,##0.00\);_(&quot;$&quot;* &quot;-&quot;??_);_(@_)">
                  <c:v>46915.498868987357</c:v>
                </c:pt>
                <c:pt idx="831" formatCode="_(&quot;$&quot;* #,##0.00_);_(&quot;$&quot;* \(#,##0.00\);_(&quot;$&quot;* &quot;-&quot;??_);_(@_)">
                  <c:v>46893.287945424599</c:v>
                </c:pt>
                <c:pt idx="832" formatCode="_(&quot;$&quot;* #,##0.00_);_(&quot;$&quot;* \(#,##0.00\);_(&quot;$&quot;* &quot;-&quot;??_);_(@_)">
                  <c:v>47045.245655128121</c:v>
                </c:pt>
                <c:pt idx="833" formatCode="_(&quot;$&quot;* #,##0.00_);_(&quot;$&quot;* \(#,##0.00\);_(&quot;$&quot;* &quot;-&quot;??_);_(@_)">
                  <c:v>47177.303402083693</c:v>
                </c:pt>
                <c:pt idx="834" formatCode="_(&quot;$&quot;* #,##0.00_);_(&quot;$&quot;* \(#,##0.00\);_(&quot;$&quot;* &quot;-&quot;??_);_(@_)">
                  <c:v>47999.933524147156</c:v>
                </c:pt>
                <c:pt idx="835" formatCode="_(&quot;$&quot;* #,##0.00_);_(&quot;$&quot;* \(#,##0.00\);_(&quot;$&quot;* &quot;-&quot;??_);_(@_)">
                  <c:v>47104.239573471124</c:v>
                </c:pt>
                <c:pt idx="836" formatCode="_(&quot;$&quot;* #,##0.00_);_(&quot;$&quot;* \(#,##0.00\);_(&quot;$&quot;* &quot;-&quot;??_);_(@_)">
                  <c:v>47317.092411938655</c:v>
                </c:pt>
                <c:pt idx="837" formatCode="_(&quot;$&quot;* #,##0.00_);_(&quot;$&quot;* \(#,##0.00\);_(&quot;$&quot;* &quot;-&quot;??_);_(@_)">
                  <c:v>47543.48989730719</c:v>
                </c:pt>
                <c:pt idx="838" formatCode="_(&quot;$&quot;* #,##0.00_);_(&quot;$&quot;* \(#,##0.00\);_(&quot;$&quot;* &quot;-&quot;??_);_(@_)">
                  <c:v>47566.151216250641</c:v>
                </c:pt>
                <c:pt idx="839" formatCode="_(&quot;$&quot;* #,##0.00_);_(&quot;$&quot;* \(#,##0.00\);_(&quot;$&quot;* &quot;-&quot;??_);_(@_)">
                  <c:v>47663.881458909593</c:v>
                </c:pt>
                <c:pt idx="840" formatCode="_(&quot;$&quot;* #,##0.00_);_(&quot;$&quot;* \(#,##0.00\);_(&quot;$&quot;* &quot;-&quot;??_);_(@_)">
                  <c:v>48096.357128451287</c:v>
                </c:pt>
                <c:pt idx="841" formatCode="_(&quot;$&quot;* #,##0.00_);_(&quot;$&quot;* \(#,##0.00\);_(&quot;$&quot;* &quot;-&quot;??_);_(@_)">
                  <c:v>48390.687501964538</c:v>
                </c:pt>
                <c:pt idx="842" formatCode="_(&quot;$&quot;* #,##0.00_);_(&quot;$&quot;* \(#,##0.00\);_(&quot;$&quot;* &quot;-&quot;??_);_(@_)">
                  <c:v>48591.536796047258</c:v>
                </c:pt>
                <c:pt idx="843" formatCode="_(&quot;$&quot;* #,##0.00_);_(&quot;$&quot;* \(#,##0.00\);_(&quot;$&quot;* &quot;-&quot;??_);_(@_)">
                  <c:v>48536.143948549245</c:v>
                </c:pt>
                <c:pt idx="844" formatCode="_(&quot;$&quot;* #,##0.00_);_(&quot;$&quot;* \(#,##0.00\);_(&quot;$&quot;* &quot;-&quot;??_);_(@_)">
                  <c:v>48510.206696312307</c:v>
                </c:pt>
                <c:pt idx="845" formatCode="_(&quot;$&quot;* #,##0.00_);_(&quot;$&quot;* \(#,##0.00\);_(&quot;$&quot;* &quot;-&quot;??_);_(@_)">
                  <c:v>48523.855066324861</c:v>
                </c:pt>
                <c:pt idx="846" formatCode="_(&quot;$&quot;* #,##0.00_);_(&quot;$&quot;* \(#,##0.00\);_(&quot;$&quot;* &quot;-&quot;??_);_(@_)">
                  <c:v>48598.862815771092</c:v>
                </c:pt>
                <c:pt idx="847" formatCode="_(&quot;$&quot;* #,##0.00_);_(&quot;$&quot;* \(#,##0.00\);_(&quot;$&quot;* &quot;-&quot;??_);_(@_)">
                  <c:v>49016.604986421138</c:v>
                </c:pt>
                <c:pt idx="848" formatCode="_(&quot;$&quot;* #,##0.00_);_(&quot;$&quot;* \(#,##0.00\);_(&quot;$&quot;* &quot;-&quot;??_);_(@_)">
                  <c:v>49279.486823384264</c:v>
                </c:pt>
                <c:pt idx="849" formatCode="_(&quot;$&quot;* #,##0.00_);_(&quot;$&quot;* \(#,##0.00\);_(&quot;$&quot;* &quot;-&quot;??_);_(@_)">
                  <c:v>49278.394827540367</c:v>
                </c:pt>
                <c:pt idx="850" formatCode="_(&quot;$&quot;* #,##0.00_);_(&quot;$&quot;* \(#,##0.00\);_(&quot;$&quot;* &quot;-&quot;??_);_(@_)">
                  <c:v>49395.951738244919</c:v>
                </c:pt>
                <c:pt idx="851" formatCode="_(&quot;$&quot;* #,##0.00_);_(&quot;$&quot;* \(#,##0.00\);_(&quot;$&quot;* &quot;-&quot;??_);_(@_)">
                  <c:v>49352.639990257951</c:v>
                </c:pt>
                <c:pt idx="852" formatCode="_(&quot;$&quot;* #,##0.00_);_(&quot;$&quot;* \(#,##0.00\);_(&quot;$&quot;* &quot;-&quot;??_);_(@_)">
                  <c:v>49359.472542753065</c:v>
                </c:pt>
                <c:pt idx="853" formatCode="_(&quot;$&quot;* #,##0.00_);_(&quot;$&quot;* \(#,##0.00\);_(&quot;$&quot;* &quot;-&quot;??_);_(@_)">
                  <c:v>49498.699252853032</c:v>
                </c:pt>
                <c:pt idx="854" formatCode="_(&quot;$&quot;* #,##0.00_);_(&quot;$&quot;* \(#,##0.00\);_(&quot;$&quot;* &quot;-&quot;??_);_(@_)">
                  <c:v>49293.267029522242</c:v>
                </c:pt>
                <c:pt idx="855" formatCode="_(&quot;$&quot;* #,##0.00_);_(&quot;$&quot;* \(#,##0.00\);_(&quot;$&quot;* &quot;-&quot;??_);_(@_)">
                  <c:v>49375.647535745789</c:v>
                </c:pt>
                <c:pt idx="856" formatCode="_(&quot;$&quot;* #,##0.00_);_(&quot;$&quot;* \(#,##0.00\);_(&quot;$&quot;* &quot;-&quot;??_);_(@_)">
                  <c:v>49561.721400718758</c:v>
                </c:pt>
                <c:pt idx="857" formatCode="_(&quot;$&quot;* #,##0.00_);_(&quot;$&quot;* \(#,##0.00\);_(&quot;$&quot;* &quot;-&quot;??_);_(@_)">
                  <c:v>49530.523078027851</c:v>
                </c:pt>
                <c:pt idx="858" formatCode="_(&quot;$&quot;* #,##0.00_);_(&quot;$&quot;* \(#,##0.00\);_(&quot;$&quot;* &quot;-&quot;??_);_(@_)">
                  <c:v>49634.572516370281</c:v>
                </c:pt>
                <c:pt idx="859" formatCode="_(&quot;$&quot;* #,##0.00_);_(&quot;$&quot;* \(#,##0.00\);_(&quot;$&quot;* &quot;-&quot;??_);_(@_)">
                  <c:v>49638.938242435324</c:v>
                </c:pt>
                <c:pt idx="860" formatCode="_(&quot;$&quot;* #,##0.00_);_(&quot;$&quot;* \(#,##0.00\);_(&quot;$&quot;* &quot;-&quot;??_);_(@_)">
                  <c:v>49630.764121327527</c:v>
                </c:pt>
                <c:pt idx="861" formatCode="_(&quot;$&quot;* #,##0.00_);_(&quot;$&quot;* \(#,##0.00\);_(&quot;$&quot;* &quot;-&quot;??_);_(@_)">
                  <c:v>49586.98599405097</c:v>
                </c:pt>
                <c:pt idx="862" formatCode="_(&quot;$&quot;* #,##0.00_);_(&quot;$&quot;* \(#,##0.00\);_(&quot;$&quot;* &quot;-&quot;??_);_(@_)">
                  <c:v>49647.089578510349</c:v>
                </c:pt>
                <c:pt idx="863" formatCode="_(&quot;$&quot;* #,##0.00_);_(&quot;$&quot;* \(#,##0.00\);_(&quot;$&quot;* &quot;-&quot;??_);_(@_)">
                  <c:v>49957.620487485998</c:v>
                </c:pt>
                <c:pt idx="864" formatCode="_(&quot;$&quot;* #,##0.00_);_(&quot;$&quot;* \(#,##0.00\);_(&quot;$&quot;* &quot;-&quot;??_);_(@_)">
                  <c:v>49890.875032814409</c:v>
                </c:pt>
                <c:pt idx="865" formatCode="_(&quot;$&quot;* #,##0.00_);_(&quot;$&quot;* \(#,##0.00\);_(&quot;$&quot;* &quot;-&quot;??_);_(@_)">
                  <c:v>49863.201569568744</c:v>
                </c:pt>
                <c:pt idx="866" formatCode="_(&quot;$&quot;* #,##0.00_);_(&quot;$&quot;* \(#,##0.00\);_(&quot;$&quot;* &quot;-&quot;??_);_(@_)">
                  <c:v>49770.312020131954</c:v>
                </c:pt>
                <c:pt idx="867" formatCode="_(&quot;$&quot;* #,##0.00_);_(&quot;$&quot;* \(#,##0.00\);_(&quot;$&quot;* &quot;-&quot;??_);_(@_)">
                  <c:v>49792.149682596595</c:v>
                </c:pt>
                <c:pt idx="868" formatCode="_(&quot;$&quot;* #,##0.00_);_(&quot;$&quot;* \(#,##0.00\);_(&quot;$&quot;* &quot;-&quot;??_);_(@_)">
                  <c:v>49817.97810665999</c:v>
                </c:pt>
                <c:pt idx="869" formatCode="_(&quot;$&quot;* #,##0.00_);_(&quot;$&quot;* \(#,##0.00\);_(&quot;$&quot;* &quot;-&quot;??_);_(@_)">
                  <c:v>49882.162029533873</c:v>
                </c:pt>
                <c:pt idx="870" formatCode="_(&quot;$&quot;* #,##0.00_);_(&quot;$&quot;* \(#,##0.00\);_(&quot;$&quot;* &quot;-&quot;??_);_(@_)">
                  <c:v>49792.287605743055</c:v>
                </c:pt>
                <c:pt idx="871" formatCode="_(&quot;$&quot;* #,##0.00_);_(&quot;$&quot;* \(#,##0.00\);_(&quot;$&quot;* &quot;-&quot;??_);_(@_)">
                  <c:v>49966.808689159639</c:v>
                </c:pt>
                <c:pt idx="872" formatCode="_(&quot;$&quot;* #,##0.00_);_(&quot;$&quot;* \(#,##0.00\);_(&quot;$&quot;* &quot;-&quot;??_);_(@_)">
                  <c:v>49921.06826606072</c:v>
                </c:pt>
                <c:pt idx="873" formatCode="_(&quot;$&quot;* #,##0.00_);_(&quot;$&quot;* \(#,##0.00\);_(&quot;$&quot;* &quot;-&quot;??_);_(@_)">
                  <c:v>49931.068562069486</c:v>
                </c:pt>
                <c:pt idx="874" formatCode="_(&quot;$&quot;* #,##0.00_);_(&quot;$&quot;* \(#,##0.00\);_(&quot;$&quot;* &quot;-&quot;??_);_(@_)">
                  <c:v>50026.385488207576</c:v>
                </c:pt>
                <c:pt idx="875" formatCode="_(&quot;$&quot;* #,##0.00_);_(&quot;$&quot;* \(#,##0.00\);_(&quot;$&quot;* &quot;-&quot;??_);_(@_)">
                  <c:v>49960.760717107034</c:v>
                </c:pt>
                <c:pt idx="876" formatCode="_(&quot;$&quot;* #,##0.00_);_(&quot;$&quot;* \(#,##0.00\);_(&quot;$&quot;* &quot;-&quot;??_);_(@_)">
                  <c:v>49910.443985800273</c:v>
                </c:pt>
                <c:pt idx="877" formatCode="_(&quot;$&quot;* #,##0.00_);_(&quot;$&quot;* \(#,##0.00\);_(&quot;$&quot;* &quot;-&quot;??_);_(@_)">
                  <c:v>50009.046550096893</c:v>
                </c:pt>
                <c:pt idx="878" formatCode="_(&quot;$&quot;* #,##0.00_);_(&quot;$&quot;* \(#,##0.00\);_(&quot;$&quot;* &quot;-&quot;??_);_(@_)">
                  <c:v>49925.923162421095</c:v>
                </c:pt>
                <c:pt idx="879" formatCode="_(&quot;$&quot;* #,##0.00_);_(&quot;$&quot;* \(#,##0.00\);_(&quot;$&quot;* &quot;-&quot;??_);_(@_)">
                  <c:v>49915.581483536815</c:v>
                </c:pt>
                <c:pt idx="880" formatCode="_(&quot;$&quot;* #,##0.00_);_(&quot;$&quot;* \(#,##0.00\);_(&quot;$&quot;* &quot;-&quot;??_);_(@_)">
                  <c:v>50174.214475918983</c:v>
                </c:pt>
                <c:pt idx="881" formatCode="_(&quot;$&quot;* #,##0.00_);_(&quot;$&quot;* \(#,##0.00\);_(&quot;$&quot;* &quot;-&quot;??_);_(@_)">
                  <c:v>50181.882495613769</c:v>
                </c:pt>
                <c:pt idx="882" formatCode="_(&quot;$&quot;* #,##0.00_);_(&quot;$&quot;* \(#,##0.00\);_(&quot;$&quot;* &quot;-&quot;??_);_(@_)">
                  <c:v>50142.591423270598</c:v>
                </c:pt>
                <c:pt idx="883" formatCode="_(&quot;$&quot;* #,##0.00_);_(&quot;$&quot;* \(#,##0.00\);_(&quot;$&quot;* &quot;-&quot;??_);_(@_)">
                  <c:v>50068.747889289007</c:v>
                </c:pt>
                <c:pt idx="884" formatCode="_(&quot;$&quot;* #,##0.00_);_(&quot;$&quot;* \(#,##0.00\);_(&quot;$&quot;* &quot;-&quot;??_);_(@_)">
                  <c:v>49996.276802891269</c:v>
                </c:pt>
                <c:pt idx="885" formatCode="_(&quot;$&quot;* #,##0.00_);_(&quot;$&quot;* \(#,##0.00\);_(&quot;$&quot;* &quot;-&quot;??_);_(@_)">
                  <c:v>50171.880412786508</c:v>
                </c:pt>
                <c:pt idx="886" formatCode="_(&quot;$&quot;* #,##0.00_);_(&quot;$&quot;* \(#,##0.00\);_(&quot;$&quot;* &quot;-&quot;??_);_(@_)">
                  <c:v>49983.742765135183</c:v>
                </c:pt>
                <c:pt idx="887" formatCode="_(&quot;$&quot;* #,##0.00_);_(&quot;$&quot;* \(#,##0.00\);_(&quot;$&quot;* &quot;-&quot;??_);_(@_)">
                  <c:v>50178.931029001746</c:v>
                </c:pt>
                <c:pt idx="888" formatCode="_(&quot;$&quot;* #,##0.00_);_(&quot;$&quot;* \(#,##0.00\);_(&quot;$&quot;* &quot;-&quot;??_);_(@_)">
                  <c:v>50128.406413376586</c:v>
                </c:pt>
                <c:pt idx="889" formatCode="_(&quot;$&quot;* #,##0.00_);_(&quot;$&quot;* \(#,##0.00\);_(&quot;$&quot;* &quot;-&quot;??_);_(@_)">
                  <c:v>50063.677831995963</c:v>
                </c:pt>
                <c:pt idx="890" formatCode="_(&quot;$&quot;* #,##0.00_);_(&quot;$&quot;* \(#,##0.00\);_(&quot;$&quot;* &quot;-&quot;??_);_(@_)">
                  <c:v>50017.82495806618</c:v>
                </c:pt>
                <c:pt idx="891" formatCode="_(&quot;$&quot;* #,##0.00_);_(&quot;$&quot;* \(#,##0.00\);_(&quot;$&quot;* &quot;-&quot;??_);_(@_)">
                  <c:v>50053.995715202735</c:v>
                </c:pt>
                <c:pt idx="892" formatCode="_(&quot;$&quot;* #,##0.00_);_(&quot;$&quot;* \(#,##0.00\);_(&quot;$&quot;* &quot;-&quot;??_);_(@_)">
                  <c:v>50220.916381638504</c:v>
                </c:pt>
                <c:pt idx="893" formatCode="_(&quot;$&quot;* #,##0.00_);_(&quot;$&quot;* \(#,##0.00\);_(&quot;$&quot;* &quot;-&quot;??_);_(@_)">
                  <c:v>50303.612245486584</c:v>
                </c:pt>
                <c:pt idx="894" formatCode="_(&quot;$&quot;* #,##0.00_);_(&quot;$&quot;* \(#,##0.00\);_(&quot;$&quot;* &quot;-&quot;??_);_(@_)">
                  <c:v>50564.079163323418</c:v>
                </c:pt>
                <c:pt idx="895" formatCode="_(&quot;$&quot;* #,##0.00_);_(&quot;$&quot;* \(#,##0.00\);_(&quot;$&quot;* &quot;-&quot;??_);_(@_)">
                  <c:v>50615.866187715423</c:v>
                </c:pt>
                <c:pt idx="896" formatCode="_(&quot;$&quot;* #,##0.00_);_(&quot;$&quot;* \(#,##0.00\);_(&quot;$&quot;* &quot;-&quot;??_);_(@_)">
                  <c:v>50651.561876893378</c:v>
                </c:pt>
                <c:pt idx="897" formatCode="_(&quot;$&quot;* #,##0.00_);_(&quot;$&quot;* \(#,##0.00\);_(&quot;$&quot;* &quot;-&quot;??_);_(@_)">
                  <c:v>50621.819265062128</c:v>
                </c:pt>
                <c:pt idx="898" formatCode="_(&quot;$&quot;* #,##0.00_);_(&quot;$&quot;* \(#,##0.00\);_(&quot;$&quot;* &quot;-&quot;??_);_(@_)">
                  <c:v>50541.520391881182</c:v>
                </c:pt>
                <c:pt idx="899" formatCode="_(&quot;$&quot;* #,##0.00_);_(&quot;$&quot;* \(#,##0.00\);_(&quot;$&quot;* &quot;-&quot;??_);_(@_)">
                  <c:v>50700.618433110663</c:v>
                </c:pt>
                <c:pt idx="900" formatCode="_(&quot;$&quot;* #,##0.00_);_(&quot;$&quot;* \(#,##0.00\);_(&quot;$&quot;* &quot;-&quot;??_);_(@_)">
                  <c:v>50543.997048025027</c:v>
                </c:pt>
                <c:pt idx="901" formatCode="_(&quot;$&quot;* #,##0.00_);_(&quot;$&quot;* \(#,##0.00\);_(&quot;$&quot;* &quot;-&quot;??_);_(@_)">
                  <c:v>50553.231437475857</c:v>
                </c:pt>
                <c:pt idx="902" formatCode="_(&quot;$&quot;* #,##0.00_);_(&quot;$&quot;* \(#,##0.00\);_(&quot;$&quot;* &quot;-&quot;??_);_(@_)">
                  <c:v>50707.762195265335</c:v>
                </c:pt>
                <c:pt idx="903" formatCode="_(&quot;$&quot;* #,##0.00_);_(&quot;$&quot;* \(#,##0.00\);_(&quot;$&quot;* &quot;-&quot;??_);_(@_)">
                  <c:v>50500.231334510172</c:v>
                </c:pt>
                <c:pt idx="904" formatCode="_(&quot;$&quot;* #,##0.00_);_(&quot;$&quot;* \(#,##0.00\);_(&quot;$&quot;* &quot;-&quot;??_);_(@_)">
                  <c:v>50629.619256978447</c:v>
                </c:pt>
                <c:pt idx="905" formatCode="_(&quot;$&quot;* #,##0.00_);_(&quot;$&quot;* \(#,##0.00\);_(&quot;$&quot;* &quot;-&quot;??_);_(@_)">
                  <c:v>50677.07728466938</c:v>
                </c:pt>
                <c:pt idx="906" formatCode="_(&quot;$&quot;* #,##0.00_);_(&quot;$&quot;* \(#,##0.00\);_(&quot;$&quot;* &quot;-&quot;??_);_(@_)">
                  <c:v>50502.235683681771</c:v>
                </c:pt>
                <c:pt idx="907" formatCode="_(&quot;$&quot;* #,##0.00_);_(&quot;$&quot;* \(#,##0.00\);_(&quot;$&quot;* &quot;-&quot;??_);_(@_)">
                  <c:v>50546.302662544629</c:v>
                </c:pt>
                <c:pt idx="908" formatCode="_(&quot;$&quot;* #,##0.00_);_(&quot;$&quot;* \(#,##0.00\);_(&quot;$&quot;* &quot;-&quot;??_);_(@_)">
                  <c:v>50696.054710798991</c:v>
                </c:pt>
                <c:pt idx="909" formatCode="_(&quot;$&quot;* #,##0.00_);_(&quot;$&quot;* \(#,##0.00\);_(&quot;$&quot;* &quot;-&quot;??_);_(@_)">
                  <c:v>50849.346556112061</c:v>
                </c:pt>
                <c:pt idx="910" formatCode="_(&quot;$&quot;* #,##0.00_);_(&quot;$&quot;* \(#,##0.00\);_(&quot;$&quot;* &quot;-&quot;??_);_(@_)">
                  <c:v>50759.337173629159</c:v>
                </c:pt>
                <c:pt idx="911" formatCode="_(&quot;$&quot;* #,##0.00_);_(&quot;$&quot;* \(#,##0.00\);_(&quot;$&quot;* &quot;-&quot;??_);_(@_)">
                  <c:v>50802.862560365837</c:v>
                </c:pt>
                <c:pt idx="912" formatCode="_(&quot;$&quot;* #,##0.00_);_(&quot;$&quot;* \(#,##0.00\);_(&quot;$&quot;* &quot;-&quot;??_);_(@_)">
                  <c:v>51017.006267219534</c:v>
                </c:pt>
                <c:pt idx="913" formatCode="_(&quot;$&quot;* #,##0.00_);_(&quot;$&quot;* \(#,##0.00\);_(&quot;$&quot;* &quot;-&quot;??_);_(@_)">
                  <c:v>51122.283750963696</c:v>
                </c:pt>
                <c:pt idx="914" formatCode="_(&quot;$&quot;* #,##0.00_);_(&quot;$&quot;* \(#,##0.00\);_(&quot;$&quot;* &quot;-&quot;??_);_(@_)">
                  <c:v>51136.185191592012</c:v>
                </c:pt>
                <c:pt idx="915" formatCode="_(&quot;$&quot;* #,##0.00_);_(&quot;$&quot;* \(#,##0.00\);_(&quot;$&quot;* &quot;-&quot;??_);_(@_)">
                  <c:v>51201.484451299577</c:v>
                </c:pt>
                <c:pt idx="916" formatCode="_(&quot;$&quot;* #,##0.00_);_(&quot;$&quot;* \(#,##0.00\);_(&quot;$&quot;* &quot;-&quot;??_);_(@_)">
                  <c:v>51277.26232636888</c:v>
                </c:pt>
                <c:pt idx="917" formatCode="_(&quot;$&quot;* #,##0.00_);_(&quot;$&quot;* \(#,##0.00\);_(&quot;$&quot;* &quot;-&quot;??_);_(@_)">
                  <c:v>51537.381467530955</c:v>
                </c:pt>
                <c:pt idx="918" formatCode="_(&quot;$&quot;* #,##0.00_);_(&quot;$&quot;* \(#,##0.00\);_(&quot;$&quot;* &quot;-&quot;??_);_(@_)">
                  <c:v>52031.459316273831</c:v>
                </c:pt>
                <c:pt idx="919" formatCode="_(&quot;$&quot;* #,##0.00_);_(&quot;$&quot;* \(#,##0.00\);_(&quot;$&quot;* &quot;-&quot;??_);_(@_)">
                  <c:v>51832.950949651757</c:v>
                </c:pt>
                <c:pt idx="920" formatCode="_(&quot;$&quot;* #,##0.00_);_(&quot;$&quot;* \(#,##0.00\);_(&quot;$&quot;* &quot;-&quot;??_);_(@_)">
                  <c:v>52113.683900678843</c:v>
                </c:pt>
                <c:pt idx="921" formatCode="_(&quot;$&quot;* #,##0.00_);_(&quot;$&quot;* \(#,##0.00\);_(&quot;$&quot;* &quot;-&quot;??_);_(@_)">
                  <c:v>52710.416933741581</c:v>
                </c:pt>
                <c:pt idx="922" formatCode="_(&quot;$&quot;* #,##0.00_);_(&quot;$&quot;* \(#,##0.00\);_(&quot;$&quot;* &quot;-&quot;??_);_(@_)">
                  <c:v>53740.960498899927</c:v>
                </c:pt>
                <c:pt idx="923" formatCode="_(&quot;$&quot;* #,##0.00_);_(&quot;$&quot;* \(#,##0.00\);_(&quot;$&quot;* &quot;-&quot;??_);_(@_)">
                  <c:v>53087.220988246212</c:v>
                </c:pt>
                <c:pt idx="924" formatCode="_(&quot;$&quot;* #,##0.00_);_(&quot;$&quot;* \(#,##0.00\);_(&quot;$&quot;* &quot;-&quot;??_);_(@_)">
                  <c:v>52902.23646812237</c:v>
                </c:pt>
                <c:pt idx="925" formatCode="_(&quot;$&quot;* #,##0.00_);_(&quot;$&quot;* \(#,##0.00\);_(&quot;$&quot;* &quot;-&quot;??_);_(@_)">
                  <c:v>52949.513677725161</c:v>
                </c:pt>
                <c:pt idx="926" formatCode="_(&quot;$&quot;* #,##0.00_);_(&quot;$&quot;* \(#,##0.00\);_(&quot;$&quot;* &quot;-&quot;??_);_(@_)">
                  <c:v>53044.044215698981</c:v>
                </c:pt>
                <c:pt idx="927" formatCode="_(&quot;$&quot;* #,##0.00_);_(&quot;$&quot;* \(#,##0.00\);_(&quot;$&quot;* &quot;-&quot;??_);_(@_)">
                  <c:v>52826.991375288657</c:v>
                </c:pt>
                <c:pt idx="928" formatCode="_(&quot;$&quot;* #,##0.00_);_(&quot;$&quot;* \(#,##0.00\);_(&quot;$&quot;* &quot;-&quot;??_);_(@_)">
                  <c:v>53080.420721460585</c:v>
                </c:pt>
                <c:pt idx="929" formatCode="_(&quot;$&quot;* #,##0.00_);_(&quot;$&quot;* \(#,##0.00\);_(&quot;$&quot;* &quot;-&quot;??_);_(@_)">
                  <c:v>53478.291449171011</c:v>
                </c:pt>
                <c:pt idx="930" formatCode="_(&quot;$&quot;* #,##0.00_);_(&quot;$&quot;* \(#,##0.00\);_(&quot;$&quot;* &quot;-&quot;??_);_(@_)">
                  <c:v>53555.009941118013</c:v>
                </c:pt>
                <c:pt idx="931" formatCode="_(&quot;$&quot;* #,##0.00_);_(&quot;$&quot;* \(#,##0.00\);_(&quot;$&quot;* &quot;-&quot;??_);_(@_)">
                  <c:v>53726.198730185046</c:v>
                </c:pt>
                <c:pt idx="932" formatCode="_(&quot;$&quot;* #,##0.00_);_(&quot;$&quot;* \(#,##0.00\);_(&quot;$&quot;* &quot;-&quot;??_);_(@_)">
                  <c:v>53819.057380912651</c:v>
                </c:pt>
                <c:pt idx="933" formatCode="_(&quot;$&quot;* #,##0.00_);_(&quot;$&quot;* \(#,##0.00\);_(&quot;$&quot;* &quot;-&quot;??_);_(@_)">
                  <c:v>53857.889796542702</c:v>
                </c:pt>
                <c:pt idx="934" formatCode="_(&quot;$&quot;* #,##0.00_);_(&quot;$&quot;* \(#,##0.00\);_(&quot;$&quot;* &quot;-&quot;??_);_(@_)">
                  <c:v>53612.295033634866</c:v>
                </c:pt>
                <c:pt idx="935" formatCode="_(&quot;$&quot;* #,##0.00_);_(&quot;$&quot;* \(#,##0.00\);_(&quot;$&quot;* &quot;-&quot;??_);_(@_)">
                  <c:v>53593.669656478931</c:v>
                </c:pt>
                <c:pt idx="936" formatCode="_(&quot;$&quot;* #,##0.00_);_(&quot;$&quot;* \(#,##0.00\);_(&quot;$&quot;* &quot;-&quot;??_);_(@_)">
                  <c:v>53675.76426133496</c:v>
                </c:pt>
                <c:pt idx="937" formatCode="_(&quot;$&quot;* #,##0.00_);_(&quot;$&quot;* \(#,##0.00\);_(&quot;$&quot;* &quot;-&quot;??_);_(@_)">
                  <c:v>53838.222888537894</c:v>
                </c:pt>
                <c:pt idx="938" formatCode="_(&quot;$&quot;* #,##0.00_);_(&quot;$&quot;* \(#,##0.00\);_(&quot;$&quot;* &quot;-&quot;??_);_(@_)">
                  <c:v>53822.337103007158</c:v>
                </c:pt>
                <c:pt idx="939" formatCode="_(&quot;$&quot;* #,##0.00_);_(&quot;$&quot;* \(#,##0.00\);_(&quot;$&quot;* &quot;-&quot;??_);_(@_)">
                  <c:v>54136.696938060428</c:v>
                </c:pt>
                <c:pt idx="940" formatCode="_(&quot;$&quot;* #,##0.00_);_(&quot;$&quot;* \(#,##0.00\);_(&quot;$&quot;* &quot;-&quot;??_);_(@_)">
                  <c:v>54153.775660497064</c:v>
                </c:pt>
                <c:pt idx="941" formatCode="_(&quot;$&quot;* #,##0.00_);_(&quot;$&quot;* \(#,##0.00\);_(&quot;$&quot;* &quot;-&quot;??_);_(@_)">
                  <c:v>54441.200858012489</c:v>
                </c:pt>
                <c:pt idx="942" formatCode="_(&quot;$&quot;* #,##0.00_);_(&quot;$&quot;* \(#,##0.00\);_(&quot;$&quot;* &quot;-&quot;??_);_(@_)">
                  <c:v>54485.406255197282</c:v>
                </c:pt>
                <c:pt idx="943" formatCode="_(&quot;$&quot;* #,##0.00_);_(&quot;$&quot;* \(#,##0.00\);_(&quot;$&quot;* &quot;-&quot;??_);_(@_)">
                  <c:v>54772.316155602355</c:v>
                </c:pt>
                <c:pt idx="944" formatCode="_(&quot;$&quot;* #,##0.00_);_(&quot;$&quot;* \(#,##0.00\);_(&quot;$&quot;* &quot;-&quot;??_);_(@_)">
                  <c:v>54870.244577928563</c:v>
                </c:pt>
                <c:pt idx="945" formatCode="_(&quot;$&quot;* #,##0.00_);_(&quot;$&quot;* \(#,##0.00\);_(&quot;$&quot;* &quot;-&quot;??_);_(@_)">
                  <c:v>54980.067964302521</c:v>
                </c:pt>
                <c:pt idx="946" formatCode="_(&quot;$&quot;* #,##0.00_);_(&quot;$&quot;* \(#,##0.00\);_(&quot;$&quot;* &quot;-&quot;??_);_(@_)">
                  <c:v>55110.914552182956</c:v>
                </c:pt>
                <c:pt idx="947" formatCode="_(&quot;$&quot;* #,##0.00_);_(&quot;$&quot;* \(#,##0.00\);_(&quot;$&quot;* &quot;-&quot;??_);_(@_)">
                  <c:v>55071.724950128853</c:v>
                </c:pt>
                <c:pt idx="948" formatCode="_(&quot;$&quot;* #,##0.00_);_(&quot;$&quot;* \(#,##0.00\);_(&quot;$&quot;* &quot;-&quot;??_);_(@_)">
                  <c:v>55027.23999181627</c:v>
                </c:pt>
                <c:pt idx="949" formatCode="_(&quot;$&quot;* #,##0.00_);_(&quot;$&quot;* \(#,##0.00\);_(&quot;$&quot;* &quot;-&quot;??_);_(@_)">
                  <c:v>55192.052059076406</c:v>
                </c:pt>
                <c:pt idx="950" formatCode="_(&quot;$&quot;* #,##0.00_);_(&quot;$&quot;* \(#,##0.00\);_(&quot;$&quot;* &quot;-&quot;??_);_(@_)">
                  <c:v>54894.862141551777</c:v>
                </c:pt>
                <c:pt idx="951" formatCode="_(&quot;$&quot;* #,##0.00_);_(&quot;$&quot;* \(#,##0.00\);_(&quot;$&quot;* &quot;-&quot;??_);_(@_)">
                  <c:v>54922.031419023442</c:v>
                </c:pt>
                <c:pt idx="952" formatCode="_(&quot;$&quot;* #,##0.00_);_(&quot;$&quot;* \(#,##0.00\);_(&quot;$&quot;* &quot;-&quot;??_);_(@_)">
                  <c:v>54981.899109130209</c:v>
                </c:pt>
                <c:pt idx="953" formatCode="_(&quot;$&quot;* #,##0.00_);_(&quot;$&quot;* \(#,##0.00\);_(&quot;$&quot;* &quot;-&quot;??_);_(@_)">
                  <c:v>54893.499374362742</c:v>
                </c:pt>
                <c:pt idx="954" formatCode="_(&quot;$&quot;* #,##0.00_);_(&quot;$&quot;* \(#,##0.00\);_(&quot;$&quot;* &quot;-&quot;??_);_(@_)">
                  <c:v>54956.449219198323</c:v>
                </c:pt>
                <c:pt idx="955" formatCode="_(&quot;$&quot;* #,##0.00_);_(&quot;$&quot;* \(#,##0.00\);_(&quot;$&quot;* &quot;-&quot;??_);_(@_)">
                  <c:v>54879.236023393387</c:v>
                </c:pt>
                <c:pt idx="956" formatCode="_(&quot;$&quot;* #,##0.00_);_(&quot;$&quot;* \(#,##0.00\);_(&quot;$&quot;* &quot;-&quot;??_);_(@_)">
                  <c:v>54744.226232250032</c:v>
                </c:pt>
                <c:pt idx="957" formatCode="_(&quot;$&quot;* #,##0.00_);_(&quot;$&quot;* \(#,##0.00\);_(&quot;$&quot;* &quot;-&quot;??_);_(@_)">
                  <c:v>54848.674038074118</c:v>
                </c:pt>
                <c:pt idx="958" formatCode="_(&quot;$&quot;* #,##0.00_);_(&quot;$&quot;* \(#,##0.00\);_(&quot;$&quot;* &quot;-&quot;??_);_(@_)">
                  <c:v>54954.961679695021</c:v>
                </c:pt>
                <c:pt idx="959" formatCode="_(&quot;$&quot;* #,##0.00_);_(&quot;$&quot;* \(#,##0.00\);_(&quot;$&quot;* &quot;-&quot;??_);_(@_)">
                  <c:v>55123.963633912826</c:v>
                </c:pt>
                <c:pt idx="960" formatCode="_(&quot;$&quot;* #,##0.00_);_(&quot;$&quot;* \(#,##0.00\);_(&quot;$&quot;* &quot;-&quot;??_);_(@_)">
                  <c:v>55218.776960187293</c:v>
                </c:pt>
                <c:pt idx="961" formatCode="_(&quot;$&quot;* #,##0.00_);_(&quot;$&quot;* \(#,##0.00\);_(&quot;$&quot;* &quot;-&quot;??_);_(@_)">
                  <c:v>55624.913238708214</c:v>
                </c:pt>
                <c:pt idx="962" formatCode="_(&quot;$&quot;* #,##0.00_);_(&quot;$&quot;* \(#,##0.00\);_(&quot;$&quot;* &quot;-&quot;??_);_(@_)">
                  <c:v>55389.426332877934</c:v>
                </c:pt>
                <c:pt idx="963" formatCode="_(&quot;$&quot;* #,##0.00_);_(&quot;$&quot;* \(#,##0.00\);_(&quot;$&quot;* &quot;-&quot;??_);_(@_)">
                  <c:v>55480.757121100687</c:v>
                </c:pt>
                <c:pt idx="964" formatCode="_(&quot;$&quot;* #,##0.00_);_(&quot;$&quot;* \(#,##0.00\);_(&quot;$&quot;* &quot;-&quot;??_);_(@_)">
                  <c:v>55508.612565897587</c:v>
                </c:pt>
                <c:pt idx="965" formatCode="_(&quot;$&quot;* #,##0.00_);_(&quot;$&quot;* \(#,##0.00\);_(&quot;$&quot;* &quot;-&quot;??_);_(@_)">
                  <c:v>55392.293404188807</c:v>
                </c:pt>
                <c:pt idx="966" formatCode="_(&quot;$&quot;* #,##0.00_);_(&quot;$&quot;* \(#,##0.00\);_(&quot;$&quot;* &quot;-&quot;??_);_(@_)">
                  <c:v>55265.953158790006</c:v>
                </c:pt>
                <c:pt idx="967" formatCode="_(&quot;$&quot;* #,##0.00_);_(&quot;$&quot;* \(#,##0.00\);_(&quot;$&quot;* &quot;-&quot;??_);_(@_)">
                  <c:v>55341.035050181366</c:v>
                </c:pt>
                <c:pt idx="968" formatCode="_(&quot;$&quot;* #,##0.00_);_(&quot;$&quot;* \(#,##0.00\);_(&quot;$&quot;* &quot;-&quot;??_);_(@_)">
                  <c:v>55476.933882558151</c:v>
                </c:pt>
                <c:pt idx="969" formatCode="_(&quot;$&quot;* #,##0.00_);_(&quot;$&quot;* \(#,##0.00\);_(&quot;$&quot;* &quot;-&quot;??_);_(@_)">
                  <c:v>55465.399427920922</c:v>
                </c:pt>
                <c:pt idx="970" formatCode="_(&quot;$&quot;* #,##0.00_);_(&quot;$&quot;* \(#,##0.00\);_(&quot;$&quot;* &quot;-&quot;??_);_(@_)">
                  <c:v>55481.861964218537</c:v>
                </c:pt>
                <c:pt idx="971" formatCode="_(&quot;$&quot;* #,##0.00_);_(&quot;$&quot;* \(#,##0.00\);_(&quot;$&quot;* &quot;-&quot;??_);_(@_)">
                  <c:v>55453.594710118283</c:v>
                </c:pt>
                <c:pt idx="972" formatCode="_(&quot;$&quot;* #,##0.00_);_(&quot;$&quot;* \(#,##0.00\);_(&quot;$&quot;* &quot;-&quot;??_);_(@_)">
                  <c:v>55509.380399434784</c:v>
                </c:pt>
                <c:pt idx="973" formatCode="_(&quot;$&quot;* #,##0.00_);_(&quot;$&quot;* \(#,##0.00\);_(&quot;$&quot;* &quot;-&quot;??_);_(@_)">
                  <c:v>55603.40526220078</c:v>
                </c:pt>
                <c:pt idx="974" formatCode="_(&quot;$&quot;* #,##0.00_);_(&quot;$&quot;* \(#,##0.00\);_(&quot;$&quot;* &quot;-&quot;??_);_(@_)">
                  <c:v>55508.894242386043</c:v>
                </c:pt>
                <c:pt idx="975" formatCode="_(&quot;$&quot;* #,##0.00_);_(&quot;$&quot;* \(#,##0.00\);_(&quot;$&quot;* &quot;-&quot;??_);_(@_)">
                  <c:v>55716.009252132637</c:v>
                </c:pt>
                <c:pt idx="976" formatCode="_(&quot;$&quot;* #,##0.00_);_(&quot;$&quot;* \(#,##0.00\);_(&quot;$&quot;* &quot;-&quot;??_);_(@_)">
                  <c:v>55734.953418567966</c:v>
                </c:pt>
                <c:pt idx="977" formatCode="_(&quot;$&quot;* #,##0.00_);_(&quot;$&quot;* \(#,##0.00\);_(&quot;$&quot;* &quot;-&quot;??_);_(@_)">
                  <c:v>56186.337785160125</c:v>
                </c:pt>
                <c:pt idx="978" formatCode="_(&quot;$&quot;* #,##0.00_);_(&quot;$&quot;* \(#,##0.00\);_(&quot;$&quot;* &quot;-&quot;??_);_(@_)">
                  <c:v>56127.460650149478</c:v>
                </c:pt>
                <c:pt idx="979" formatCode="_(&quot;$&quot;* #,##0.00_);_(&quot;$&quot;* \(#,##0.00\);_(&quot;$&quot;* &quot;-&quot;??_);_(@_)">
                  <c:v>56084.830027151038</c:v>
                </c:pt>
                <c:pt idx="980" formatCode="_(&quot;$&quot;* #,##0.00_);_(&quot;$&quot;* \(#,##0.00\);_(&quot;$&quot;* &quot;-&quot;??_);_(@_)">
                  <c:v>55986.275323704416</c:v>
                </c:pt>
                <c:pt idx="981" formatCode="_(&quot;$&quot;* #,##0.00_);_(&quot;$&quot;* \(#,##0.00\);_(&quot;$&quot;* &quot;-&quot;??_);_(@_)">
                  <c:v>56139.775775104659</c:v>
                </c:pt>
                <c:pt idx="982" formatCode="_(&quot;$&quot;* #,##0.00_);_(&quot;$&quot;* \(#,##0.00\);_(&quot;$&quot;* &quot;-&quot;??_);_(@_)">
                  <c:v>56152.703546369688</c:v>
                </c:pt>
                <c:pt idx="983" formatCode="_(&quot;$&quot;* #,##0.00_);_(&quot;$&quot;* \(#,##0.00\);_(&quot;$&quot;* &quot;-&quot;??_);_(@_)">
                  <c:v>56208.730539000229</c:v>
                </c:pt>
                <c:pt idx="984" formatCode="_(&quot;$&quot;* #,##0.00_);_(&quot;$&quot;* \(#,##0.00\);_(&quot;$&quot;* &quot;-&quot;??_);_(@_)">
                  <c:v>56090.163321271342</c:v>
                </c:pt>
                <c:pt idx="985" formatCode="_(&quot;$&quot;* #,##0.00_);_(&quot;$&quot;* \(#,##0.00\);_(&quot;$&quot;* &quot;-&quot;??_);_(@_)">
                  <c:v>56104.909211299018</c:v>
                </c:pt>
                <c:pt idx="986" formatCode="_(&quot;$&quot;* #,##0.00_);_(&quot;$&quot;* \(#,##0.00\);_(&quot;$&quot;* &quot;-&quot;??_);_(@_)">
                  <c:v>56051.1861887001</c:v>
                </c:pt>
                <c:pt idx="987" formatCode="_(&quot;$&quot;* #,##0.00_);_(&quot;$&quot;* \(#,##0.00\);_(&quot;$&quot;* &quot;-&quot;??_);_(@_)">
                  <c:v>56076.188499838114</c:v>
                </c:pt>
                <c:pt idx="988" formatCode="_(&quot;$&quot;* #,##0.00_);_(&quot;$&quot;* \(#,##0.00\);_(&quot;$&quot;* &quot;-&quot;??_);_(@_)">
                  <c:v>56657.641672255479</c:v>
                </c:pt>
                <c:pt idx="989" formatCode="_(&quot;$&quot;* #,##0.00_);_(&quot;$&quot;* \(#,##0.00\);_(&quot;$&quot;* &quot;-&quot;??_);_(@_)">
                  <c:v>57117.547332632836</c:v>
                </c:pt>
                <c:pt idx="990" formatCode="_(&quot;$&quot;* #,##0.00_);_(&quot;$&quot;* \(#,##0.00\);_(&quot;$&quot;* &quot;-&quot;??_);_(@_)">
                  <c:v>57409.118688923685</c:v>
                </c:pt>
                <c:pt idx="991" formatCode="_(&quot;$&quot;* #,##0.00_);_(&quot;$&quot;* \(#,##0.00\);_(&quot;$&quot;* &quot;-&quot;??_);_(@_)">
                  <c:v>57623.901842072075</c:v>
                </c:pt>
                <c:pt idx="992" formatCode="_(&quot;$&quot;* #,##0.00_);_(&quot;$&quot;* \(#,##0.00\);_(&quot;$&quot;* &quot;-&quot;??_);_(@_)">
                  <c:v>57569.738525713634</c:v>
                </c:pt>
                <c:pt idx="993" formatCode="_(&quot;$&quot;* #,##0.00_);_(&quot;$&quot;* \(#,##0.00\);_(&quot;$&quot;* &quot;-&quot;??_);_(@_)">
                  <c:v>57613.936461386045</c:v>
                </c:pt>
                <c:pt idx="994" formatCode="_(&quot;$&quot;* #,##0.00_);_(&quot;$&quot;* \(#,##0.00\);_(&quot;$&quot;* &quot;-&quot;??_);_(@_)">
                  <c:v>57630.428588583258</c:v>
                </c:pt>
                <c:pt idx="995" formatCode="_(&quot;$&quot;* #,##0.00_);_(&quot;$&quot;* \(#,##0.00\);_(&quot;$&quot;* &quot;-&quot;??_);_(@_)">
                  <c:v>57794.155071702953</c:v>
                </c:pt>
                <c:pt idx="996" formatCode="_(&quot;$&quot;* #,##0.00_);_(&quot;$&quot;* \(#,##0.00\);_(&quot;$&quot;* &quot;-&quot;??_);_(@_)">
                  <c:v>57899.543136420085</c:v>
                </c:pt>
                <c:pt idx="997" formatCode="_(&quot;$&quot;* #,##0.00_);_(&quot;$&quot;* \(#,##0.00\);_(&quot;$&quot;* &quot;-&quot;??_);_(@_)">
                  <c:v>57728.020272634887</c:v>
                </c:pt>
                <c:pt idx="998" formatCode="_(&quot;$&quot;* #,##0.00_);_(&quot;$&quot;* \(#,##0.00\);_(&quot;$&quot;* &quot;-&quot;??_);_(@_)">
                  <c:v>57832.295373396089</c:v>
                </c:pt>
                <c:pt idx="999" formatCode="_(&quot;$&quot;* #,##0.00_);_(&quot;$&quot;* \(#,##0.00\);_(&quot;$&quot;* &quot;-&quot;??_);_(@_)">
                  <c:v>57777.885913255435</c:v>
                </c:pt>
                <c:pt idx="1000" formatCode="_(&quot;$&quot;* #,##0.00_);_(&quot;$&quot;* \(#,##0.00\);_(&quot;$&quot;* &quot;-&quot;??_);_(@_)">
                  <c:v>57989.612651520765</c:v>
                </c:pt>
                <c:pt idx="1001" formatCode="_(&quot;$&quot;* #,##0.00_);_(&quot;$&quot;* \(#,##0.00\);_(&quot;$&quot;* &quot;-&quot;??_);_(@_)">
                  <c:v>57844.182999216209</c:v>
                </c:pt>
                <c:pt idx="1002" formatCode="_(&quot;$&quot;* #,##0.00_);_(&quot;$&quot;* \(#,##0.00\);_(&quot;$&quot;* &quot;-&quot;??_);_(@_)">
                  <c:v>57769.083114515626</c:v>
                </c:pt>
                <c:pt idx="1003" formatCode="_(&quot;$&quot;* #,##0.00_);_(&quot;$&quot;* \(#,##0.00\);_(&quot;$&quot;* &quot;-&quot;??_);_(@_)">
                  <c:v>57994.290459911579</c:v>
                </c:pt>
                <c:pt idx="1004" formatCode="_(&quot;$&quot;* #,##0.00_);_(&quot;$&quot;* \(#,##0.00\);_(&quot;$&quot;* &quot;-&quot;??_);_(@_)">
                  <c:v>57997.978899899463</c:v>
                </c:pt>
                <c:pt idx="1005" formatCode="_(&quot;$&quot;* #,##0.00_);_(&quot;$&quot;* \(#,##0.00\);_(&quot;$&quot;* &quot;-&quot;??_);_(@_)">
                  <c:v>57842.737331974058</c:v>
                </c:pt>
                <c:pt idx="1006" formatCode="_(&quot;$&quot;* #,##0.00_);_(&quot;$&quot;* \(#,##0.00\);_(&quot;$&quot;* &quot;-&quot;??_);_(@_)">
                  <c:v>57987.34453869061</c:v>
                </c:pt>
                <c:pt idx="1007" formatCode="_(&quot;$&quot;* #,##0.00_);_(&quot;$&quot;* \(#,##0.00\);_(&quot;$&quot;* &quot;-&quot;??_);_(@_)">
                  <c:v>57969.273682727813</c:v>
                </c:pt>
                <c:pt idx="1008" formatCode="_(&quot;$&quot;* #,##0.00_);_(&quot;$&quot;* \(#,##0.00\);_(&quot;$&quot;* &quot;-&quot;??_);_(@_)">
                  <c:v>58011.470454933486</c:v>
                </c:pt>
                <c:pt idx="1009" formatCode="_(&quot;$&quot;* #,##0.00_);_(&quot;$&quot;* \(#,##0.00\);_(&quot;$&quot;* &quot;-&quot;??_);_(@_)">
                  <c:v>57857.267660052843</c:v>
                </c:pt>
                <c:pt idx="1010" formatCode="_(&quot;$&quot;* #,##0.00_);_(&quot;$&quot;* \(#,##0.00\);_(&quot;$&quot;* &quot;-&quot;??_);_(@_)">
                  <c:v>57876.38710218027</c:v>
                </c:pt>
                <c:pt idx="1011" formatCode="_(&quot;$&quot;* #,##0.00_);_(&quot;$&quot;* \(#,##0.00\);_(&quot;$&quot;* &quot;-&quot;??_);_(@_)">
                  <c:v>58005.230288827523</c:v>
                </c:pt>
                <c:pt idx="1012" formatCode="_(&quot;$&quot;* #,##0.00_);_(&quot;$&quot;* \(#,##0.00\);_(&quot;$&quot;* &quot;-&quot;??_);_(@_)">
                  <c:v>58031.739069637915</c:v>
                </c:pt>
                <c:pt idx="1013" formatCode="_(&quot;$&quot;* #,##0.00_);_(&quot;$&quot;* \(#,##0.00\);_(&quot;$&quot;* &quot;-&quot;??_);_(@_)">
                  <c:v>58013.03060131715</c:v>
                </c:pt>
                <c:pt idx="1014" formatCode="_(&quot;$&quot;* #,##0.00_);_(&quot;$&quot;* \(#,##0.00\);_(&quot;$&quot;* &quot;-&quot;??_);_(@_)">
                  <c:v>58151.810945587291</c:v>
                </c:pt>
                <c:pt idx="1015" formatCode="_(&quot;$&quot;* #,##0.00_);_(&quot;$&quot;* \(#,##0.00\);_(&quot;$&quot;* &quot;-&quot;??_);_(@_)">
                  <c:v>58086.097080378255</c:v>
                </c:pt>
                <c:pt idx="1016" formatCode="_(&quot;$&quot;* #,##0.00_);_(&quot;$&quot;* \(#,##0.00\);_(&quot;$&quot;* &quot;-&quot;??_);_(@_)">
                  <c:v>58133.696035155452</c:v>
                </c:pt>
                <c:pt idx="1017" formatCode="_(&quot;$&quot;* #,##0.00_);_(&quot;$&quot;* \(#,##0.00\);_(&quot;$&quot;* &quot;-&quot;??_);_(@_)">
                  <c:v>57959.42411164799</c:v>
                </c:pt>
                <c:pt idx="1018" formatCode="_(&quot;$&quot;* #,##0.00_);_(&quot;$&quot;* \(#,##0.00\);_(&quot;$&quot;* &quot;-&quot;??_);_(@_)">
                  <c:v>58377.628577370851</c:v>
                </c:pt>
                <c:pt idx="1019" formatCode="_(&quot;$&quot;* #,##0.00_);_(&quot;$&quot;* \(#,##0.00\);_(&quot;$&quot;* &quot;-&quot;??_);_(@_)">
                  <c:v>58430.899729063793</c:v>
                </c:pt>
                <c:pt idx="1020" formatCode="_(&quot;$&quot;* #,##0.00_);_(&quot;$&quot;* \(#,##0.00\);_(&quot;$&quot;* &quot;-&quot;??_);_(@_)">
                  <c:v>58517.484261970676</c:v>
                </c:pt>
                <c:pt idx="1021" formatCode="_(&quot;$&quot;* #,##0.00_);_(&quot;$&quot;* \(#,##0.00\);_(&quot;$&quot;* &quot;-&quot;??_);_(@_)">
                  <c:v>58625.67017178177</c:v>
                </c:pt>
                <c:pt idx="1022" formatCode="_(&quot;$&quot;* #,##0.00_);_(&quot;$&quot;* \(#,##0.00\);_(&quot;$&quot;* &quot;-&quot;??_);_(@_)">
                  <c:v>58547.863587112028</c:v>
                </c:pt>
                <c:pt idx="1023" formatCode="_(&quot;$&quot;* #,##0.00_);_(&quot;$&quot;* \(#,##0.00\);_(&quot;$&quot;* &quot;-&quot;??_);_(@_)">
                  <c:v>58719.630153507416</c:v>
                </c:pt>
                <c:pt idx="1024" formatCode="_(&quot;$&quot;* #,##0.00_);_(&quot;$&quot;* \(#,##0.00\);_(&quot;$&quot;* &quot;-&quot;??_);_(@_)">
                  <c:v>58865.344912714689</c:v>
                </c:pt>
                <c:pt idx="1025" formatCode="_(&quot;$&quot;* #,##0.00_);_(&quot;$&quot;* \(#,##0.00\);_(&quot;$&quot;* &quot;-&quot;??_);_(@_)">
                  <c:v>58728.454353251276</c:v>
                </c:pt>
                <c:pt idx="1026" formatCode="_(&quot;$&quot;* #,##0.00_);_(&quot;$&quot;* \(#,##0.00\);_(&quot;$&quot;* &quot;-&quot;??_);_(@_)">
                  <c:v>58829.709790742498</c:v>
                </c:pt>
                <c:pt idx="1027" formatCode="_(&quot;$&quot;* #,##0.00_);_(&quot;$&quot;* \(#,##0.00\);_(&quot;$&quot;* &quot;-&quot;??_);_(@_)">
                  <c:v>59062.026106144876</c:v>
                </c:pt>
                <c:pt idx="1028" formatCode="_(&quot;$&quot;* #,##0.00_);_(&quot;$&quot;* \(#,##0.00\);_(&quot;$&quot;* &quot;-&quot;??_);_(@_)">
                  <c:v>58924.341184584744</c:v>
                </c:pt>
                <c:pt idx="1029" formatCode="_(&quot;$&quot;* #,##0.00_);_(&quot;$&quot;* \(#,##0.00\);_(&quot;$&quot;* &quot;-&quot;??_);_(@_)">
                  <c:v>58972.604064977801</c:v>
                </c:pt>
                <c:pt idx="1030" formatCode="_(&quot;$&quot;* #,##0.00_);_(&quot;$&quot;* \(#,##0.00\);_(&quot;$&quot;* &quot;-&quot;??_);_(@_)">
                  <c:v>58928.716909311333</c:v>
                </c:pt>
                <c:pt idx="1031" formatCode="_(&quot;$&quot;* #,##0.00_);_(&quot;$&quot;* \(#,##0.00\);_(&quot;$&quot;* &quot;-&quot;??_);_(@_)">
                  <c:v>59169.49102839033</c:v>
                </c:pt>
                <c:pt idx="1032" formatCode="_(&quot;$&quot;* #,##0.00_);_(&quot;$&quot;* \(#,##0.00\);_(&quot;$&quot;* &quot;-&quot;??_);_(@_)">
                  <c:v>59088.791566234897</c:v>
                </c:pt>
                <c:pt idx="1033" formatCode="_(&quot;$&quot;* #,##0.00_);_(&quot;$&quot;* \(#,##0.00\);_(&quot;$&quot;* &quot;-&quot;??_);_(@_)">
                  <c:v>59087.1951664964</c:v>
                </c:pt>
                <c:pt idx="1034" formatCode="_(&quot;$&quot;* #,##0.00_);_(&quot;$&quot;* \(#,##0.00\);_(&quot;$&quot;* &quot;-&quot;??_);_(@_)">
                  <c:v>59241.107097424014</c:v>
                </c:pt>
                <c:pt idx="1035" formatCode="_(&quot;$&quot;* #,##0.00_);_(&quot;$&quot;* \(#,##0.00\);_(&quot;$&quot;* &quot;-&quot;??_);_(@_)">
                  <c:v>59095.884107607271</c:v>
                </c:pt>
                <c:pt idx="1036" formatCode="_(&quot;$&quot;* #,##0.00_);_(&quot;$&quot;* \(#,##0.00\);_(&quot;$&quot;* &quot;-&quot;??_);_(@_)">
                  <c:v>59290.402344254871</c:v>
                </c:pt>
                <c:pt idx="1037" formatCode="_(&quot;$&quot;* #,##0.00_);_(&quot;$&quot;* \(#,##0.00\);_(&quot;$&quot;* &quot;-&quot;??_);_(@_)">
                  <c:v>59191.428524369621</c:v>
                </c:pt>
                <c:pt idx="1038" formatCode="_(&quot;$&quot;* #,##0.00_);_(&quot;$&quot;* \(#,##0.00\);_(&quot;$&quot;* &quot;-&quot;??_);_(@_)">
                  <c:v>59187.563807480285</c:v>
                </c:pt>
                <c:pt idx="1039" formatCode="_(&quot;$&quot;* #,##0.00_);_(&quot;$&quot;* \(#,##0.00\);_(&quot;$&quot;* &quot;-&quot;??_);_(@_)">
                  <c:v>59354.899535539553</c:v>
                </c:pt>
                <c:pt idx="1040" formatCode="_(&quot;$&quot;* #,##0.00_);_(&quot;$&quot;* \(#,##0.00\);_(&quot;$&quot;* &quot;-&quot;??_);_(@_)">
                  <c:v>59421.789396961911</c:v>
                </c:pt>
                <c:pt idx="1041" formatCode="_(&quot;$&quot;* #,##0.00_);_(&quot;$&quot;* \(#,##0.00\);_(&quot;$&quot;* &quot;-&quot;??_);_(@_)">
                  <c:v>59285.327241299412</c:v>
                </c:pt>
                <c:pt idx="1042" formatCode="_(&quot;$&quot;* #,##0.00_);_(&quot;$&quot;* \(#,##0.00\);_(&quot;$&quot;* &quot;-&quot;??_);_(@_)">
                  <c:v>59374.892847133597</c:v>
                </c:pt>
                <c:pt idx="1043" formatCode="_(&quot;$&quot;* #,##0.00_);_(&quot;$&quot;* \(#,##0.00\);_(&quot;$&quot;* &quot;-&quot;??_);_(@_)">
                  <c:v>59371.300634780469</c:v>
                </c:pt>
                <c:pt idx="1044" formatCode="_(&quot;$&quot;* #,##0.00_);_(&quot;$&quot;* \(#,##0.00\);_(&quot;$&quot;* &quot;-&quot;??_);_(@_)">
                  <c:v>59245.323962844253</c:v>
                </c:pt>
                <c:pt idx="1045" formatCode="_(&quot;$&quot;* #,##0.00_);_(&quot;$&quot;* \(#,##0.00\);_(&quot;$&quot;* &quot;-&quot;??_);_(@_)">
                  <c:v>59532.399088068618</c:v>
                </c:pt>
                <c:pt idx="1046" formatCode="_(&quot;$&quot;* #,##0.00_);_(&quot;$&quot;* \(#,##0.00\);_(&quot;$&quot;* &quot;-&quot;??_);_(@_)">
                  <c:v>59176.50905035709</c:v>
                </c:pt>
                <c:pt idx="1047" formatCode="_(&quot;$&quot;* #,##0.00_);_(&quot;$&quot;* \(#,##0.00\);_(&quot;$&quot;* &quot;-&quot;??_);_(@_)">
                  <c:v>59286.360931895608</c:v>
                </c:pt>
                <c:pt idx="1048" formatCode="_(&quot;$&quot;* #,##0.00_);_(&quot;$&quot;* \(#,##0.00\);_(&quot;$&quot;* &quot;-&quot;??_);_(@_)">
                  <c:v>59303.962943010905</c:v>
                </c:pt>
                <c:pt idx="1049" formatCode="_(&quot;$&quot;* #,##0.00_);_(&quot;$&quot;* \(#,##0.00\);_(&quot;$&quot;* &quot;-&quot;??_);_(@_)">
                  <c:v>59126.058123240226</c:v>
                </c:pt>
                <c:pt idx="1050" formatCode="_(&quot;$&quot;* #,##0.00_);_(&quot;$&quot;* \(#,##0.00\);_(&quot;$&quot;* &quot;-&quot;??_);_(@_)">
                  <c:v>59476.586703088084</c:v>
                </c:pt>
                <c:pt idx="1051" formatCode="_(&quot;$&quot;* #,##0.00_);_(&quot;$&quot;* \(#,##0.00\);_(&quot;$&quot;* &quot;-&quot;??_);_(@_)">
                  <c:v>59560.087153561377</c:v>
                </c:pt>
                <c:pt idx="1052" formatCode="_(&quot;$&quot;* #,##0.00_);_(&quot;$&quot;* \(#,##0.00\);_(&quot;$&quot;* &quot;-&quot;??_);_(@_)">
                  <c:v>59487.581587518805</c:v>
                </c:pt>
                <c:pt idx="1053" formatCode="_(&quot;$&quot;* #,##0.00_);_(&quot;$&quot;* \(#,##0.00\);_(&quot;$&quot;* &quot;-&quot;??_);_(@_)">
                  <c:v>59448.869270994008</c:v>
                </c:pt>
                <c:pt idx="1054" formatCode="_(&quot;$&quot;* #,##0.00_);_(&quot;$&quot;* \(#,##0.00\);_(&quot;$&quot;* &quot;-&quot;??_);_(@_)">
                  <c:v>59411.178670515081</c:v>
                </c:pt>
                <c:pt idx="1055" formatCode="_(&quot;$&quot;* #,##0.00_);_(&quot;$&quot;* \(#,##0.00\);_(&quot;$&quot;* &quot;-&quot;??_);_(@_)">
                  <c:v>59525.236428043383</c:v>
                </c:pt>
                <c:pt idx="1056" formatCode="_(&quot;$&quot;* #,##0.00_);_(&quot;$&quot;* \(#,##0.00\);_(&quot;$&quot;* &quot;-&quot;??_);_(@_)">
                  <c:v>59389.14507032423</c:v>
                </c:pt>
                <c:pt idx="1057" formatCode="_(&quot;$&quot;* #,##0.00_);_(&quot;$&quot;* \(#,##0.00\);_(&quot;$&quot;* &quot;-&quot;??_);_(@_)">
                  <c:v>59324.160622382835</c:v>
                </c:pt>
                <c:pt idx="1058" formatCode="_(&quot;$&quot;* #,##0.00_);_(&quot;$&quot;* \(#,##0.00\);_(&quot;$&quot;* &quot;-&quot;??_);_(@_)">
                  <c:v>59518.42798057646</c:v>
                </c:pt>
                <c:pt idx="1059" formatCode="_(&quot;$&quot;* #,##0.00_);_(&quot;$&quot;* \(#,##0.00\);_(&quot;$&quot;* &quot;-&quot;??_);_(@_)">
                  <c:v>59652.901840432074</c:v>
                </c:pt>
                <c:pt idx="1060" formatCode="_(&quot;$&quot;* #,##0.00_);_(&quot;$&quot;* \(#,##0.00\);_(&quot;$&quot;* &quot;-&quot;??_);_(@_)">
                  <c:v>59589.979280026309</c:v>
                </c:pt>
                <c:pt idx="1061" formatCode="_(&quot;$&quot;* #,##0.00_);_(&quot;$&quot;* \(#,##0.00\);_(&quot;$&quot;* &quot;-&quot;??_);_(@_)">
                  <c:v>59619.617632841117</c:v>
                </c:pt>
                <c:pt idx="1062" formatCode="_(&quot;$&quot;* #,##0.00_);_(&quot;$&quot;* \(#,##0.00\);_(&quot;$&quot;* &quot;-&quot;??_);_(@_)">
                  <c:v>59803.444364358678</c:v>
                </c:pt>
                <c:pt idx="1063" formatCode="_(&quot;$&quot;* #,##0.00_);_(&quot;$&quot;* \(#,##0.00\);_(&quot;$&quot;* &quot;-&quot;??_);_(@_)">
                  <c:v>59715.519724389902</c:v>
                </c:pt>
                <c:pt idx="1064" formatCode="_(&quot;$&quot;* #,##0.00_);_(&quot;$&quot;* \(#,##0.00\);_(&quot;$&quot;* &quot;-&quot;??_);_(@_)">
                  <c:v>59895.432744989201</c:v>
                </c:pt>
                <c:pt idx="1065" formatCode="_(&quot;$&quot;* #,##0.00_);_(&quot;$&quot;* \(#,##0.00\);_(&quot;$&quot;* &quot;-&quot;??_);_(@_)">
                  <c:v>59729.842223113592</c:v>
                </c:pt>
                <c:pt idx="1066" formatCode="_(&quot;$&quot;* #,##0.00_);_(&quot;$&quot;* \(#,##0.00\);_(&quot;$&quot;* &quot;-&quot;??_);_(@_)">
                  <c:v>59646.153324243918</c:v>
                </c:pt>
                <c:pt idx="1067" formatCode="_(&quot;$&quot;* #,##0.00_);_(&quot;$&quot;* \(#,##0.00\);_(&quot;$&quot;* &quot;-&quot;??_);_(@_)">
                  <c:v>59599.042229088787</c:v>
                </c:pt>
                <c:pt idx="1068" formatCode="_(&quot;$&quot;* #,##0.00_);_(&quot;$&quot;* \(#,##0.00\);_(&quot;$&quot;* &quot;-&quot;??_);_(@_)">
                  <c:v>59585.890670702422</c:v>
                </c:pt>
                <c:pt idx="1069" formatCode="_(&quot;$&quot;* #,##0.00_);_(&quot;$&quot;* \(#,##0.00\);_(&quot;$&quot;* &quot;-&quot;??_);_(@_)">
                  <c:v>59602.926086988067</c:v>
                </c:pt>
                <c:pt idx="1070" formatCode="_(&quot;$&quot;* #,##0.00_);_(&quot;$&quot;* \(#,##0.00\);_(&quot;$&quot;* &quot;-&quot;??_);_(@_)">
                  <c:v>59752.243938751795</c:v>
                </c:pt>
                <c:pt idx="1071" formatCode="_(&quot;$&quot;* #,##0.00_);_(&quot;$&quot;* \(#,##0.00\);_(&quot;$&quot;* &quot;-&quot;??_);_(@_)">
                  <c:v>59738.223696338609</c:v>
                </c:pt>
                <c:pt idx="1072" formatCode="_(&quot;$&quot;* #,##0.00_);_(&quot;$&quot;* \(#,##0.00\);_(&quot;$&quot;* &quot;-&quot;??_);_(@_)">
                  <c:v>59650.11458295874</c:v>
                </c:pt>
                <c:pt idx="1073" formatCode="_(&quot;$&quot;* #,##0.00_);_(&quot;$&quot;* \(#,##0.00\);_(&quot;$&quot;* &quot;-&quot;??_);_(@_)">
                  <c:v>59698.041154040111</c:v>
                </c:pt>
                <c:pt idx="1074" formatCode="_(&quot;$&quot;* #,##0.00_);_(&quot;$&quot;* \(#,##0.00\);_(&quot;$&quot;* &quot;-&quot;??_);_(@_)">
                  <c:v>59691.354035503937</c:v>
                </c:pt>
                <c:pt idx="1075" formatCode="_(&quot;$&quot;* #,##0.00_);_(&quot;$&quot;* \(#,##0.00\);_(&quot;$&quot;* &quot;-&quot;??_);_(@_)">
                  <c:v>59594.742653147398</c:v>
                </c:pt>
                <c:pt idx="1076" formatCode="_(&quot;$&quot;* #,##0.00_);_(&quot;$&quot;* \(#,##0.00\);_(&quot;$&quot;* &quot;-&quot;??_);_(@_)">
                  <c:v>59591.776887224114</c:v>
                </c:pt>
                <c:pt idx="1077" formatCode="_(&quot;$&quot;* #,##0.00_);_(&quot;$&quot;* \(#,##0.00\);_(&quot;$&quot;* &quot;-&quot;??_);_(@_)">
                  <c:v>59632.846272757299</c:v>
                </c:pt>
                <c:pt idx="1078" formatCode="_(&quot;$&quot;* #,##0.00_);_(&quot;$&quot;* \(#,##0.00\);_(&quot;$&quot;* &quot;-&quot;??_);_(@_)">
                  <c:v>59859.306510849936</c:v>
                </c:pt>
                <c:pt idx="1079" formatCode="_(&quot;$&quot;* #,##0.00_);_(&quot;$&quot;* \(#,##0.00\);_(&quot;$&quot;* &quot;-&quot;??_);_(@_)">
                  <c:v>59971.630250103917</c:v>
                </c:pt>
                <c:pt idx="1080" formatCode="_(&quot;$&quot;* #,##0.00_);_(&quot;$&quot;* \(#,##0.00\);_(&quot;$&quot;* &quot;-&quot;??_);_(@_)">
                  <c:v>60227.588278544245</c:v>
                </c:pt>
                <c:pt idx="1081" formatCode="_(&quot;$&quot;* #,##0.00_);_(&quot;$&quot;* \(#,##0.00\);_(&quot;$&quot;* &quot;-&quot;??_);_(@_)">
                  <c:v>60069.305333901633</c:v>
                </c:pt>
                <c:pt idx="1082" formatCode="_(&quot;$&quot;* #,##0.00_);_(&quot;$&quot;* \(#,##0.00\);_(&quot;$&quot;* &quot;-&quot;??_);_(@_)">
                  <c:v>60096.193675988659</c:v>
                </c:pt>
                <c:pt idx="1083" formatCode="_(&quot;$&quot;* #,##0.00_);_(&quot;$&quot;* \(#,##0.00\);_(&quot;$&quot;* &quot;-&quot;??_);_(@_)">
                  <c:v>60321.694585112135</c:v>
                </c:pt>
                <c:pt idx="1084" formatCode="_(&quot;$&quot;* #,##0.00_);_(&quot;$&quot;* \(#,##0.00\);_(&quot;$&quot;* &quot;-&quot;??_);_(@_)">
                  <c:v>60460.791433885184</c:v>
                </c:pt>
                <c:pt idx="1085" formatCode="_(&quot;$&quot;* #,##0.00_);_(&quot;$&quot;* \(#,##0.00\);_(&quot;$&quot;* &quot;-&quot;??_);_(@_)">
                  <c:v>60322.666202985645</c:v>
                </c:pt>
                <c:pt idx="1086" formatCode="_(&quot;$&quot;* #,##0.00_);_(&quot;$&quot;* \(#,##0.00\);_(&quot;$&quot;* &quot;-&quot;??_);_(@_)">
                  <c:v>60264.069582443102</c:v>
                </c:pt>
                <c:pt idx="1087" formatCode="_(&quot;$&quot;* #,##0.00_);_(&quot;$&quot;* \(#,##0.00\);_(&quot;$&quot;* &quot;-&quot;??_);_(@_)">
                  <c:v>60530.088904274693</c:v>
                </c:pt>
                <c:pt idx="1088" formatCode="_(&quot;$&quot;* #,##0.00_);_(&quot;$&quot;* \(#,##0.00\);_(&quot;$&quot;* &quot;-&quot;??_);_(@_)">
                  <c:v>60459.371860700492</c:v>
                </c:pt>
                <c:pt idx="1089" formatCode="_(&quot;$&quot;* #,##0.00_);_(&quot;$&quot;* \(#,##0.00\);_(&quot;$&quot;* &quot;-&quot;??_);_(@_)">
                  <c:v>60465.596676353867</c:v>
                </c:pt>
                <c:pt idx="1090" formatCode="_(&quot;$&quot;* #,##0.00_);_(&quot;$&quot;* \(#,##0.00\);_(&quot;$&quot;* &quot;-&quot;??_);_(@_)">
                  <c:v>60677.956266916714</c:v>
                </c:pt>
                <c:pt idx="1091" formatCode="_(&quot;$&quot;* #,##0.00_);_(&quot;$&quot;* \(#,##0.00\);_(&quot;$&quot;* &quot;-&quot;??_);_(@_)">
                  <c:v>60577.807951153387</c:v>
                </c:pt>
                <c:pt idx="1092" formatCode="_(&quot;$&quot;* #,##0.00_);_(&quot;$&quot;* \(#,##0.00\);_(&quot;$&quot;* &quot;-&quot;??_);_(@_)">
                  <c:v>60569.86392632185</c:v>
                </c:pt>
                <c:pt idx="1093" formatCode="_(&quot;$&quot;* #,##0.00_);_(&quot;$&quot;* \(#,##0.00\);_(&quot;$&quot;* &quot;-&quot;??_);_(@_)">
                  <c:v>60436.262367263713</c:v>
                </c:pt>
                <c:pt idx="1094" formatCode="_(&quot;$&quot;* #,##0.00_);_(&quot;$&quot;* \(#,##0.00\);_(&quot;$&quot;* &quot;-&quot;??_);_(@_)">
                  <c:v>60556.667224880701</c:v>
                </c:pt>
                <c:pt idx="1095" formatCode="_(&quot;$&quot;* #,##0.00_);_(&quot;$&quot;* \(#,##0.00\);_(&quot;$&quot;* &quot;-&quot;??_);_(@_)">
                  <c:v>60495.800049436308</c:v>
                </c:pt>
                <c:pt idx="1096" formatCode="_(&quot;$&quot;* #,##0.00_);_(&quot;$&quot;* \(#,##0.00\);_(&quot;$&quot;* &quot;-&quot;??_);_(@_)">
                  <c:v>60246.111214370554</c:v>
                </c:pt>
                <c:pt idx="1097" formatCode="_(&quot;$&quot;* #,##0.00_);_(&quot;$&quot;* \(#,##0.00\);_(&quot;$&quot;* &quot;-&quot;??_);_(@_)">
                  <c:v>60642.826991132017</c:v>
                </c:pt>
                <c:pt idx="1098" formatCode="_(&quot;$&quot;* #,##0.00_);_(&quot;$&quot;* \(#,##0.00\);_(&quot;$&quot;* &quot;-&quot;??_);_(@_)">
                  <c:v>60679.507309108514</c:v>
                </c:pt>
                <c:pt idx="1099" formatCode="_(&quot;$&quot;* #,##0.00_);_(&quot;$&quot;* \(#,##0.00\);_(&quot;$&quot;* &quot;-&quot;??_);_(@_)">
                  <c:v>60601.086736983139</c:v>
                </c:pt>
                <c:pt idx="1100" formatCode="_(&quot;$&quot;* #,##0.00_);_(&quot;$&quot;* \(#,##0.00\);_(&quot;$&quot;* &quot;-&quot;??_);_(@_)">
                  <c:v>60765.624137713894</c:v>
                </c:pt>
                <c:pt idx="1101" formatCode="_(&quot;$&quot;* #,##0.00_);_(&quot;$&quot;* \(#,##0.00\);_(&quot;$&quot;* &quot;-&quot;??_);_(@_)">
                  <c:v>60633.254569949378</c:v>
                </c:pt>
                <c:pt idx="1102" formatCode="_(&quot;$&quot;* #,##0.00_);_(&quot;$&quot;* \(#,##0.00\);_(&quot;$&quot;* &quot;-&quot;??_);_(@_)">
                  <c:v>60618.287342805226</c:v>
                </c:pt>
                <c:pt idx="1103" formatCode="_(&quot;$&quot;* #,##0.00_);_(&quot;$&quot;* \(#,##0.00\);_(&quot;$&quot;* &quot;-&quot;??_);_(@_)">
                  <c:v>60563.071290446838</c:v>
                </c:pt>
                <c:pt idx="1104" formatCode="_(&quot;$&quot;* #,##0.00_);_(&quot;$&quot;* \(#,##0.00\);_(&quot;$&quot;* &quot;-&quot;??_);_(@_)">
                  <c:v>60436.370317471839</c:v>
                </c:pt>
                <c:pt idx="1105" formatCode="_(&quot;$&quot;* #,##0.00_);_(&quot;$&quot;* \(#,##0.00\);_(&quot;$&quot;* &quot;-&quot;??_);_(@_)">
                  <c:v>60396.523739884251</c:v>
                </c:pt>
                <c:pt idx="1106" formatCode="_(&quot;$&quot;* #,##0.00_);_(&quot;$&quot;* \(#,##0.00\);_(&quot;$&quot;* &quot;-&quot;??_);_(@_)">
                  <c:v>60579.068645104016</c:v>
                </c:pt>
                <c:pt idx="1107" formatCode="_(&quot;$&quot;* #,##0.00_);_(&quot;$&quot;* \(#,##0.00\);_(&quot;$&quot;* &quot;-&quot;??_);_(@_)">
                  <c:v>60607.930568991171</c:v>
                </c:pt>
                <c:pt idx="1108" formatCode="_(&quot;$&quot;* #,##0.00_);_(&quot;$&quot;* \(#,##0.00\);_(&quot;$&quot;* &quot;-&quot;??_);_(@_)">
                  <c:v>60519.452655389869</c:v>
                </c:pt>
                <c:pt idx="1109" formatCode="_(&quot;$&quot;* #,##0.00_);_(&quot;$&quot;* \(#,##0.00\);_(&quot;$&quot;* &quot;-&quot;??_);_(@_)">
                  <c:v>60639.597513893837</c:v>
                </c:pt>
                <c:pt idx="1110" formatCode="_(&quot;$&quot;* #,##0.00_);_(&quot;$&quot;* \(#,##0.00\);_(&quot;$&quot;* &quot;-&quot;??_);_(@_)">
                  <c:v>60706.748793173858</c:v>
                </c:pt>
                <c:pt idx="1111" formatCode="_(&quot;$&quot;* #,##0.00_);_(&quot;$&quot;* \(#,##0.00\);_(&quot;$&quot;* &quot;-&quot;??_);_(@_)">
                  <c:v>60641.897922464726</c:v>
                </c:pt>
                <c:pt idx="1112" formatCode="_(&quot;$&quot;* #,##0.00_);_(&quot;$&quot;* \(#,##0.00\);_(&quot;$&quot;* &quot;-&quot;??_);_(@_)">
                  <c:v>60623.795680074829</c:v>
                </c:pt>
                <c:pt idx="1113" formatCode="_(&quot;$&quot;* #,##0.00_);_(&quot;$&quot;* \(#,##0.00\);_(&quot;$&quot;* &quot;-&quot;??_);_(@_)">
                  <c:v>60855.30477690338</c:v>
                </c:pt>
                <c:pt idx="1114" formatCode="_(&quot;$&quot;* #,##0.00_);_(&quot;$&quot;* \(#,##0.00\);_(&quot;$&quot;* &quot;-&quot;??_);_(@_)">
                  <c:v>60689.755757323735</c:v>
                </c:pt>
                <c:pt idx="1115" formatCode="_(&quot;$&quot;* #,##0.00_);_(&quot;$&quot;* \(#,##0.00\);_(&quot;$&quot;* &quot;-&quot;??_);_(@_)">
                  <c:v>60590.258076837003</c:v>
                </c:pt>
                <c:pt idx="1116" formatCode="_(&quot;$&quot;* #,##0.00_);_(&quot;$&quot;* \(#,##0.00\);_(&quot;$&quot;* &quot;-&quot;??_);_(@_)">
                  <c:v>60445.356482794967</c:v>
                </c:pt>
                <c:pt idx="1117" formatCode="_(&quot;$&quot;* #,##0.00_);_(&quot;$&quot;* \(#,##0.00\);_(&quot;$&quot;* &quot;-&quot;??_);_(@_)">
                  <c:v>60509.601044151103</c:v>
                </c:pt>
                <c:pt idx="1118" formatCode="_(&quot;$&quot;* #,##0.00_);_(&quot;$&quot;* \(#,##0.00\);_(&quot;$&quot;* &quot;-&quot;??_);_(@_)">
                  <c:v>60547.57315361713</c:v>
                </c:pt>
                <c:pt idx="1119" formatCode="_(&quot;$&quot;* #,##0.00_);_(&quot;$&quot;* \(#,##0.00\);_(&quot;$&quot;* &quot;-&quot;??_);_(@_)">
                  <c:v>60753.489350129632</c:v>
                </c:pt>
                <c:pt idx="1120" formatCode="_(&quot;$&quot;* #,##0.00_);_(&quot;$&quot;* \(#,##0.00\);_(&quot;$&quot;* &quot;-&quot;??_);_(@_)">
                  <c:v>60820.953067599265</c:v>
                </c:pt>
                <c:pt idx="1121" formatCode="_(&quot;$&quot;* #,##0.00_);_(&quot;$&quot;* \(#,##0.00\);_(&quot;$&quot;* &quot;-&quot;??_);_(@_)">
                  <c:v>60841.832336491221</c:v>
                </c:pt>
                <c:pt idx="1122" formatCode="_(&quot;$&quot;* #,##0.00_);_(&quot;$&quot;* \(#,##0.00\);_(&quot;$&quot;* &quot;-&quot;??_);_(@_)">
                  <c:v>60844.522604464379</c:v>
                </c:pt>
                <c:pt idx="1123" formatCode="_(&quot;$&quot;* #,##0.00_);_(&quot;$&quot;* \(#,##0.00\);_(&quot;$&quot;* &quot;-&quot;??_);_(@_)">
                  <c:v>61011.428545852141</c:v>
                </c:pt>
                <c:pt idx="1124" formatCode="_(&quot;$&quot;* #,##0.00_);_(&quot;$&quot;* \(#,##0.00\);_(&quot;$&quot;* &quot;-&quot;??_);_(@_)">
                  <c:v>61024.419722530765</c:v>
                </c:pt>
                <c:pt idx="1125" formatCode="_(&quot;$&quot;* #,##0.00_);_(&quot;$&quot;* \(#,##0.00\);_(&quot;$&quot;* &quot;-&quot;??_);_(@_)">
                  <c:v>61019.099499726806</c:v>
                </c:pt>
                <c:pt idx="1126" formatCode="_(&quot;$&quot;* #,##0.00_);_(&quot;$&quot;* \(#,##0.00\);_(&quot;$&quot;* &quot;-&quot;??_);_(@_)">
                  <c:v>61304.492099987852</c:v>
                </c:pt>
                <c:pt idx="1127" formatCode="_(&quot;$&quot;* #,##0.00_);_(&quot;$&quot;* \(#,##0.00\);_(&quot;$&quot;* &quot;-&quot;??_);_(@_)">
                  <c:v>60965.035313995795</c:v>
                </c:pt>
                <c:pt idx="1128" formatCode="_(&quot;$&quot;* #,##0.00_);_(&quot;$&quot;* \(#,##0.00\);_(&quot;$&quot;* &quot;-&quot;??_);_(@_)">
                  <c:v>61166.242373982379</c:v>
                </c:pt>
                <c:pt idx="1129" formatCode="_(&quot;$&quot;* #,##0.00_);_(&quot;$&quot;* \(#,##0.00\);_(&quot;$&quot;* &quot;-&quot;??_);_(@_)">
                  <c:v>61298.884782420857</c:v>
                </c:pt>
                <c:pt idx="1130" formatCode="_(&quot;$&quot;* #,##0.00_);_(&quot;$&quot;* \(#,##0.00\);_(&quot;$&quot;* &quot;-&quot;??_);_(@_)">
                  <c:v>60887.880736727384</c:v>
                </c:pt>
                <c:pt idx="1131" formatCode="_(&quot;$&quot;* #,##0.00_);_(&quot;$&quot;* \(#,##0.00\);_(&quot;$&quot;* &quot;-&quot;??_);_(@_)">
                  <c:v>60874.504712458845</c:v>
                </c:pt>
                <c:pt idx="1132" formatCode="_(&quot;$&quot;* #,##0.00_);_(&quot;$&quot;* \(#,##0.00\);_(&quot;$&quot;* &quot;-&quot;??_);_(@_)">
                  <c:v>60702.170341604738</c:v>
                </c:pt>
                <c:pt idx="1133" formatCode="_(&quot;$&quot;* #,##0.00_);_(&quot;$&quot;* \(#,##0.00\);_(&quot;$&quot;* &quot;-&quot;??_);_(@_)">
                  <c:v>60790.110498510418</c:v>
                </c:pt>
                <c:pt idx="1134" formatCode="_(&quot;$&quot;* #,##0.00_);_(&quot;$&quot;* \(#,##0.00\);_(&quot;$&quot;* &quot;-&quot;??_);_(@_)">
                  <c:v>61008.28873164481</c:v>
                </c:pt>
                <c:pt idx="1135" formatCode="_(&quot;$&quot;* #,##0.00_);_(&quot;$&quot;* \(#,##0.00\);_(&quot;$&quot;* &quot;-&quot;??_);_(@_)">
                  <c:v>60798.991576694127</c:v>
                </c:pt>
                <c:pt idx="1136" formatCode="_(&quot;$&quot;* #,##0.00_);_(&quot;$&quot;* \(#,##0.00\);_(&quot;$&quot;* &quot;-&quot;??_);_(@_)">
                  <c:v>60938.522993776802</c:v>
                </c:pt>
                <c:pt idx="1137" formatCode="_(&quot;$&quot;* #,##0.00_);_(&quot;$&quot;* \(#,##0.00\);_(&quot;$&quot;* &quot;-&quot;??_);_(@_)">
                  <c:v>61017.004876708415</c:v>
                </c:pt>
                <c:pt idx="1138" formatCode="_(&quot;$&quot;* #,##0.00_);_(&quot;$&quot;* \(#,##0.00\);_(&quot;$&quot;* &quot;-&quot;??_);_(@_)">
                  <c:v>61175.468990497058</c:v>
                </c:pt>
                <c:pt idx="1139" formatCode="_(&quot;$&quot;* #,##0.00_);_(&quot;$&quot;* \(#,##0.00\);_(&quot;$&quot;* &quot;-&quot;??_);_(@_)">
                  <c:v>61067.04237884855</c:v>
                </c:pt>
                <c:pt idx="1140" formatCode="_(&quot;$&quot;* #,##0.00_);_(&quot;$&quot;* \(#,##0.00\);_(&quot;$&quot;* &quot;-&quot;??_);_(@_)">
                  <c:v>60746.209895317152</c:v>
                </c:pt>
                <c:pt idx="1141" formatCode="_(&quot;$&quot;* #,##0.00_);_(&quot;$&quot;* \(#,##0.00\);_(&quot;$&quot;* &quot;-&quot;??_);_(@_)">
                  <c:v>60751.230958370295</c:v>
                </c:pt>
                <c:pt idx="1142" formatCode="_(&quot;$&quot;* #,##0.00_);_(&quot;$&quot;* \(#,##0.00\);_(&quot;$&quot;* &quot;-&quot;??_);_(@_)">
                  <c:v>61042.575440202818</c:v>
                </c:pt>
                <c:pt idx="1143" formatCode="_(&quot;$&quot;* #,##0.00_);_(&quot;$&quot;* \(#,##0.00\);_(&quot;$&quot;* &quot;-&quot;??_);_(@_)">
                  <c:v>61189.553900738181</c:v>
                </c:pt>
                <c:pt idx="1144" formatCode="_(&quot;$&quot;* #,##0.00_);_(&quot;$&quot;* \(#,##0.00\);_(&quot;$&quot;* &quot;-&quot;??_);_(@_)">
                  <c:v>61600.253059463503</c:v>
                </c:pt>
                <c:pt idx="1145" formatCode="_(&quot;$&quot;* #,##0.00_);_(&quot;$&quot;* \(#,##0.00\);_(&quot;$&quot;* &quot;-&quot;??_);_(@_)">
                  <c:v>61174.592806534798</c:v>
                </c:pt>
                <c:pt idx="1146" formatCode="_(&quot;$&quot;* #,##0.00_);_(&quot;$&quot;* \(#,##0.00\);_(&quot;$&quot;* &quot;-&quot;??_);_(@_)">
                  <c:v>61271.375338254431</c:v>
                </c:pt>
                <c:pt idx="1147" formatCode="_(&quot;$&quot;* #,##0.00_);_(&quot;$&quot;* \(#,##0.00\);_(&quot;$&quot;* &quot;-&quot;??_);_(@_)">
                  <c:v>61219.10641414571</c:v>
                </c:pt>
                <c:pt idx="1148" formatCode="_(&quot;$&quot;* #,##0.00_);_(&quot;$&quot;* \(#,##0.00\);_(&quot;$&quot;* &quot;-&quot;??_);_(@_)">
                  <c:v>61081.317693707104</c:v>
                </c:pt>
                <c:pt idx="1149" formatCode="_(&quot;$&quot;* #,##0.00_);_(&quot;$&quot;* \(#,##0.00\);_(&quot;$&quot;* &quot;-&quot;??_);_(@_)">
                  <c:v>61282.244840893582</c:v>
                </c:pt>
                <c:pt idx="1150" formatCode="_(&quot;$&quot;* #,##0.00_);_(&quot;$&quot;* \(#,##0.00\);_(&quot;$&quot;* &quot;-&quot;??_);_(@_)">
                  <c:v>61441.634106544363</c:v>
                </c:pt>
                <c:pt idx="1151" formatCode="_(&quot;$&quot;* #,##0.00_);_(&quot;$&quot;* \(#,##0.00\);_(&quot;$&quot;* &quot;-&quot;??_);_(@_)">
                  <c:v>61548.276839365673</c:v>
                </c:pt>
                <c:pt idx="1152" formatCode="_(&quot;$&quot;* #,##0.00_);_(&quot;$&quot;* \(#,##0.00\);_(&quot;$&quot;* &quot;-&quot;??_);_(@_)">
                  <c:v>61079.333376865892</c:v>
                </c:pt>
                <c:pt idx="1153" formatCode="_(&quot;$&quot;* #,##0.00_);_(&quot;$&quot;* \(#,##0.00\);_(&quot;$&quot;* &quot;-&quot;??_);_(@_)">
                  <c:v>61420.239772641777</c:v>
                </c:pt>
                <c:pt idx="1154" formatCode="_(&quot;$&quot;* #,##0.00_);_(&quot;$&quot;* \(#,##0.00\);_(&quot;$&quot;* &quot;-&quot;??_);_(@_)">
                  <c:v>61477.316429350089</c:v>
                </c:pt>
                <c:pt idx="1155" formatCode="_(&quot;$&quot;* #,##0.00_);_(&quot;$&quot;* \(#,##0.00\);_(&quot;$&quot;* &quot;-&quot;??_);_(@_)">
                  <c:v>61373.215188670729</c:v>
                </c:pt>
                <c:pt idx="1156" formatCode="_(&quot;$&quot;* #,##0.00_);_(&quot;$&quot;* \(#,##0.00\);_(&quot;$&quot;* &quot;-&quot;??_);_(@_)">
                  <c:v>61489.415519930444</c:v>
                </c:pt>
                <c:pt idx="1157" formatCode="_(&quot;$&quot;* #,##0.00_);_(&quot;$&quot;* \(#,##0.00\);_(&quot;$&quot;* &quot;-&quot;??_);_(@_)">
                  <c:v>61514.032657805132</c:v>
                </c:pt>
                <c:pt idx="1158" formatCode="_(&quot;$&quot;* #,##0.00_);_(&quot;$&quot;* \(#,##0.00\);_(&quot;$&quot;* &quot;-&quot;??_);_(@_)">
                  <c:v>61553.846943388591</c:v>
                </c:pt>
                <c:pt idx="1159" formatCode="_(&quot;$&quot;* #,##0.00_);_(&quot;$&quot;* \(#,##0.00\);_(&quot;$&quot;* &quot;-&quot;??_);_(@_)">
                  <c:v>61432.51766240062</c:v>
                </c:pt>
                <c:pt idx="1160" formatCode="_(&quot;$&quot;* #,##0.00_);_(&quot;$&quot;* \(#,##0.00\);_(&quot;$&quot;* &quot;-&quot;??_);_(@_)">
                  <c:v>61647.572657932658</c:v>
                </c:pt>
                <c:pt idx="1161" formatCode="_(&quot;$&quot;* #,##0.00_);_(&quot;$&quot;* \(#,##0.00\);_(&quot;$&quot;* &quot;-&quot;??_);_(@_)">
                  <c:v>61724.949340802879</c:v>
                </c:pt>
                <c:pt idx="1162" formatCode="_(&quot;$&quot;* #,##0.00_);_(&quot;$&quot;* \(#,##0.00\);_(&quot;$&quot;* &quot;-&quot;??_);_(@_)">
                  <c:v>61704.467179067782</c:v>
                </c:pt>
                <c:pt idx="1163" formatCode="_(&quot;$&quot;* #,##0.00_);_(&quot;$&quot;* \(#,##0.00\);_(&quot;$&quot;* &quot;-&quot;??_);_(@_)">
                  <c:v>62339.059591992715</c:v>
                </c:pt>
                <c:pt idx="1164" formatCode="_(&quot;$&quot;* #,##0.00_);_(&quot;$&quot;* \(#,##0.00\);_(&quot;$&quot;* &quot;-&quot;??_);_(@_)">
                  <c:v>61520.502888411909</c:v>
                </c:pt>
                <c:pt idx="1165" formatCode="_(&quot;$&quot;* #,##0.00_);_(&quot;$&quot;* \(#,##0.00\);_(&quot;$&quot;* &quot;-&quot;??_);_(@_)">
                  <c:v>61397.870214185037</c:v>
                </c:pt>
                <c:pt idx="1166" formatCode="_(&quot;$&quot;* #,##0.00_);_(&quot;$&quot;* \(#,##0.00\);_(&quot;$&quot;* &quot;-&quot;??_);_(@_)">
                  <c:v>61371.732957444314</c:v>
                </c:pt>
                <c:pt idx="1167" formatCode="_(&quot;$&quot;* #,##0.00_);_(&quot;$&quot;* \(#,##0.00\);_(&quot;$&quot;* &quot;-&quot;??_);_(@_)">
                  <c:v>61514.798119737876</c:v>
                </c:pt>
                <c:pt idx="1168" formatCode="_(&quot;$&quot;* #,##0.00_);_(&quot;$&quot;* \(#,##0.00\);_(&quot;$&quot;* &quot;-&quot;??_);_(@_)">
                  <c:v>61648.67085614377</c:v>
                </c:pt>
                <c:pt idx="1169" formatCode="_(&quot;$&quot;* #,##0.00_);_(&quot;$&quot;* \(#,##0.00\);_(&quot;$&quot;* &quot;-&quot;??_);_(@_)">
                  <c:v>61551.212702670593</c:v>
                </c:pt>
                <c:pt idx="1170" formatCode="_(&quot;$&quot;* #,##0.00_);_(&quot;$&quot;* \(#,##0.00\);_(&quot;$&quot;* &quot;-&quot;??_);_(@_)">
                  <c:v>61569.878032781773</c:v>
                </c:pt>
                <c:pt idx="1171" formatCode="_(&quot;$&quot;* #,##0.00_);_(&quot;$&quot;* \(#,##0.00\);_(&quot;$&quot;* &quot;-&quot;??_);_(@_)">
                  <c:v>61603.685308472668</c:v>
                </c:pt>
                <c:pt idx="1172" formatCode="_(&quot;$&quot;* #,##0.00_);_(&quot;$&quot;* \(#,##0.00\);_(&quot;$&quot;* &quot;-&quot;??_);_(@_)">
                  <c:v>61688.424020885832</c:v>
                </c:pt>
                <c:pt idx="1173" formatCode="_(&quot;$&quot;* #,##0.00_);_(&quot;$&quot;* \(#,##0.00\);_(&quot;$&quot;* &quot;-&quot;??_);_(@_)">
                  <c:v>62235.904299611881</c:v>
                </c:pt>
                <c:pt idx="1174" formatCode="_(&quot;$&quot;* #,##0.00_);_(&quot;$&quot;* \(#,##0.00\);_(&quot;$&quot;* &quot;-&quot;??_);_(@_)">
                  <c:v>62102.414023974481</c:v>
                </c:pt>
                <c:pt idx="1175" formatCode="_(&quot;$&quot;* #,##0.00_);_(&quot;$&quot;* \(#,##0.00\);_(&quot;$&quot;* &quot;-&quot;??_);_(@_)">
                  <c:v>62374.665031840595</c:v>
                </c:pt>
                <c:pt idx="1176" formatCode="_(&quot;$&quot;* #,##0.00_);_(&quot;$&quot;* \(#,##0.00\);_(&quot;$&quot;* &quot;-&quot;??_);_(@_)">
                  <c:v>62688.720343067136</c:v>
                </c:pt>
                <c:pt idx="1177" formatCode="_(&quot;$&quot;* #,##0.00_);_(&quot;$&quot;* \(#,##0.00\);_(&quot;$&quot;* &quot;-&quot;??_);_(@_)">
                  <c:v>63092.618913845021</c:v>
                </c:pt>
                <c:pt idx="1178" formatCode="_(&quot;$&quot;* #,##0.00_);_(&quot;$&quot;* \(#,##0.00\);_(&quot;$&quot;* &quot;-&quot;??_);_(@_)">
                  <c:v>62973.33701416057</c:v>
                </c:pt>
                <c:pt idx="1179" formatCode="_(&quot;$&quot;* #,##0.00_);_(&quot;$&quot;* \(#,##0.00\);_(&quot;$&quot;* &quot;-&quot;??_);_(@_)">
                  <c:v>63037.825814174219</c:v>
                </c:pt>
                <c:pt idx="1180" formatCode="_(&quot;$&quot;* #,##0.00_);_(&quot;$&quot;* \(#,##0.00\);_(&quot;$&quot;* &quot;-&quot;??_);_(@_)">
                  <c:v>62844.018999814056</c:v>
                </c:pt>
                <c:pt idx="1181" formatCode="_(&quot;$&quot;* #,##0.00_);_(&quot;$&quot;* \(#,##0.00\);_(&quot;$&quot;* &quot;-&quot;??_);_(@_)">
                  <c:v>63049.686001126487</c:v>
                </c:pt>
                <c:pt idx="1182" formatCode="_(&quot;$&quot;* #,##0.00_);_(&quot;$&quot;* \(#,##0.00\);_(&quot;$&quot;* &quot;-&quot;??_);_(@_)">
                  <c:v>63349.109680209549</c:v>
                </c:pt>
                <c:pt idx="1183" formatCode="_(&quot;$&quot;* #,##0.00_);_(&quot;$&quot;* \(#,##0.00\);_(&quot;$&quot;* &quot;-&quot;??_);_(@_)">
                  <c:v>63493.574263890645</c:v>
                </c:pt>
                <c:pt idx="1184" formatCode="_(&quot;$&quot;* #,##0.00_);_(&quot;$&quot;* \(#,##0.00\);_(&quot;$&quot;* &quot;-&quot;??_);_(@_)">
                  <c:v>63616.954627755636</c:v>
                </c:pt>
                <c:pt idx="1185" formatCode="_(&quot;$&quot;* #,##0.00_);_(&quot;$&quot;* \(#,##0.00\);_(&quot;$&quot;* &quot;-&quot;??_);_(@_)">
                  <c:v>64013.026767661278</c:v>
                </c:pt>
                <c:pt idx="1186" formatCode="_(&quot;$&quot;* #,##0.00_);_(&quot;$&quot;* \(#,##0.00\);_(&quot;$&quot;* &quot;-&quot;??_);_(@_)">
                  <c:v>64095.940473945317</c:v>
                </c:pt>
                <c:pt idx="1187" formatCode="_(&quot;$&quot;* #,##0.00_);_(&quot;$&quot;* \(#,##0.00\);_(&quot;$&quot;* &quot;-&quot;??_);_(@_)">
                  <c:v>64055.248419778189</c:v>
                </c:pt>
                <c:pt idx="1188" formatCode="_(&quot;$&quot;* #,##0.00_);_(&quot;$&quot;* \(#,##0.00\);_(&quot;$&quot;* &quot;-&quot;??_);_(@_)">
                  <c:v>64422.114582963288</c:v>
                </c:pt>
                <c:pt idx="1189" formatCode="_(&quot;$&quot;* #,##0.00_);_(&quot;$&quot;* \(#,##0.00\);_(&quot;$&quot;* &quot;-&quot;??_);_(@_)">
                  <c:v>64102.542350684307</c:v>
                </c:pt>
                <c:pt idx="1190" formatCode="_(&quot;$&quot;* #,##0.00_);_(&quot;$&quot;* \(#,##0.00\);_(&quot;$&quot;* &quot;-&quot;??_);_(@_)">
                  <c:v>64471.54774126273</c:v>
                </c:pt>
                <c:pt idx="1191" formatCode="_(&quot;$&quot;* #,##0.00_);_(&quot;$&quot;* \(#,##0.00\);_(&quot;$&quot;* &quot;-&quot;??_);_(@_)">
                  <c:v>64212.783045083619</c:v>
                </c:pt>
                <c:pt idx="1192" formatCode="_(&quot;$&quot;* #,##0.00_);_(&quot;$&quot;* \(#,##0.00\);_(&quot;$&quot;* &quot;-&quot;??_);_(@_)">
                  <c:v>64095.409056270262</c:v>
                </c:pt>
                <c:pt idx="1193" formatCode="_(&quot;$&quot;* #,##0.00_);_(&quot;$&quot;* \(#,##0.00\);_(&quot;$&quot;* &quot;-&quot;??_);_(@_)">
                  <c:v>64298.965846189603</c:v>
                </c:pt>
                <c:pt idx="1194" formatCode="_(&quot;$&quot;* #,##0.00_);_(&quot;$&quot;* \(#,##0.00\);_(&quot;$&quot;* &quot;-&quot;??_);_(@_)">
                  <c:v>64147.023072682729</c:v>
                </c:pt>
                <c:pt idx="1195" formatCode="_(&quot;$&quot;* #,##0.00_);_(&quot;$&quot;* \(#,##0.00\);_(&quot;$&quot;* &quot;-&quot;??_);_(@_)">
                  <c:v>64392.759576402386</c:v>
                </c:pt>
                <c:pt idx="1196" formatCode="_(&quot;$&quot;* #,##0.00_);_(&quot;$&quot;* \(#,##0.00\);_(&quot;$&quot;* &quot;-&quot;??_);_(@_)">
                  <c:v>64365.043952473476</c:v>
                </c:pt>
                <c:pt idx="1197" formatCode="_(&quot;$&quot;* #,##0.00_);_(&quot;$&quot;* \(#,##0.00\);_(&quot;$&quot;* &quot;-&quot;??_);_(@_)">
                  <c:v>64637.685993628511</c:v>
                </c:pt>
                <c:pt idx="1198" formatCode="_(&quot;$&quot;* #,##0.00_);_(&quot;$&quot;* \(#,##0.00\);_(&quot;$&quot;* &quot;-&quot;??_);_(@_)">
                  <c:v>64645.497297481779</c:v>
                </c:pt>
                <c:pt idx="1199" formatCode="_(&quot;$&quot;* #,##0.00_);_(&quot;$&quot;* \(#,##0.00\);_(&quot;$&quot;* &quot;-&quot;??_);_(@_)">
                  <c:v>64429.686140132595</c:v>
                </c:pt>
                <c:pt idx="1200" formatCode="_(&quot;$&quot;* #,##0.00_);_(&quot;$&quot;* \(#,##0.00\);_(&quot;$&quot;* &quot;-&quot;??_);_(@_)">
                  <c:v>64586.879921020583</c:v>
                </c:pt>
                <c:pt idx="1201" formatCode="_(&quot;$&quot;* #,##0.00_);_(&quot;$&quot;* \(#,##0.00\);_(&quot;$&quot;* &quot;-&quot;??_);_(@_)">
                  <c:v>64489.014980395405</c:v>
                </c:pt>
                <c:pt idx="1202" formatCode="_(&quot;$&quot;* #,##0.00_);_(&quot;$&quot;* \(#,##0.00\);_(&quot;$&quot;* &quot;-&quot;??_);_(@_)">
                  <c:v>64553.821182776315</c:v>
                </c:pt>
                <c:pt idx="1203" formatCode="_(&quot;$&quot;* #,##0.00_);_(&quot;$&quot;* \(#,##0.00\);_(&quot;$&quot;* &quot;-&quot;??_);_(@_)">
                  <c:v>64796.648171864785</c:v>
                </c:pt>
                <c:pt idx="1204" formatCode="_(&quot;$&quot;* #,##0.00_);_(&quot;$&quot;* \(#,##0.00\);_(&quot;$&quot;* &quot;-&quot;??_);_(@_)">
                  <c:v>64680.126402162081</c:v>
                </c:pt>
                <c:pt idx="1205" formatCode="_(&quot;$&quot;* #,##0.00_);_(&quot;$&quot;* \(#,##0.00\);_(&quot;$&quot;* &quot;-&quot;??_);_(@_)">
                  <c:v>64314.342381476526</c:v>
                </c:pt>
                <c:pt idx="1206" formatCode="_(&quot;$&quot;* #,##0.00_);_(&quot;$&quot;* \(#,##0.00\);_(&quot;$&quot;* &quot;-&quot;??_);_(@_)">
                  <c:v>64185.80981760646</c:v>
                </c:pt>
                <c:pt idx="1207" formatCode="_(&quot;$&quot;* #,##0.00_);_(&quot;$&quot;* \(#,##0.00\);_(&quot;$&quot;* &quot;-&quot;??_);_(@_)">
                  <c:v>64571.311095134304</c:v>
                </c:pt>
                <c:pt idx="1208" formatCode="_(&quot;$&quot;* #,##0.00_);_(&quot;$&quot;* \(#,##0.00\);_(&quot;$&quot;* &quot;-&quot;??_);_(@_)">
                  <c:v>64409.834437856727</c:v>
                </c:pt>
                <c:pt idx="1209" formatCode="_(&quot;$&quot;* #,##0.00_);_(&quot;$&quot;* \(#,##0.00\);_(&quot;$&quot;* &quot;-&quot;??_);_(@_)">
                  <c:v>64597.172009753638</c:v>
                </c:pt>
                <c:pt idx="1210" formatCode="_(&quot;$&quot;* #,##0.00_);_(&quot;$&quot;* \(#,##0.00\);_(&quot;$&quot;* &quot;-&quot;??_);_(@_)">
                  <c:v>64495.956455169973</c:v>
                </c:pt>
                <c:pt idx="1211" formatCode="_(&quot;$&quot;* #,##0.00_);_(&quot;$&quot;* \(#,##0.00\);_(&quot;$&quot;* &quot;-&quot;??_);_(@_)">
                  <c:v>64341.904636133222</c:v>
                </c:pt>
                <c:pt idx="1212" formatCode="_(&quot;$&quot;* #,##0.00_);_(&quot;$&quot;* \(#,##0.00\);_(&quot;$&quot;* &quot;-&quot;??_);_(@_)">
                  <c:v>64538.293102835123</c:v>
                </c:pt>
                <c:pt idx="1213" formatCode="_(&quot;$&quot;* #,##0.00_);_(&quot;$&quot;* \(#,##0.00\);_(&quot;$&quot;* &quot;-&quot;??_);_(@_)">
                  <c:v>64627.756165834675</c:v>
                </c:pt>
                <c:pt idx="1214" formatCode="_(&quot;$&quot;* #,##0.00_);_(&quot;$&quot;* \(#,##0.00\);_(&quot;$&quot;* &quot;-&quot;??_);_(@_)">
                  <c:v>64338.090242554783</c:v>
                </c:pt>
                <c:pt idx="1215" formatCode="_(&quot;$&quot;* #,##0.00_);_(&quot;$&quot;* \(#,##0.00\);_(&quot;$&quot;* &quot;-&quot;??_);_(@_)">
                  <c:v>64401.665913092649</c:v>
                </c:pt>
                <c:pt idx="1216" formatCode="_(&quot;$&quot;* #,##0.00_);_(&quot;$&quot;* \(#,##0.00\);_(&quot;$&quot;* &quot;-&quot;??_);_(@_)">
                  <c:v>64562.920782572211</c:v>
                </c:pt>
                <c:pt idx="1217" formatCode="_(&quot;$&quot;* #,##0.00_);_(&quot;$&quot;* \(#,##0.00\);_(&quot;$&quot;* &quot;-&quot;??_);_(@_)">
                  <c:v>64723.254343008753</c:v>
                </c:pt>
                <c:pt idx="1218" formatCode="_(&quot;$&quot;* #,##0.00_);_(&quot;$&quot;* \(#,##0.00\);_(&quot;$&quot;* &quot;-&quot;??_);_(@_)">
                  <c:v>64646.47865904199</c:v>
                </c:pt>
                <c:pt idx="1219" formatCode="_(&quot;$&quot;* #,##0.00_);_(&quot;$&quot;* \(#,##0.00\);_(&quot;$&quot;* &quot;-&quot;??_);_(@_)">
                  <c:v>64762.739622180263</c:v>
                </c:pt>
                <c:pt idx="1220" formatCode="_(&quot;$&quot;* #,##0.00_);_(&quot;$&quot;* \(#,##0.00\);_(&quot;$&quot;* &quot;-&quot;??_);_(@_)">
                  <c:v>64854.219040150121</c:v>
                </c:pt>
                <c:pt idx="1221" formatCode="_(&quot;$&quot;* #,##0.00_);_(&quot;$&quot;* \(#,##0.00\);_(&quot;$&quot;* &quot;-&quot;??_);_(@_)">
                  <c:v>65015.007245599125</c:v>
                </c:pt>
                <c:pt idx="1222" formatCode="_(&quot;$&quot;* #,##0.00_);_(&quot;$&quot;* \(#,##0.00\);_(&quot;$&quot;* &quot;-&quot;??_);_(@_)">
                  <c:v>65041.914611021457</c:v>
                </c:pt>
                <c:pt idx="1223" formatCode="_(&quot;$&quot;* #,##0.00_);_(&quot;$&quot;* \(#,##0.00\);_(&quot;$&quot;* &quot;-&quot;??_);_(@_)">
                  <c:v>65008.734799050253</c:v>
                </c:pt>
                <c:pt idx="1224" formatCode="_(&quot;$&quot;* #,##0.00_);_(&quot;$&quot;* \(#,##0.00\);_(&quot;$&quot;* &quot;-&quot;??_);_(@_)">
                  <c:v>65042.833117789443</c:v>
                </c:pt>
                <c:pt idx="1225" formatCode="_(&quot;$&quot;* #,##0.00_);_(&quot;$&quot;* \(#,##0.00\);_(&quot;$&quot;* &quot;-&quot;??_);_(@_)">
                  <c:v>65079.187195937549</c:v>
                </c:pt>
                <c:pt idx="1226" formatCode="_(&quot;$&quot;* #,##0.00_);_(&quot;$&quot;* \(#,##0.00\);_(&quot;$&quot;* &quot;-&quot;??_);_(@_)">
                  <c:v>65208.044812802422</c:v>
                </c:pt>
                <c:pt idx="1227" formatCode="_(&quot;$&quot;* #,##0.00_);_(&quot;$&quot;* \(#,##0.00\);_(&quot;$&quot;* &quot;-&quot;??_);_(@_)">
                  <c:v>65343.165045426722</c:v>
                </c:pt>
                <c:pt idx="1228" formatCode="_(&quot;$&quot;* #,##0.00_);_(&quot;$&quot;* \(#,##0.00\);_(&quot;$&quot;* &quot;-&quot;??_);_(@_)">
                  <c:v>65272.797871763527</c:v>
                </c:pt>
                <c:pt idx="1229" formatCode="_(&quot;$&quot;* #,##0.00_);_(&quot;$&quot;* \(#,##0.00\);_(&quot;$&quot;* &quot;-&quot;??_);_(@_)">
                  <c:v>64986.93443074778</c:v>
                </c:pt>
                <c:pt idx="1230" formatCode="_(&quot;$&quot;* #,##0.00_);_(&quot;$&quot;* \(#,##0.00\);_(&quot;$&quot;* &quot;-&quot;??_);_(@_)">
                  <c:v>64723.992462425333</c:v>
                </c:pt>
                <c:pt idx="1231" formatCode="_(&quot;$&quot;* #,##0.00_);_(&quot;$&quot;* \(#,##0.00\);_(&quot;$&quot;* &quot;-&quot;??_);_(@_)">
                  <c:v>64918.004766769613</c:v>
                </c:pt>
                <c:pt idx="1232" formatCode="_(&quot;$&quot;* #,##0.00_);_(&quot;$&quot;* \(#,##0.00\);_(&quot;$&quot;* &quot;-&quot;??_);_(@_)">
                  <c:v>65017.667328230753</c:v>
                </c:pt>
                <c:pt idx="1233" formatCode="_(&quot;$&quot;* #,##0.00_);_(&quot;$&quot;* \(#,##0.00\);_(&quot;$&quot;* &quot;-&quot;??_);_(@_)">
                  <c:v>65354.861068374543</c:v>
                </c:pt>
                <c:pt idx="1234" formatCode="_(&quot;$&quot;* #,##0.00_);_(&quot;$&quot;* \(#,##0.00\);_(&quot;$&quot;* &quot;-&quot;??_);_(@_)">
                  <c:v>65534.891789869689</c:v>
                </c:pt>
                <c:pt idx="1235" formatCode="_(&quot;$&quot;* #,##0.00_);_(&quot;$&quot;* \(#,##0.00\);_(&quot;$&quot;* &quot;-&quot;??_);_(@_)">
                  <c:v>65529.573455657068</c:v>
                </c:pt>
                <c:pt idx="1236" formatCode="_(&quot;$&quot;* #,##0.00_);_(&quot;$&quot;* \(#,##0.00\);_(&quot;$&quot;* &quot;-&quot;??_);_(@_)">
                  <c:v>65635.908847659477</c:v>
                </c:pt>
                <c:pt idx="1237" formatCode="_(&quot;$&quot;* #,##0.00_);_(&quot;$&quot;* \(#,##0.00\);_(&quot;$&quot;* &quot;-&quot;??_);_(@_)">
                  <c:v>65596.750225642958</c:v>
                </c:pt>
                <c:pt idx="1238" formatCode="_(&quot;$&quot;* #,##0.00_);_(&quot;$&quot;* \(#,##0.00\);_(&quot;$&quot;* &quot;-&quot;??_);_(@_)">
                  <c:v>65643.656796973562</c:v>
                </c:pt>
                <c:pt idx="1239" formatCode="_(&quot;$&quot;* #,##0.00_);_(&quot;$&quot;* \(#,##0.00\);_(&quot;$&quot;* &quot;-&quot;??_);_(@_)">
                  <c:v>65515.224621676825</c:v>
                </c:pt>
                <c:pt idx="1240" formatCode="_(&quot;$&quot;* #,##0.00_);_(&quot;$&quot;* \(#,##0.00\);_(&quot;$&quot;* &quot;-&quot;??_);_(@_)">
                  <c:v>65559.332665906084</c:v>
                </c:pt>
                <c:pt idx="1241" formatCode="_(&quot;$&quot;* #,##0.00_);_(&quot;$&quot;* \(#,##0.00\);_(&quot;$&quot;* &quot;-&quot;??_);_(@_)">
                  <c:v>65965.225032404138</c:v>
                </c:pt>
                <c:pt idx="1242" formatCode="_(&quot;$&quot;* #,##0.00_);_(&quot;$&quot;* \(#,##0.00\);_(&quot;$&quot;* &quot;-&quot;??_);_(@_)">
                  <c:v>66444.110862213565</c:v>
                </c:pt>
                <c:pt idx="1243" formatCode="_(&quot;$&quot;* #,##0.00_);_(&quot;$&quot;* \(#,##0.00\);_(&quot;$&quot;* &quot;-&quot;??_);_(@_)">
                  <c:v>66718.627575866398</c:v>
                </c:pt>
                <c:pt idx="1244" formatCode="_(&quot;$&quot;* #,##0.00_);_(&quot;$&quot;* \(#,##0.00\);_(&quot;$&quot;* &quot;-&quot;??_);_(@_)">
                  <c:v>66935.601947308096</c:v>
                </c:pt>
                <c:pt idx="1245" formatCode="_(&quot;$&quot;* #,##0.00_);_(&quot;$&quot;* \(#,##0.00\);_(&quot;$&quot;* &quot;-&quot;??_);_(@_)">
                  <c:v>67070.171201467412</c:v>
                </c:pt>
                <c:pt idx="1246" formatCode="_(&quot;$&quot;* #,##0.00_);_(&quot;$&quot;* \(#,##0.00\);_(&quot;$&quot;* &quot;-&quot;??_);_(@_)">
                  <c:v>67446.597470283334</c:v>
                </c:pt>
                <c:pt idx="1247" formatCode="_(&quot;$&quot;* #,##0.00_);_(&quot;$&quot;* \(#,##0.00\);_(&quot;$&quot;* &quot;-&quot;??_);_(@_)">
                  <c:v>67481.395728349147</c:v>
                </c:pt>
                <c:pt idx="1248" formatCode="_(&quot;$&quot;* #,##0.00_);_(&quot;$&quot;* \(#,##0.00\);_(&quot;$&quot;* &quot;-&quot;??_);_(@_)">
                  <c:v>67258.672391747299</c:v>
                </c:pt>
                <c:pt idx="1249" formatCode="_(&quot;$&quot;* #,##0.00_);_(&quot;$&quot;* \(#,##0.00\);_(&quot;$&quot;* &quot;-&quot;??_);_(@_)">
                  <c:v>67745.68560730679</c:v>
                </c:pt>
                <c:pt idx="1250" formatCode="_(&quot;$&quot;* #,##0.00_);_(&quot;$&quot;* \(#,##0.00\);_(&quot;$&quot;* &quot;-&quot;??_);_(@_)">
                  <c:v>67509.010489288994</c:v>
                </c:pt>
                <c:pt idx="1251" formatCode="_(&quot;$&quot;* #,##0.00_);_(&quot;$&quot;* \(#,##0.00\);_(&quot;$&quot;* &quot;-&quot;??_);_(@_)">
                  <c:v>67747.365770987206</c:v>
                </c:pt>
                <c:pt idx="1252" formatCode="_(&quot;$&quot;* #,##0.00_);_(&quot;$&quot;* \(#,##0.00\);_(&quot;$&quot;* &quot;-&quot;??_);_(@_)">
                  <c:v>67668.096596676245</c:v>
                </c:pt>
                <c:pt idx="1253" formatCode="_(&quot;$&quot;* #,##0.00_);_(&quot;$&quot;* \(#,##0.00\);_(&quot;$&quot;* &quot;-&quot;??_);_(@_)">
                  <c:v>67595.381966290835</c:v>
                </c:pt>
                <c:pt idx="1254" formatCode="_(&quot;$&quot;* #,##0.00_);_(&quot;$&quot;* \(#,##0.00\);_(&quot;$&quot;* &quot;-&quot;??_);_(@_)">
                  <c:v>67535.289834865762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C4-4E17-8396-4845B188F6A2}"/>
            </c:ext>
          </c:extLst>
        </c:ser>
        <c:ser>
          <c:idx val="3"/>
          <c:order val="3"/>
          <c:tx>
            <c:strRef>
              <c:f>'SPY vs RSP'!$AB$2</c:f>
              <c:strCache>
                <c:ptCount val="1"/>
                <c:pt idx="0">
                  <c:v>200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'SPY vs RSP'!$A$3:$A$1257</c:f>
              <c:numCache>
                <c:formatCode>m/d/yyyy</c:formatCode>
                <c:ptCount val="1255"/>
                <c:pt idx="0">
                  <c:v>44417</c:v>
                </c:pt>
                <c:pt idx="1">
                  <c:v>44418</c:v>
                </c:pt>
                <c:pt idx="2">
                  <c:v>44419</c:v>
                </c:pt>
                <c:pt idx="3">
                  <c:v>44420</c:v>
                </c:pt>
                <c:pt idx="4">
                  <c:v>44421</c:v>
                </c:pt>
                <c:pt idx="5">
                  <c:v>44424</c:v>
                </c:pt>
                <c:pt idx="6">
                  <c:v>44425</c:v>
                </c:pt>
                <c:pt idx="7">
                  <c:v>44426</c:v>
                </c:pt>
                <c:pt idx="8">
                  <c:v>44427</c:v>
                </c:pt>
                <c:pt idx="9">
                  <c:v>44428</c:v>
                </c:pt>
                <c:pt idx="10">
                  <c:v>44431</c:v>
                </c:pt>
                <c:pt idx="11">
                  <c:v>44432</c:v>
                </c:pt>
                <c:pt idx="12">
                  <c:v>44433</c:v>
                </c:pt>
                <c:pt idx="13">
                  <c:v>44434</c:v>
                </c:pt>
                <c:pt idx="14">
                  <c:v>44435</c:v>
                </c:pt>
                <c:pt idx="15">
                  <c:v>44438</c:v>
                </c:pt>
                <c:pt idx="16">
                  <c:v>44439</c:v>
                </c:pt>
                <c:pt idx="17">
                  <c:v>44440</c:v>
                </c:pt>
                <c:pt idx="18">
                  <c:v>44441</c:v>
                </c:pt>
                <c:pt idx="19">
                  <c:v>44442</c:v>
                </c:pt>
                <c:pt idx="20">
                  <c:v>44446</c:v>
                </c:pt>
                <c:pt idx="21">
                  <c:v>44447</c:v>
                </c:pt>
                <c:pt idx="22">
                  <c:v>44448</c:v>
                </c:pt>
                <c:pt idx="23">
                  <c:v>44449</c:v>
                </c:pt>
                <c:pt idx="24">
                  <c:v>44452</c:v>
                </c:pt>
                <c:pt idx="25">
                  <c:v>44453</c:v>
                </c:pt>
                <c:pt idx="26">
                  <c:v>44454</c:v>
                </c:pt>
                <c:pt idx="27">
                  <c:v>44455</c:v>
                </c:pt>
                <c:pt idx="28">
                  <c:v>44456</c:v>
                </c:pt>
                <c:pt idx="29">
                  <c:v>44459</c:v>
                </c:pt>
                <c:pt idx="30">
                  <c:v>44460</c:v>
                </c:pt>
                <c:pt idx="31">
                  <c:v>44461</c:v>
                </c:pt>
                <c:pt idx="32">
                  <c:v>44462</c:v>
                </c:pt>
                <c:pt idx="33">
                  <c:v>44463</c:v>
                </c:pt>
                <c:pt idx="34">
                  <c:v>44466</c:v>
                </c:pt>
                <c:pt idx="35">
                  <c:v>44467</c:v>
                </c:pt>
                <c:pt idx="36">
                  <c:v>44468</c:v>
                </c:pt>
                <c:pt idx="37">
                  <c:v>44469</c:v>
                </c:pt>
                <c:pt idx="38">
                  <c:v>44470</c:v>
                </c:pt>
                <c:pt idx="39">
                  <c:v>44473</c:v>
                </c:pt>
                <c:pt idx="40">
                  <c:v>44474</c:v>
                </c:pt>
                <c:pt idx="41">
                  <c:v>44475</c:v>
                </c:pt>
                <c:pt idx="42">
                  <c:v>44476</c:v>
                </c:pt>
                <c:pt idx="43">
                  <c:v>44477</c:v>
                </c:pt>
                <c:pt idx="44">
                  <c:v>44480</c:v>
                </c:pt>
                <c:pt idx="45">
                  <c:v>44481</c:v>
                </c:pt>
                <c:pt idx="46">
                  <c:v>44482</c:v>
                </c:pt>
                <c:pt idx="47">
                  <c:v>44483</c:v>
                </c:pt>
                <c:pt idx="48">
                  <c:v>44484</c:v>
                </c:pt>
                <c:pt idx="49">
                  <c:v>44487</c:v>
                </c:pt>
                <c:pt idx="50">
                  <c:v>44488</c:v>
                </c:pt>
                <c:pt idx="51">
                  <c:v>44489</c:v>
                </c:pt>
                <c:pt idx="52">
                  <c:v>44490</c:v>
                </c:pt>
                <c:pt idx="53">
                  <c:v>44491</c:v>
                </c:pt>
                <c:pt idx="54">
                  <c:v>44494</c:v>
                </c:pt>
                <c:pt idx="55">
                  <c:v>44495</c:v>
                </c:pt>
                <c:pt idx="56">
                  <c:v>44496</c:v>
                </c:pt>
                <c:pt idx="57">
                  <c:v>44497</c:v>
                </c:pt>
                <c:pt idx="58">
                  <c:v>44498</c:v>
                </c:pt>
                <c:pt idx="59">
                  <c:v>44501</c:v>
                </c:pt>
                <c:pt idx="60">
                  <c:v>44502</c:v>
                </c:pt>
                <c:pt idx="61">
                  <c:v>44503</c:v>
                </c:pt>
                <c:pt idx="62">
                  <c:v>44504</c:v>
                </c:pt>
                <c:pt idx="63">
                  <c:v>44505</c:v>
                </c:pt>
                <c:pt idx="64">
                  <c:v>44508</c:v>
                </c:pt>
                <c:pt idx="65">
                  <c:v>44509</c:v>
                </c:pt>
                <c:pt idx="66">
                  <c:v>44510</c:v>
                </c:pt>
                <c:pt idx="67">
                  <c:v>44511</c:v>
                </c:pt>
                <c:pt idx="68">
                  <c:v>44512</c:v>
                </c:pt>
                <c:pt idx="69">
                  <c:v>44515</c:v>
                </c:pt>
                <c:pt idx="70">
                  <c:v>44516</c:v>
                </c:pt>
                <c:pt idx="71">
                  <c:v>44517</c:v>
                </c:pt>
                <c:pt idx="72">
                  <c:v>44518</c:v>
                </c:pt>
                <c:pt idx="73">
                  <c:v>44519</c:v>
                </c:pt>
                <c:pt idx="74">
                  <c:v>44522</c:v>
                </c:pt>
                <c:pt idx="75">
                  <c:v>44523</c:v>
                </c:pt>
                <c:pt idx="76">
                  <c:v>44524</c:v>
                </c:pt>
                <c:pt idx="77">
                  <c:v>44526</c:v>
                </c:pt>
                <c:pt idx="78">
                  <c:v>44529</c:v>
                </c:pt>
                <c:pt idx="79">
                  <c:v>44530</c:v>
                </c:pt>
                <c:pt idx="80">
                  <c:v>44531</c:v>
                </c:pt>
                <c:pt idx="81">
                  <c:v>44532</c:v>
                </c:pt>
                <c:pt idx="82">
                  <c:v>44533</c:v>
                </c:pt>
                <c:pt idx="83">
                  <c:v>44536</c:v>
                </c:pt>
                <c:pt idx="84">
                  <c:v>44537</c:v>
                </c:pt>
                <c:pt idx="85">
                  <c:v>44538</c:v>
                </c:pt>
                <c:pt idx="86">
                  <c:v>44539</c:v>
                </c:pt>
                <c:pt idx="87">
                  <c:v>44540</c:v>
                </c:pt>
                <c:pt idx="88">
                  <c:v>44543</c:v>
                </c:pt>
                <c:pt idx="89">
                  <c:v>44544</c:v>
                </c:pt>
                <c:pt idx="90">
                  <c:v>44545</c:v>
                </c:pt>
                <c:pt idx="91">
                  <c:v>44546</c:v>
                </c:pt>
                <c:pt idx="92">
                  <c:v>44547</c:v>
                </c:pt>
                <c:pt idx="93">
                  <c:v>44550</c:v>
                </c:pt>
                <c:pt idx="94">
                  <c:v>44551</c:v>
                </c:pt>
                <c:pt idx="95">
                  <c:v>44552</c:v>
                </c:pt>
                <c:pt idx="96">
                  <c:v>44553</c:v>
                </c:pt>
                <c:pt idx="97">
                  <c:v>44557</c:v>
                </c:pt>
                <c:pt idx="98">
                  <c:v>44558</c:v>
                </c:pt>
                <c:pt idx="99">
                  <c:v>44559</c:v>
                </c:pt>
                <c:pt idx="100">
                  <c:v>44560</c:v>
                </c:pt>
                <c:pt idx="101">
                  <c:v>44561</c:v>
                </c:pt>
                <c:pt idx="102">
                  <c:v>44564</c:v>
                </c:pt>
                <c:pt idx="103">
                  <c:v>44565</c:v>
                </c:pt>
                <c:pt idx="104">
                  <c:v>44566</c:v>
                </c:pt>
                <c:pt idx="105">
                  <c:v>44567</c:v>
                </c:pt>
                <c:pt idx="106">
                  <c:v>44568</c:v>
                </c:pt>
                <c:pt idx="107">
                  <c:v>44571</c:v>
                </c:pt>
                <c:pt idx="108">
                  <c:v>44572</c:v>
                </c:pt>
                <c:pt idx="109">
                  <c:v>44573</c:v>
                </c:pt>
                <c:pt idx="110">
                  <c:v>44574</c:v>
                </c:pt>
                <c:pt idx="111">
                  <c:v>44575</c:v>
                </c:pt>
                <c:pt idx="112">
                  <c:v>44579</c:v>
                </c:pt>
                <c:pt idx="113">
                  <c:v>44580</c:v>
                </c:pt>
                <c:pt idx="114">
                  <c:v>44581</c:v>
                </c:pt>
                <c:pt idx="115">
                  <c:v>44582</c:v>
                </c:pt>
                <c:pt idx="116">
                  <c:v>44585</c:v>
                </c:pt>
                <c:pt idx="117">
                  <c:v>44586</c:v>
                </c:pt>
                <c:pt idx="118">
                  <c:v>44587</c:v>
                </c:pt>
                <c:pt idx="119">
                  <c:v>44588</c:v>
                </c:pt>
                <c:pt idx="120">
                  <c:v>44589</c:v>
                </c:pt>
                <c:pt idx="121">
                  <c:v>44592</c:v>
                </c:pt>
                <c:pt idx="122">
                  <c:v>44593</c:v>
                </c:pt>
                <c:pt idx="123">
                  <c:v>44594</c:v>
                </c:pt>
                <c:pt idx="124">
                  <c:v>44595</c:v>
                </c:pt>
                <c:pt idx="125">
                  <c:v>44596</c:v>
                </c:pt>
                <c:pt idx="126">
                  <c:v>44599</c:v>
                </c:pt>
                <c:pt idx="127">
                  <c:v>44600</c:v>
                </c:pt>
                <c:pt idx="128">
                  <c:v>44601</c:v>
                </c:pt>
                <c:pt idx="129">
                  <c:v>44602</c:v>
                </c:pt>
                <c:pt idx="130">
                  <c:v>44603</c:v>
                </c:pt>
                <c:pt idx="131">
                  <c:v>44606</c:v>
                </c:pt>
                <c:pt idx="132">
                  <c:v>44607</c:v>
                </c:pt>
                <c:pt idx="133">
                  <c:v>44608</c:v>
                </c:pt>
                <c:pt idx="134">
                  <c:v>44609</c:v>
                </c:pt>
                <c:pt idx="135">
                  <c:v>44610</c:v>
                </c:pt>
                <c:pt idx="136">
                  <c:v>44614</c:v>
                </c:pt>
                <c:pt idx="137">
                  <c:v>44615</c:v>
                </c:pt>
                <c:pt idx="138">
                  <c:v>44616</c:v>
                </c:pt>
                <c:pt idx="139">
                  <c:v>44617</c:v>
                </c:pt>
                <c:pt idx="140">
                  <c:v>44620</c:v>
                </c:pt>
                <c:pt idx="141">
                  <c:v>44621</c:v>
                </c:pt>
                <c:pt idx="142">
                  <c:v>44622</c:v>
                </c:pt>
                <c:pt idx="143">
                  <c:v>44623</c:v>
                </c:pt>
                <c:pt idx="144">
                  <c:v>44624</c:v>
                </c:pt>
                <c:pt idx="145">
                  <c:v>44627</c:v>
                </c:pt>
                <c:pt idx="146">
                  <c:v>44628</c:v>
                </c:pt>
                <c:pt idx="147">
                  <c:v>44629</c:v>
                </c:pt>
                <c:pt idx="148">
                  <c:v>44630</c:v>
                </c:pt>
                <c:pt idx="149">
                  <c:v>44631</c:v>
                </c:pt>
                <c:pt idx="150">
                  <c:v>44634</c:v>
                </c:pt>
                <c:pt idx="151">
                  <c:v>44635</c:v>
                </c:pt>
                <c:pt idx="152">
                  <c:v>44636</c:v>
                </c:pt>
                <c:pt idx="153">
                  <c:v>44637</c:v>
                </c:pt>
                <c:pt idx="154">
                  <c:v>44638</c:v>
                </c:pt>
                <c:pt idx="155">
                  <c:v>44641</c:v>
                </c:pt>
                <c:pt idx="156">
                  <c:v>44642</c:v>
                </c:pt>
                <c:pt idx="157">
                  <c:v>44643</c:v>
                </c:pt>
                <c:pt idx="158">
                  <c:v>44644</c:v>
                </c:pt>
                <c:pt idx="159">
                  <c:v>44645</c:v>
                </c:pt>
                <c:pt idx="160">
                  <c:v>44648</c:v>
                </c:pt>
                <c:pt idx="161">
                  <c:v>44649</c:v>
                </c:pt>
                <c:pt idx="162">
                  <c:v>44650</c:v>
                </c:pt>
                <c:pt idx="163">
                  <c:v>44651</c:v>
                </c:pt>
                <c:pt idx="164">
                  <c:v>44652</c:v>
                </c:pt>
                <c:pt idx="165">
                  <c:v>44655</c:v>
                </c:pt>
                <c:pt idx="166">
                  <c:v>44656</c:v>
                </c:pt>
                <c:pt idx="167">
                  <c:v>44657</c:v>
                </c:pt>
                <c:pt idx="168">
                  <c:v>44658</c:v>
                </c:pt>
                <c:pt idx="169">
                  <c:v>44659</c:v>
                </c:pt>
                <c:pt idx="170">
                  <c:v>44662</c:v>
                </c:pt>
                <c:pt idx="171">
                  <c:v>44663</c:v>
                </c:pt>
                <c:pt idx="172">
                  <c:v>44664</c:v>
                </c:pt>
                <c:pt idx="173">
                  <c:v>44665</c:v>
                </c:pt>
                <c:pt idx="174">
                  <c:v>44669</c:v>
                </c:pt>
                <c:pt idx="175">
                  <c:v>44670</c:v>
                </c:pt>
                <c:pt idx="176">
                  <c:v>44671</c:v>
                </c:pt>
                <c:pt idx="177">
                  <c:v>44672</c:v>
                </c:pt>
                <c:pt idx="178">
                  <c:v>44673</c:v>
                </c:pt>
                <c:pt idx="179">
                  <c:v>44676</c:v>
                </c:pt>
                <c:pt idx="180">
                  <c:v>44677</c:v>
                </c:pt>
                <c:pt idx="181">
                  <c:v>44678</c:v>
                </c:pt>
                <c:pt idx="182">
                  <c:v>44679</c:v>
                </c:pt>
                <c:pt idx="183">
                  <c:v>44680</c:v>
                </c:pt>
                <c:pt idx="184">
                  <c:v>44683</c:v>
                </c:pt>
                <c:pt idx="185">
                  <c:v>44684</c:v>
                </c:pt>
                <c:pt idx="186">
                  <c:v>44685</c:v>
                </c:pt>
                <c:pt idx="187">
                  <c:v>44686</c:v>
                </c:pt>
                <c:pt idx="188">
                  <c:v>44687</c:v>
                </c:pt>
                <c:pt idx="189">
                  <c:v>44690</c:v>
                </c:pt>
                <c:pt idx="190">
                  <c:v>44691</c:v>
                </c:pt>
                <c:pt idx="191">
                  <c:v>44692</c:v>
                </c:pt>
                <c:pt idx="192">
                  <c:v>44693</c:v>
                </c:pt>
                <c:pt idx="193">
                  <c:v>44694</c:v>
                </c:pt>
                <c:pt idx="194">
                  <c:v>44697</c:v>
                </c:pt>
                <c:pt idx="195">
                  <c:v>44698</c:v>
                </c:pt>
                <c:pt idx="196">
                  <c:v>44699</c:v>
                </c:pt>
                <c:pt idx="197">
                  <c:v>44700</c:v>
                </c:pt>
                <c:pt idx="198">
                  <c:v>44701</c:v>
                </c:pt>
                <c:pt idx="199">
                  <c:v>44704</c:v>
                </c:pt>
                <c:pt idx="200">
                  <c:v>44705</c:v>
                </c:pt>
                <c:pt idx="201">
                  <c:v>44706</c:v>
                </c:pt>
                <c:pt idx="202">
                  <c:v>44707</c:v>
                </c:pt>
                <c:pt idx="203">
                  <c:v>44708</c:v>
                </c:pt>
                <c:pt idx="204">
                  <c:v>44712</c:v>
                </c:pt>
                <c:pt idx="205">
                  <c:v>44713</c:v>
                </c:pt>
                <c:pt idx="206">
                  <c:v>44714</c:v>
                </c:pt>
                <c:pt idx="207">
                  <c:v>44715</c:v>
                </c:pt>
                <c:pt idx="208">
                  <c:v>44718</c:v>
                </c:pt>
                <c:pt idx="209">
                  <c:v>44719</c:v>
                </c:pt>
                <c:pt idx="210">
                  <c:v>44720</c:v>
                </c:pt>
                <c:pt idx="211">
                  <c:v>44721</c:v>
                </c:pt>
                <c:pt idx="212">
                  <c:v>44722</c:v>
                </c:pt>
                <c:pt idx="213">
                  <c:v>44725</c:v>
                </c:pt>
                <c:pt idx="214">
                  <c:v>44726</c:v>
                </c:pt>
                <c:pt idx="215">
                  <c:v>44727</c:v>
                </c:pt>
                <c:pt idx="216">
                  <c:v>44728</c:v>
                </c:pt>
                <c:pt idx="217">
                  <c:v>44729</c:v>
                </c:pt>
                <c:pt idx="218">
                  <c:v>44733</c:v>
                </c:pt>
                <c:pt idx="219">
                  <c:v>44734</c:v>
                </c:pt>
                <c:pt idx="220">
                  <c:v>44735</c:v>
                </c:pt>
                <c:pt idx="221">
                  <c:v>44736</c:v>
                </c:pt>
                <c:pt idx="222">
                  <c:v>44739</c:v>
                </c:pt>
                <c:pt idx="223">
                  <c:v>44740</c:v>
                </c:pt>
                <c:pt idx="224">
                  <c:v>44741</c:v>
                </c:pt>
                <c:pt idx="225">
                  <c:v>44742</c:v>
                </c:pt>
                <c:pt idx="226">
                  <c:v>44743</c:v>
                </c:pt>
                <c:pt idx="227">
                  <c:v>44747</c:v>
                </c:pt>
                <c:pt idx="228">
                  <c:v>44748</c:v>
                </c:pt>
                <c:pt idx="229">
                  <c:v>44749</c:v>
                </c:pt>
                <c:pt idx="230">
                  <c:v>44750</c:v>
                </c:pt>
                <c:pt idx="231">
                  <c:v>44753</c:v>
                </c:pt>
                <c:pt idx="232">
                  <c:v>44754</c:v>
                </c:pt>
                <c:pt idx="233">
                  <c:v>44755</c:v>
                </c:pt>
                <c:pt idx="234">
                  <c:v>44756</c:v>
                </c:pt>
                <c:pt idx="235">
                  <c:v>44757</c:v>
                </c:pt>
                <c:pt idx="236">
                  <c:v>44760</c:v>
                </c:pt>
                <c:pt idx="237">
                  <c:v>44761</c:v>
                </c:pt>
                <c:pt idx="238">
                  <c:v>44762</c:v>
                </c:pt>
                <c:pt idx="239">
                  <c:v>44763</c:v>
                </c:pt>
                <c:pt idx="240">
                  <c:v>44764</c:v>
                </c:pt>
                <c:pt idx="241">
                  <c:v>44767</c:v>
                </c:pt>
                <c:pt idx="242">
                  <c:v>44768</c:v>
                </c:pt>
                <c:pt idx="243">
                  <c:v>44769</c:v>
                </c:pt>
                <c:pt idx="244">
                  <c:v>44770</c:v>
                </c:pt>
                <c:pt idx="245">
                  <c:v>44771</c:v>
                </c:pt>
                <c:pt idx="246">
                  <c:v>44774</c:v>
                </c:pt>
                <c:pt idx="247">
                  <c:v>44775</c:v>
                </c:pt>
                <c:pt idx="248">
                  <c:v>44776</c:v>
                </c:pt>
                <c:pt idx="249">
                  <c:v>44777</c:v>
                </c:pt>
                <c:pt idx="250">
                  <c:v>44778</c:v>
                </c:pt>
                <c:pt idx="251">
                  <c:v>44781</c:v>
                </c:pt>
                <c:pt idx="252">
                  <c:v>44782</c:v>
                </c:pt>
                <c:pt idx="253">
                  <c:v>44783</c:v>
                </c:pt>
                <c:pt idx="254">
                  <c:v>44784</c:v>
                </c:pt>
                <c:pt idx="255">
                  <c:v>44785</c:v>
                </c:pt>
                <c:pt idx="256">
                  <c:v>44788</c:v>
                </c:pt>
                <c:pt idx="257">
                  <c:v>44789</c:v>
                </c:pt>
                <c:pt idx="258">
                  <c:v>44790</c:v>
                </c:pt>
                <c:pt idx="259">
                  <c:v>44791</c:v>
                </c:pt>
                <c:pt idx="260">
                  <c:v>44792</c:v>
                </c:pt>
                <c:pt idx="261">
                  <c:v>44795</c:v>
                </c:pt>
                <c:pt idx="262">
                  <c:v>44796</c:v>
                </c:pt>
                <c:pt idx="263">
                  <c:v>44797</c:v>
                </c:pt>
                <c:pt idx="264">
                  <c:v>44798</c:v>
                </c:pt>
                <c:pt idx="265">
                  <c:v>44799</c:v>
                </c:pt>
                <c:pt idx="266">
                  <c:v>44802</c:v>
                </c:pt>
                <c:pt idx="267">
                  <c:v>44803</c:v>
                </c:pt>
                <c:pt idx="268">
                  <c:v>44804</c:v>
                </c:pt>
                <c:pt idx="269">
                  <c:v>44805</c:v>
                </c:pt>
                <c:pt idx="270">
                  <c:v>44806</c:v>
                </c:pt>
                <c:pt idx="271">
                  <c:v>44810</c:v>
                </c:pt>
                <c:pt idx="272">
                  <c:v>44811</c:v>
                </c:pt>
                <c:pt idx="273">
                  <c:v>44812</c:v>
                </c:pt>
                <c:pt idx="274">
                  <c:v>44813</c:v>
                </c:pt>
                <c:pt idx="275">
                  <c:v>44816</c:v>
                </c:pt>
                <c:pt idx="276">
                  <c:v>44817</c:v>
                </c:pt>
                <c:pt idx="277">
                  <c:v>44818</c:v>
                </c:pt>
                <c:pt idx="278">
                  <c:v>44819</c:v>
                </c:pt>
                <c:pt idx="279">
                  <c:v>44820</c:v>
                </c:pt>
                <c:pt idx="280">
                  <c:v>44823</c:v>
                </c:pt>
                <c:pt idx="281">
                  <c:v>44824</c:v>
                </c:pt>
                <c:pt idx="282">
                  <c:v>44825</c:v>
                </c:pt>
                <c:pt idx="283">
                  <c:v>44826</c:v>
                </c:pt>
                <c:pt idx="284">
                  <c:v>44827</c:v>
                </c:pt>
                <c:pt idx="285">
                  <c:v>44830</c:v>
                </c:pt>
                <c:pt idx="286">
                  <c:v>44831</c:v>
                </c:pt>
                <c:pt idx="287">
                  <c:v>44832</c:v>
                </c:pt>
                <c:pt idx="288">
                  <c:v>44833</c:v>
                </c:pt>
                <c:pt idx="289">
                  <c:v>44834</c:v>
                </c:pt>
                <c:pt idx="290">
                  <c:v>44837</c:v>
                </c:pt>
                <c:pt idx="291">
                  <c:v>44838</c:v>
                </c:pt>
                <c:pt idx="292">
                  <c:v>44839</c:v>
                </c:pt>
                <c:pt idx="293">
                  <c:v>44840</c:v>
                </c:pt>
                <c:pt idx="294">
                  <c:v>44841</c:v>
                </c:pt>
                <c:pt idx="295">
                  <c:v>44844</c:v>
                </c:pt>
                <c:pt idx="296">
                  <c:v>44845</c:v>
                </c:pt>
                <c:pt idx="297">
                  <c:v>44846</c:v>
                </c:pt>
                <c:pt idx="298">
                  <c:v>44847</c:v>
                </c:pt>
                <c:pt idx="299">
                  <c:v>44848</c:v>
                </c:pt>
                <c:pt idx="300">
                  <c:v>44851</c:v>
                </c:pt>
                <c:pt idx="301">
                  <c:v>44852</c:v>
                </c:pt>
                <c:pt idx="302">
                  <c:v>44853</c:v>
                </c:pt>
                <c:pt idx="303">
                  <c:v>44854</c:v>
                </c:pt>
                <c:pt idx="304">
                  <c:v>44855</c:v>
                </c:pt>
                <c:pt idx="305">
                  <c:v>44858</c:v>
                </c:pt>
                <c:pt idx="306">
                  <c:v>44859</c:v>
                </c:pt>
                <c:pt idx="307">
                  <c:v>44860</c:v>
                </c:pt>
                <c:pt idx="308">
                  <c:v>44861</c:v>
                </c:pt>
                <c:pt idx="309">
                  <c:v>44862</c:v>
                </c:pt>
                <c:pt idx="310">
                  <c:v>44865</c:v>
                </c:pt>
                <c:pt idx="311">
                  <c:v>44866</c:v>
                </c:pt>
                <c:pt idx="312">
                  <c:v>44867</c:v>
                </c:pt>
                <c:pt idx="313">
                  <c:v>44868</c:v>
                </c:pt>
                <c:pt idx="314">
                  <c:v>44869</c:v>
                </c:pt>
                <c:pt idx="315">
                  <c:v>44872</c:v>
                </c:pt>
                <c:pt idx="316">
                  <c:v>44873</c:v>
                </c:pt>
                <c:pt idx="317">
                  <c:v>44874</c:v>
                </c:pt>
                <c:pt idx="318">
                  <c:v>44875</c:v>
                </c:pt>
                <c:pt idx="319">
                  <c:v>44876</c:v>
                </c:pt>
                <c:pt idx="320">
                  <c:v>44879</c:v>
                </c:pt>
                <c:pt idx="321">
                  <c:v>44880</c:v>
                </c:pt>
                <c:pt idx="322">
                  <c:v>44881</c:v>
                </c:pt>
                <c:pt idx="323">
                  <c:v>44882</c:v>
                </c:pt>
                <c:pt idx="324">
                  <c:v>44883</c:v>
                </c:pt>
                <c:pt idx="325">
                  <c:v>44886</c:v>
                </c:pt>
                <c:pt idx="326">
                  <c:v>44887</c:v>
                </c:pt>
                <c:pt idx="327">
                  <c:v>44888</c:v>
                </c:pt>
                <c:pt idx="328">
                  <c:v>44890</c:v>
                </c:pt>
                <c:pt idx="329">
                  <c:v>44893</c:v>
                </c:pt>
                <c:pt idx="330">
                  <c:v>44894</c:v>
                </c:pt>
                <c:pt idx="331">
                  <c:v>44895</c:v>
                </c:pt>
                <c:pt idx="332">
                  <c:v>44896</c:v>
                </c:pt>
                <c:pt idx="333">
                  <c:v>44897</c:v>
                </c:pt>
                <c:pt idx="334">
                  <c:v>44900</c:v>
                </c:pt>
                <c:pt idx="335">
                  <c:v>44901</c:v>
                </c:pt>
                <c:pt idx="336">
                  <c:v>44902</c:v>
                </c:pt>
                <c:pt idx="337">
                  <c:v>44903</c:v>
                </c:pt>
                <c:pt idx="338">
                  <c:v>44904</c:v>
                </c:pt>
                <c:pt idx="339">
                  <c:v>44907</c:v>
                </c:pt>
                <c:pt idx="340">
                  <c:v>44908</c:v>
                </c:pt>
                <c:pt idx="341">
                  <c:v>44909</c:v>
                </c:pt>
                <c:pt idx="342">
                  <c:v>44910</c:v>
                </c:pt>
                <c:pt idx="343">
                  <c:v>44911</c:v>
                </c:pt>
                <c:pt idx="344">
                  <c:v>44914</c:v>
                </c:pt>
                <c:pt idx="345">
                  <c:v>44915</c:v>
                </c:pt>
                <c:pt idx="346">
                  <c:v>44916</c:v>
                </c:pt>
                <c:pt idx="347">
                  <c:v>44917</c:v>
                </c:pt>
                <c:pt idx="348">
                  <c:v>44918</c:v>
                </c:pt>
                <c:pt idx="349">
                  <c:v>44922</c:v>
                </c:pt>
                <c:pt idx="350">
                  <c:v>44923</c:v>
                </c:pt>
                <c:pt idx="351">
                  <c:v>44924</c:v>
                </c:pt>
                <c:pt idx="352">
                  <c:v>44925</c:v>
                </c:pt>
                <c:pt idx="353">
                  <c:v>44929</c:v>
                </c:pt>
                <c:pt idx="354">
                  <c:v>44930</c:v>
                </c:pt>
                <c:pt idx="355">
                  <c:v>44931</c:v>
                </c:pt>
                <c:pt idx="356">
                  <c:v>44932</c:v>
                </c:pt>
                <c:pt idx="357">
                  <c:v>44935</c:v>
                </c:pt>
                <c:pt idx="358">
                  <c:v>44936</c:v>
                </c:pt>
                <c:pt idx="359">
                  <c:v>44937</c:v>
                </c:pt>
                <c:pt idx="360">
                  <c:v>44938</c:v>
                </c:pt>
                <c:pt idx="361">
                  <c:v>44939</c:v>
                </c:pt>
                <c:pt idx="362">
                  <c:v>44943</c:v>
                </c:pt>
                <c:pt idx="363">
                  <c:v>44944</c:v>
                </c:pt>
                <c:pt idx="364">
                  <c:v>44945</c:v>
                </c:pt>
                <c:pt idx="365">
                  <c:v>44946</c:v>
                </c:pt>
                <c:pt idx="366">
                  <c:v>44949</c:v>
                </c:pt>
                <c:pt idx="367">
                  <c:v>44950</c:v>
                </c:pt>
                <c:pt idx="368">
                  <c:v>44951</c:v>
                </c:pt>
                <c:pt idx="369">
                  <c:v>44952</c:v>
                </c:pt>
                <c:pt idx="370">
                  <c:v>44953</c:v>
                </c:pt>
                <c:pt idx="371">
                  <c:v>44956</c:v>
                </c:pt>
                <c:pt idx="372">
                  <c:v>44957</c:v>
                </c:pt>
                <c:pt idx="373">
                  <c:v>44958</c:v>
                </c:pt>
                <c:pt idx="374">
                  <c:v>44959</c:v>
                </c:pt>
                <c:pt idx="375">
                  <c:v>44960</c:v>
                </c:pt>
                <c:pt idx="376">
                  <c:v>44963</c:v>
                </c:pt>
                <c:pt idx="377">
                  <c:v>44964</c:v>
                </c:pt>
                <c:pt idx="378">
                  <c:v>44965</c:v>
                </c:pt>
                <c:pt idx="379">
                  <c:v>44966</c:v>
                </c:pt>
                <c:pt idx="380">
                  <c:v>44967</c:v>
                </c:pt>
                <c:pt idx="381">
                  <c:v>44970</c:v>
                </c:pt>
                <c:pt idx="382">
                  <c:v>44971</c:v>
                </c:pt>
                <c:pt idx="383">
                  <c:v>44972</c:v>
                </c:pt>
                <c:pt idx="384">
                  <c:v>44973</c:v>
                </c:pt>
                <c:pt idx="385">
                  <c:v>44974</c:v>
                </c:pt>
                <c:pt idx="386">
                  <c:v>44978</c:v>
                </c:pt>
                <c:pt idx="387">
                  <c:v>44979</c:v>
                </c:pt>
                <c:pt idx="388">
                  <c:v>44980</c:v>
                </c:pt>
                <c:pt idx="389">
                  <c:v>44981</c:v>
                </c:pt>
                <c:pt idx="390">
                  <c:v>44984</c:v>
                </c:pt>
                <c:pt idx="391">
                  <c:v>44985</c:v>
                </c:pt>
                <c:pt idx="392">
                  <c:v>44986</c:v>
                </c:pt>
                <c:pt idx="393">
                  <c:v>44987</c:v>
                </c:pt>
                <c:pt idx="394">
                  <c:v>44988</c:v>
                </c:pt>
                <c:pt idx="395">
                  <c:v>44991</c:v>
                </c:pt>
                <c:pt idx="396">
                  <c:v>44992</c:v>
                </c:pt>
                <c:pt idx="397">
                  <c:v>44993</c:v>
                </c:pt>
                <c:pt idx="398">
                  <c:v>44994</c:v>
                </c:pt>
                <c:pt idx="399">
                  <c:v>44995</c:v>
                </c:pt>
                <c:pt idx="400">
                  <c:v>44998</c:v>
                </c:pt>
                <c:pt idx="401">
                  <c:v>44999</c:v>
                </c:pt>
                <c:pt idx="402">
                  <c:v>45000</c:v>
                </c:pt>
                <c:pt idx="403">
                  <c:v>45001</c:v>
                </c:pt>
                <c:pt idx="404">
                  <c:v>45002</c:v>
                </c:pt>
                <c:pt idx="405">
                  <c:v>45005</c:v>
                </c:pt>
                <c:pt idx="406">
                  <c:v>45006</c:v>
                </c:pt>
                <c:pt idx="407">
                  <c:v>45007</c:v>
                </c:pt>
                <c:pt idx="408">
                  <c:v>45008</c:v>
                </c:pt>
                <c:pt idx="409">
                  <c:v>45009</c:v>
                </c:pt>
                <c:pt idx="410">
                  <c:v>45012</c:v>
                </c:pt>
                <c:pt idx="411">
                  <c:v>45013</c:v>
                </c:pt>
                <c:pt idx="412">
                  <c:v>45014</c:v>
                </c:pt>
                <c:pt idx="413">
                  <c:v>45015</c:v>
                </c:pt>
                <c:pt idx="414">
                  <c:v>45016</c:v>
                </c:pt>
                <c:pt idx="415">
                  <c:v>45019</c:v>
                </c:pt>
                <c:pt idx="416">
                  <c:v>45020</c:v>
                </c:pt>
                <c:pt idx="417">
                  <c:v>45021</c:v>
                </c:pt>
                <c:pt idx="418">
                  <c:v>45022</c:v>
                </c:pt>
                <c:pt idx="419">
                  <c:v>45026</c:v>
                </c:pt>
                <c:pt idx="420">
                  <c:v>45027</c:v>
                </c:pt>
                <c:pt idx="421">
                  <c:v>45028</c:v>
                </c:pt>
                <c:pt idx="422">
                  <c:v>45029</c:v>
                </c:pt>
                <c:pt idx="423">
                  <c:v>45030</c:v>
                </c:pt>
                <c:pt idx="424">
                  <c:v>45033</c:v>
                </c:pt>
                <c:pt idx="425">
                  <c:v>45034</c:v>
                </c:pt>
                <c:pt idx="426">
                  <c:v>45035</c:v>
                </c:pt>
                <c:pt idx="427">
                  <c:v>45036</c:v>
                </c:pt>
                <c:pt idx="428">
                  <c:v>45037</c:v>
                </c:pt>
                <c:pt idx="429">
                  <c:v>45040</c:v>
                </c:pt>
                <c:pt idx="430">
                  <c:v>45041</c:v>
                </c:pt>
                <c:pt idx="431">
                  <c:v>45042</c:v>
                </c:pt>
                <c:pt idx="432">
                  <c:v>45043</c:v>
                </c:pt>
                <c:pt idx="433">
                  <c:v>45044</c:v>
                </c:pt>
                <c:pt idx="434">
                  <c:v>45047</c:v>
                </c:pt>
                <c:pt idx="435">
                  <c:v>45048</c:v>
                </c:pt>
                <c:pt idx="436">
                  <c:v>45049</c:v>
                </c:pt>
                <c:pt idx="437">
                  <c:v>45050</c:v>
                </c:pt>
                <c:pt idx="438">
                  <c:v>45051</c:v>
                </c:pt>
                <c:pt idx="439">
                  <c:v>45054</c:v>
                </c:pt>
                <c:pt idx="440">
                  <c:v>45055</c:v>
                </c:pt>
                <c:pt idx="441">
                  <c:v>45056</c:v>
                </c:pt>
                <c:pt idx="442">
                  <c:v>45057</c:v>
                </c:pt>
                <c:pt idx="443">
                  <c:v>45058</c:v>
                </c:pt>
                <c:pt idx="444">
                  <c:v>45061</c:v>
                </c:pt>
                <c:pt idx="445">
                  <c:v>45062</c:v>
                </c:pt>
                <c:pt idx="446">
                  <c:v>45063</c:v>
                </c:pt>
                <c:pt idx="447">
                  <c:v>45064</c:v>
                </c:pt>
                <c:pt idx="448">
                  <c:v>45065</c:v>
                </c:pt>
                <c:pt idx="449">
                  <c:v>45068</c:v>
                </c:pt>
                <c:pt idx="450">
                  <c:v>45069</c:v>
                </c:pt>
                <c:pt idx="451">
                  <c:v>45070</c:v>
                </c:pt>
                <c:pt idx="452">
                  <c:v>45071</c:v>
                </c:pt>
                <c:pt idx="453">
                  <c:v>45072</c:v>
                </c:pt>
                <c:pt idx="454">
                  <c:v>45076</c:v>
                </c:pt>
                <c:pt idx="455">
                  <c:v>45077</c:v>
                </c:pt>
                <c:pt idx="456">
                  <c:v>45078</c:v>
                </c:pt>
                <c:pt idx="457">
                  <c:v>45079</c:v>
                </c:pt>
                <c:pt idx="458">
                  <c:v>45082</c:v>
                </c:pt>
                <c:pt idx="459">
                  <c:v>45083</c:v>
                </c:pt>
                <c:pt idx="460">
                  <c:v>45084</c:v>
                </c:pt>
                <c:pt idx="461">
                  <c:v>45085</c:v>
                </c:pt>
                <c:pt idx="462">
                  <c:v>45086</c:v>
                </c:pt>
                <c:pt idx="463">
                  <c:v>45089</c:v>
                </c:pt>
                <c:pt idx="464">
                  <c:v>45090</c:v>
                </c:pt>
                <c:pt idx="465">
                  <c:v>45091</c:v>
                </c:pt>
                <c:pt idx="466">
                  <c:v>45092</c:v>
                </c:pt>
                <c:pt idx="467">
                  <c:v>45093</c:v>
                </c:pt>
                <c:pt idx="468">
                  <c:v>45097</c:v>
                </c:pt>
                <c:pt idx="469">
                  <c:v>45098</c:v>
                </c:pt>
                <c:pt idx="470">
                  <c:v>45099</c:v>
                </c:pt>
                <c:pt idx="471">
                  <c:v>45100</c:v>
                </c:pt>
                <c:pt idx="472">
                  <c:v>45103</c:v>
                </c:pt>
                <c:pt idx="473">
                  <c:v>45104</c:v>
                </c:pt>
                <c:pt idx="474">
                  <c:v>45105</c:v>
                </c:pt>
                <c:pt idx="475">
                  <c:v>45106</c:v>
                </c:pt>
                <c:pt idx="476">
                  <c:v>45107</c:v>
                </c:pt>
                <c:pt idx="477">
                  <c:v>45110</c:v>
                </c:pt>
                <c:pt idx="478">
                  <c:v>45112</c:v>
                </c:pt>
                <c:pt idx="479">
                  <c:v>45113</c:v>
                </c:pt>
                <c:pt idx="480">
                  <c:v>45114</c:v>
                </c:pt>
                <c:pt idx="481">
                  <c:v>45117</c:v>
                </c:pt>
                <c:pt idx="482">
                  <c:v>45118</c:v>
                </c:pt>
                <c:pt idx="483">
                  <c:v>45119</c:v>
                </c:pt>
                <c:pt idx="484">
                  <c:v>45120</c:v>
                </c:pt>
                <c:pt idx="485">
                  <c:v>45121</c:v>
                </c:pt>
                <c:pt idx="486">
                  <c:v>45124</c:v>
                </c:pt>
                <c:pt idx="487">
                  <c:v>45125</c:v>
                </c:pt>
                <c:pt idx="488">
                  <c:v>45126</c:v>
                </c:pt>
                <c:pt idx="489">
                  <c:v>45127</c:v>
                </c:pt>
                <c:pt idx="490">
                  <c:v>45128</c:v>
                </c:pt>
                <c:pt idx="491">
                  <c:v>45131</c:v>
                </c:pt>
                <c:pt idx="492">
                  <c:v>45132</c:v>
                </c:pt>
                <c:pt idx="493">
                  <c:v>45133</c:v>
                </c:pt>
                <c:pt idx="494">
                  <c:v>45134</c:v>
                </c:pt>
                <c:pt idx="495">
                  <c:v>45135</c:v>
                </c:pt>
                <c:pt idx="496">
                  <c:v>45138</c:v>
                </c:pt>
                <c:pt idx="497">
                  <c:v>45139</c:v>
                </c:pt>
                <c:pt idx="498">
                  <c:v>45140</c:v>
                </c:pt>
                <c:pt idx="499">
                  <c:v>45141</c:v>
                </c:pt>
                <c:pt idx="500">
                  <c:v>45142</c:v>
                </c:pt>
                <c:pt idx="501">
                  <c:v>45145</c:v>
                </c:pt>
                <c:pt idx="502">
                  <c:v>45146</c:v>
                </c:pt>
                <c:pt idx="503">
                  <c:v>45147</c:v>
                </c:pt>
                <c:pt idx="504">
                  <c:v>45148</c:v>
                </c:pt>
                <c:pt idx="505">
                  <c:v>45149</c:v>
                </c:pt>
                <c:pt idx="506">
                  <c:v>45152</c:v>
                </c:pt>
                <c:pt idx="507">
                  <c:v>45153</c:v>
                </c:pt>
                <c:pt idx="508">
                  <c:v>45154</c:v>
                </c:pt>
                <c:pt idx="509">
                  <c:v>45155</c:v>
                </c:pt>
                <c:pt idx="510">
                  <c:v>45156</c:v>
                </c:pt>
                <c:pt idx="511">
                  <c:v>45159</c:v>
                </c:pt>
                <c:pt idx="512">
                  <c:v>45160</c:v>
                </c:pt>
                <c:pt idx="513">
                  <c:v>45161</c:v>
                </c:pt>
                <c:pt idx="514">
                  <c:v>45162</c:v>
                </c:pt>
                <c:pt idx="515">
                  <c:v>45163</c:v>
                </c:pt>
                <c:pt idx="516">
                  <c:v>45166</c:v>
                </c:pt>
                <c:pt idx="517">
                  <c:v>45167</c:v>
                </c:pt>
                <c:pt idx="518">
                  <c:v>45168</c:v>
                </c:pt>
                <c:pt idx="519">
                  <c:v>45169</c:v>
                </c:pt>
                <c:pt idx="520">
                  <c:v>45170</c:v>
                </c:pt>
                <c:pt idx="521">
                  <c:v>45174</c:v>
                </c:pt>
                <c:pt idx="522">
                  <c:v>45175</c:v>
                </c:pt>
                <c:pt idx="523">
                  <c:v>45176</c:v>
                </c:pt>
                <c:pt idx="524">
                  <c:v>45177</c:v>
                </c:pt>
                <c:pt idx="525">
                  <c:v>45180</c:v>
                </c:pt>
                <c:pt idx="526">
                  <c:v>45181</c:v>
                </c:pt>
                <c:pt idx="527">
                  <c:v>45182</c:v>
                </c:pt>
                <c:pt idx="528">
                  <c:v>45183</c:v>
                </c:pt>
                <c:pt idx="529">
                  <c:v>45184</c:v>
                </c:pt>
                <c:pt idx="530">
                  <c:v>45187</c:v>
                </c:pt>
                <c:pt idx="531">
                  <c:v>45188</c:v>
                </c:pt>
                <c:pt idx="532">
                  <c:v>45189</c:v>
                </c:pt>
                <c:pt idx="533">
                  <c:v>45190</c:v>
                </c:pt>
                <c:pt idx="534">
                  <c:v>45191</c:v>
                </c:pt>
                <c:pt idx="535">
                  <c:v>45194</c:v>
                </c:pt>
                <c:pt idx="536">
                  <c:v>45195</c:v>
                </c:pt>
                <c:pt idx="537">
                  <c:v>45196</c:v>
                </c:pt>
                <c:pt idx="538">
                  <c:v>45197</c:v>
                </c:pt>
                <c:pt idx="539">
                  <c:v>45198</c:v>
                </c:pt>
                <c:pt idx="540">
                  <c:v>45201</c:v>
                </c:pt>
                <c:pt idx="541">
                  <c:v>45202</c:v>
                </c:pt>
                <c:pt idx="542">
                  <c:v>45203</c:v>
                </c:pt>
                <c:pt idx="543">
                  <c:v>45204</c:v>
                </c:pt>
                <c:pt idx="544">
                  <c:v>45205</c:v>
                </c:pt>
                <c:pt idx="545">
                  <c:v>45208</c:v>
                </c:pt>
                <c:pt idx="546">
                  <c:v>45209</c:v>
                </c:pt>
                <c:pt idx="547">
                  <c:v>45210</c:v>
                </c:pt>
                <c:pt idx="548">
                  <c:v>45211</c:v>
                </c:pt>
                <c:pt idx="549">
                  <c:v>45212</c:v>
                </c:pt>
                <c:pt idx="550">
                  <c:v>45215</c:v>
                </c:pt>
                <c:pt idx="551">
                  <c:v>45216</c:v>
                </c:pt>
                <c:pt idx="552">
                  <c:v>45217</c:v>
                </c:pt>
                <c:pt idx="553">
                  <c:v>45218</c:v>
                </c:pt>
                <c:pt idx="554">
                  <c:v>45219</c:v>
                </c:pt>
                <c:pt idx="555">
                  <c:v>45222</c:v>
                </c:pt>
                <c:pt idx="556">
                  <c:v>45223</c:v>
                </c:pt>
                <c:pt idx="557">
                  <c:v>45224</c:v>
                </c:pt>
                <c:pt idx="558">
                  <c:v>45225</c:v>
                </c:pt>
                <c:pt idx="559">
                  <c:v>45226</c:v>
                </c:pt>
                <c:pt idx="560">
                  <c:v>45229</c:v>
                </c:pt>
                <c:pt idx="561">
                  <c:v>45230</c:v>
                </c:pt>
                <c:pt idx="562">
                  <c:v>45231</c:v>
                </c:pt>
                <c:pt idx="563">
                  <c:v>45232</c:v>
                </c:pt>
                <c:pt idx="564">
                  <c:v>45233</c:v>
                </c:pt>
                <c:pt idx="565">
                  <c:v>45236</c:v>
                </c:pt>
                <c:pt idx="566">
                  <c:v>45237</c:v>
                </c:pt>
                <c:pt idx="567">
                  <c:v>45238</c:v>
                </c:pt>
                <c:pt idx="568">
                  <c:v>45239</c:v>
                </c:pt>
                <c:pt idx="569">
                  <c:v>45240</c:v>
                </c:pt>
                <c:pt idx="570">
                  <c:v>45243</c:v>
                </c:pt>
                <c:pt idx="571">
                  <c:v>45244</c:v>
                </c:pt>
                <c:pt idx="572">
                  <c:v>45245</c:v>
                </c:pt>
                <c:pt idx="573">
                  <c:v>45246</c:v>
                </c:pt>
                <c:pt idx="574">
                  <c:v>45247</c:v>
                </c:pt>
                <c:pt idx="575">
                  <c:v>45250</c:v>
                </c:pt>
                <c:pt idx="576">
                  <c:v>45251</c:v>
                </c:pt>
                <c:pt idx="577">
                  <c:v>45252</c:v>
                </c:pt>
                <c:pt idx="578">
                  <c:v>45254</c:v>
                </c:pt>
                <c:pt idx="579">
                  <c:v>45257</c:v>
                </c:pt>
                <c:pt idx="580">
                  <c:v>45258</c:v>
                </c:pt>
                <c:pt idx="581">
                  <c:v>45259</c:v>
                </c:pt>
                <c:pt idx="582">
                  <c:v>45260</c:v>
                </c:pt>
                <c:pt idx="583">
                  <c:v>45261</c:v>
                </c:pt>
                <c:pt idx="584">
                  <c:v>45264</c:v>
                </c:pt>
                <c:pt idx="585">
                  <c:v>45265</c:v>
                </c:pt>
                <c:pt idx="586">
                  <c:v>45266</c:v>
                </c:pt>
                <c:pt idx="587">
                  <c:v>45267</c:v>
                </c:pt>
                <c:pt idx="588">
                  <c:v>45268</c:v>
                </c:pt>
                <c:pt idx="589">
                  <c:v>45271</c:v>
                </c:pt>
                <c:pt idx="590">
                  <c:v>45272</c:v>
                </c:pt>
                <c:pt idx="591">
                  <c:v>45273</c:v>
                </c:pt>
                <c:pt idx="592">
                  <c:v>45274</c:v>
                </c:pt>
                <c:pt idx="593">
                  <c:v>45275</c:v>
                </c:pt>
                <c:pt idx="594">
                  <c:v>45278</c:v>
                </c:pt>
                <c:pt idx="595">
                  <c:v>45279</c:v>
                </c:pt>
                <c:pt idx="596">
                  <c:v>45280</c:v>
                </c:pt>
                <c:pt idx="597">
                  <c:v>45281</c:v>
                </c:pt>
                <c:pt idx="598">
                  <c:v>45282</c:v>
                </c:pt>
                <c:pt idx="599">
                  <c:v>45286</c:v>
                </c:pt>
                <c:pt idx="600">
                  <c:v>45287</c:v>
                </c:pt>
                <c:pt idx="601">
                  <c:v>45288</c:v>
                </c:pt>
                <c:pt idx="602">
                  <c:v>45289</c:v>
                </c:pt>
                <c:pt idx="603">
                  <c:v>45293</c:v>
                </c:pt>
                <c:pt idx="604">
                  <c:v>45294</c:v>
                </c:pt>
                <c:pt idx="605">
                  <c:v>45295</c:v>
                </c:pt>
                <c:pt idx="606">
                  <c:v>45296</c:v>
                </c:pt>
                <c:pt idx="607">
                  <c:v>45299</c:v>
                </c:pt>
                <c:pt idx="608">
                  <c:v>45300</c:v>
                </c:pt>
                <c:pt idx="609">
                  <c:v>45301</c:v>
                </c:pt>
                <c:pt idx="610">
                  <c:v>45302</c:v>
                </c:pt>
                <c:pt idx="611">
                  <c:v>45303</c:v>
                </c:pt>
                <c:pt idx="612">
                  <c:v>45307</c:v>
                </c:pt>
                <c:pt idx="613">
                  <c:v>45308</c:v>
                </c:pt>
                <c:pt idx="614">
                  <c:v>45309</c:v>
                </c:pt>
                <c:pt idx="615">
                  <c:v>45310</c:v>
                </c:pt>
                <c:pt idx="616">
                  <c:v>45313</c:v>
                </c:pt>
                <c:pt idx="617">
                  <c:v>45314</c:v>
                </c:pt>
                <c:pt idx="618">
                  <c:v>45315</c:v>
                </c:pt>
                <c:pt idx="619">
                  <c:v>45316</c:v>
                </c:pt>
                <c:pt idx="620">
                  <c:v>45317</c:v>
                </c:pt>
                <c:pt idx="621">
                  <c:v>45320</c:v>
                </c:pt>
                <c:pt idx="622">
                  <c:v>45321</c:v>
                </c:pt>
                <c:pt idx="623">
                  <c:v>45322</c:v>
                </c:pt>
                <c:pt idx="624">
                  <c:v>45323</c:v>
                </c:pt>
                <c:pt idx="625">
                  <c:v>45324</c:v>
                </c:pt>
                <c:pt idx="626">
                  <c:v>45327</c:v>
                </c:pt>
                <c:pt idx="627">
                  <c:v>45328</c:v>
                </c:pt>
                <c:pt idx="628">
                  <c:v>45329</c:v>
                </c:pt>
                <c:pt idx="629">
                  <c:v>45330</c:v>
                </c:pt>
                <c:pt idx="630">
                  <c:v>45331</c:v>
                </c:pt>
                <c:pt idx="631">
                  <c:v>45334</c:v>
                </c:pt>
                <c:pt idx="632">
                  <c:v>45335</c:v>
                </c:pt>
                <c:pt idx="633">
                  <c:v>45336</c:v>
                </c:pt>
                <c:pt idx="634">
                  <c:v>45337</c:v>
                </c:pt>
                <c:pt idx="635">
                  <c:v>45338</c:v>
                </c:pt>
                <c:pt idx="636">
                  <c:v>45342</c:v>
                </c:pt>
                <c:pt idx="637">
                  <c:v>45343</c:v>
                </c:pt>
                <c:pt idx="638">
                  <c:v>45344</c:v>
                </c:pt>
                <c:pt idx="639">
                  <c:v>45345</c:v>
                </c:pt>
                <c:pt idx="640">
                  <c:v>45348</c:v>
                </c:pt>
                <c:pt idx="641">
                  <c:v>45349</c:v>
                </c:pt>
                <c:pt idx="642">
                  <c:v>45350</c:v>
                </c:pt>
                <c:pt idx="643">
                  <c:v>45351</c:v>
                </c:pt>
                <c:pt idx="644">
                  <c:v>45352</c:v>
                </c:pt>
                <c:pt idx="645">
                  <c:v>45355</c:v>
                </c:pt>
                <c:pt idx="646">
                  <c:v>45356</c:v>
                </c:pt>
                <c:pt idx="647">
                  <c:v>45357</c:v>
                </c:pt>
                <c:pt idx="648">
                  <c:v>45358</c:v>
                </c:pt>
                <c:pt idx="649">
                  <c:v>45359</c:v>
                </c:pt>
                <c:pt idx="650">
                  <c:v>45362</c:v>
                </c:pt>
                <c:pt idx="651">
                  <c:v>45363</c:v>
                </c:pt>
                <c:pt idx="652">
                  <c:v>45364</c:v>
                </c:pt>
                <c:pt idx="653">
                  <c:v>45365</c:v>
                </c:pt>
                <c:pt idx="654">
                  <c:v>45366</c:v>
                </c:pt>
                <c:pt idx="655">
                  <c:v>45369</c:v>
                </c:pt>
                <c:pt idx="656">
                  <c:v>45370</c:v>
                </c:pt>
                <c:pt idx="657">
                  <c:v>45371</c:v>
                </c:pt>
                <c:pt idx="658">
                  <c:v>45372</c:v>
                </c:pt>
                <c:pt idx="659">
                  <c:v>45373</c:v>
                </c:pt>
                <c:pt idx="660">
                  <c:v>45376</c:v>
                </c:pt>
                <c:pt idx="661">
                  <c:v>45377</c:v>
                </c:pt>
                <c:pt idx="662">
                  <c:v>45378</c:v>
                </c:pt>
                <c:pt idx="663">
                  <c:v>45379</c:v>
                </c:pt>
                <c:pt idx="664">
                  <c:v>45383</c:v>
                </c:pt>
                <c:pt idx="665">
                  <c:v>45384</c:v>
                </c:pt>
                <c:pt idx="666">
                  <c:v>45385</c:v>
                </c:pt>
                <c:pt idx="667">
                  <c:v>45386</c:v>
                </c:pt>
                <c:pt idx="668">
                  <c:v>45387</c:v>
                </c:pt>
                <c:pt idx="669">
                  <c:v>45390</c:v>
                </c:pt>
                <c:pt idx="670">
                  <c:v>45391</c:v>
                </c:pt>
                <c:pt idx="671">
                  <c:v>45392</c:v>
                </c:pt>
                <c:pt idx="672">
                  <c:v>45393</c:v>
                </c:pt>
                <c:pt idx="673">
                  <c:v>45394</c:v>
                </c:pt>
                <c:pt idx="674">
                  <c:v>45397</c:v>
                </c:pt>
                <c:pt idx="675">
                  <c:v>45398</c:v>
                </c:pt>
                <c:pt idx="676">
                  <c:v>45399</c:v>
                </c:pt>
                <c:pt idx="677">
                  <c:v>45400</c:v>
                </c:pt>
                <c:pt idx="678">
                  <c:v>45401</c:v>
                </c:pt>
                <c:pt idx="679">
                  <c:v>45404</c:v>
                </c:pt>
                <c:pt idx="680">
                  <c:v>45405</c:v>
                </c:pt>
                <c:pt idx="681">
                  <c:v>45406</c:v>
                </c:pt>
                <c:pt idx="682">
                  <c:v>45407</c:v>
                </c:pt>
                <c:pt idx="683">
                  <c:v>45408</c:v>
                </c:pt>
                <c:pt idx="684">
                  <c:v>45411</c:v>
                </c:pt>
                <c:pt idx="685">
                  <c:v>45412</c:v>
                </c:pt>
                <c:pt idx="686">
                  <c:v>45413</c:v>
                </c:pt>
                <c:pt idx="687">
                  <c:v>45414</c:v>
                </c:pt>
                <c:pt idx="688">
                  <c:v>45415</c:v>
                </c:pt>
                <c:pt idx="689">
                  <c:v>45418</c:v>
                </c:pt>
                <c:pt idx="690">
                  <c:v>45419</c:v>
                </c:pt>
                <c:pt idx="691">
                  <c:v>45420</c:v>
                </c:pt>
                <c:pt idx="692">
                  <c:v>45421</c:v>
                </c:pt>
                <c:pt idx="693">
                  <c:v>45422</c:v>
                </c:pt>
                <c:pt idx="694">
                  <c:v>45425</c:v>
                </c:pt>
                <c:pt idx="695">
                  <c:v>45426</c:v>
                </c:pt>
                <c:pt idx="696">
                  <c:v>45427</c:v>
                </c:pt>
                <c:pt idx="697">
                  <c:v>45428</c:v>
                </c:pt>
                <c:pt idx="698">
                  <c:v>45429</c:v>
                </c:pt>
                <c:pt idx="699">
                  <c:v>45432</c:v>
                </c:pt>
                <c:pt idx="700">
                  <c:v>45433</c:v>
                </c:pt>
                <c:pt idx="701">
                  <c:v>45434</c:v>
                </c:pt>
                <c:pt idx="702">
                  <c:v>45435</c:v>
                </c:pt>
                <c:pt idx="703">
                  <c:v>45436</c:v>
                </c:pt>
                <c:pt idx="704">
                  <c:v>45440</c:v>
                </c:pt>
                <c:pt idx="705">
                  <c:v>45441</c:v>
                </c:pt>
                <c:pt idx="706">
                  <c:v>45442</c:v>
                </c:pt>
                <c:pt idx="707">
                  <c:v>45443</c:v>
                </c:pt>
                <c:pt idx="708">
                  <c:v>45446</c:v>
                </c:pt>
                <c:pt idx="709">
                  <c:v>45447</c:v>
                </c:pt>
                <c:pt idx="710">
                  <c:v>45448</c:v>
                </c:pt>
                <c:pt idx="711">
                  <c:v>45449</c:v>
                </c:pt>
                <c:pt idx="712">
                  <c:v>45450</c:v>
                </c:pt>
                <c:pt idx="713">
                  <c:v>45453</c:v>
                </c:pt>
                <c:pt idx="714">
                  <c:v>45454</c:v>
                </c:pt>
                <c:pt idx="715">
                  <c:v>45455</c:v>
                </c:pt>
                <c:pt idx="716">
                  <c:v>45456</c:v>
                </c:pt>
                <c:pt idx="717">
                  <c:v>45457</c:v>
                </c:pt>
                <c:pt idx="718">
                  <c:v>45460</c:v>
                </c:pt>
                <c:pt idx="719">
                  <c:v>45461</c:v>
                </c:pt>
                <c:pt idx="720">
                  <c:v>45463</c:v>
                </c:pt>
                <c:pt idx="721">
                  <c:v>45464</c:v>
                </c:pt>
                <c:pt idx="722">
                  <c:v>45467</c:v>
                </c:pt>
                <c:pt idx="723">
                  <c:v>45468</c:v>
                </c:pt>
                <c:pt idx="724">
                  <c:v>45469</c:v>
                </c:pt>
                <c:pt idx="725">
                  <c:v>45470</c:v>
                </c:pt>
                <c:pt idx="726">
                  <c:v>45471</c:v>
                </c:pt>
                <c:pt idx="727">
                  <c:v>45474</c:v>
                </c:pt>
                <c:pt idx="728">
                  <c:v>45475</c:v>
                </c:pt>
                <c:pt idx="729">
                  <c:v>45476</c:v>
                </c:pt>
                <c:pt idx="730">
                  <c:v>45478</c:v>
                </c:pt>
                <c:pt idx="731">
                  <c:v>45481</c:v>
                </c:pt>
                <c:pt idx="732">
                  <c:v>45482</c:v>
                </c:pt>
                <c:pt idx="733">
                  <c:v>45483</c:v>
                </c:pt>
                <c:pt idx="734">
                  <c:v>45484</c:v>
                </c:pt>
                <c:pt idx="735">
                  <c:v>45485</c:v>
                </c:pt>
                <c:pt idx="736">
                  <c:v>45488</c:v>
                </c:pt>
                <c:pt idx="737">
                  <c:v>45489</c:v>
                </c:pt>
                <c:pt idx="738">
                  <c:v>45490</c:v>
                </c:pt>
                <c:pt idx="739">
                  <c:v>45491</c:v>
                </c:pt>
                <c:pt idx="740">
                  <c:v>45492</c:v>
                </c:pt>
                <c:pt idx="741">
                  <c:v>45495</c:v>
                </c:pt>
                <c:pt idx="742">
                  <c:v>45496</c:v>
                </c:pt>
                <c:pt idx="743">
                  <c:v>45497</c:v>
                </c:pt>
                <c:pt idx="744">
                  <c:v>45498</c:v>
                </c:pt>
                <c:pt idx="745">
                  <c:v>45499</c:v>
                </c:pt>
                <c:pt idx="746">
                  <c:v>45502</c:v>
                </c:pt>
                <c:pt idx="747">
                  <c:v>45503</c:v>
                </c:pt>
                <c:pt idx="748">
                  <c:v>45504</c:v>
                </c:pt>
                <c:pt idx="749">
                  <c:v>45505</c:v>
                </c:pt>
                <c:pt idx="750">
                  <c:v>45506</c:v>
                </c:pt>
                <c:pt idx="751">
                  <c:v>45509</c:v>
                </c:pt>
                <c:pt idx="752">
                  <c:v>45510</c:v>
                </c:pt>
                <c:pt idx="753">
                  <c:v>45511</c:v>
                </c:pt>
                <c:pt idx="754">
                  <c:v>45512</c:v>
                </c:pt>
                <c:pt idx="755">
                  <c:v>45513</c:v>
                </c:pt>
                <c:pt idx="756">
                  <c:v>45516</c:v>
                </c:pt>
                <c:pt idx="757">
                  <c:v>45517</c:v>
                </c:pt>
                <c:pt idx="758">
                  <c:v>45518</c:v>
                </c:pt>
                <c:pt idx="759">
                  <c:v>45519</c:v>
                </c:pt>
                <c:pt idx="760">
                  <c:v>45520</c:v>
                </c:pt>
                <c:pt idx="761">
                  <c:v>45523</c:v>
                </c:pt>
                <c:pt idx="762">
                  <c:v>45524</c:v>
                </c:pt>
                <c:pt idx="763">
                  <c:v>45525</c:v>
                </c:pt>
                <c:pt idx="764">
                  <c:v>45526</c:v>
                </c:pt>
                <c:pt idx="765">
                  <c:v>45527</c:v>
                </c:pt>
                <c:pt idx="766">
                  <c:v>45530</c:v>
                </c:pt>
                <c:pt idx="767">
                  <c:v>45531</c:v>
                </c:pt>
                <c:pt idx="768">
                  <c:v>45532</c:v>
                </c:pt>
                <c:pt idx="769">
                  <c:v>45533</c:v>
                </c:pt>
                <c:pt idx="770">
                  <c:v>45534</c:v>
                </c:pt>
                <c:pt idx="771">
                  <c:v>45538</c:v>
                </c:pt>
                <c:pt idx="772">
                  <c:v>45539</c:v>
                </c:pt>
                <c:pt idx="773">
                  <c:v>45540</c:v>
                </c:pt>
                <c:pt idx="774">
                  <c:v>45541</c:v>
                </c:pt>
                <c:pt idx="775">
                  <c:v>45544</c:v>
                </c:pt>
                <c:pt idx="776">
                  <c:v>45545</c:v>
                </c:pt>
                <c:pt idx="777">
                  <c:v>45546</c:v>
                </c:pt>
                <c:pt idx="778">
                  <c:v>45547</c:v>
                </c:pt>
                <c:pt idx="779">
                  <c:v>45548</c:v>
                </c:pt>
                <c:pt idx="780">
                  <c:v>45551</c:v>
                </c:pt>
                <c:pt idx="781">
                  <c:v>45552</c:v>
                </c:pt>
                <c:pt idx="782">
                  <c:v>45553</c:v>
                </c:pt>
                <c:pt idx="783">
                  <c:v>45554</c:v>
                </c:pt>
                <c:pt idx="784">
                  <c:v>45555</c:v>
                </c:pt>
                <c:pt idx="785">
                  <c:v>45558</c:v>
                </c:pt>
                <c:pt idx="786">
                  <c:v>45559</c:v>
                </c:pt>
                <c:pt idx="787">
                  <c:v>45560</c:v>
                </c:pt>
                <c:pt idx="788">
                  <c:v>45561</c:v>
                </c:pt>
                <c:pt idx="789">
                  <c:v>45562</c:v>
                </c:pt>
                <c:pt idx="790">
                  <c:v>45565</c:v>
                </c:pt>
                <c:pt idx="791">
                  <c:v>45566</c:v>
                </c:pt>
                <c:pt idx="792">
                  <c:v>45567</c:v>
                </c:pt>
                <c:pt idx="793">
                  <c:v>45568</c:v>
                </c:pt>
                <c:pt idx="794">
                  <c:v>45569</c:v>
                </c:pt>
                <c:pt idx="795">
                  <c:v>45572</c:v>
                </c:pt>
                <c:pt idx="796">
                  <c:v>45573</c:v>
                </c:pt>
                <c:pt idx="797">
                  <c:v>45574</c:v>
                </c:pt>
                <c:pt idx="798">
                  <c:v>45575</c:v>
                </c:pt>
                <c:pt idx="799">
                  <c:v>45576</c:v>
                </c:pt>
                <c:pt idx="800">
                  <c:v>45579</c:v>
                </c:pt>
                <c:pt idx="801">
                  <c:v>45580</c:v>
                </c:pt>
                <c:pt idx="802">
                  <c:v>45581</c:v>
                </c:pt>
                <c:pt idx="803">
                  <c:v>45582</c:v>
                </c:pt>
                <c:pt idx="804">
                  <c:v>45583</c:v>
                </c:pt>
                <c:pt idx="805">
                  <c:v>45586</c:v>
                </c:pt>
                <c:pt idx="806">
                  <c:v>45587</c:v>
                </c:pt>
                <c:pt idx="807">
                  <c:v>45588</c:v>
                </c:pt>
                <c:pt idx="808">
                  <c:v>45589</c:v>
                </c:pt>
                <c:pt idx="809">
                  <c:v>45590</c:v>
                </c:pt>
                <c:pt idx="810">
                  <c:v>45593</c:v>
                </c:pt>
                <c:pt idx="811">
                  <c:v>45594</c:v>
                </c:pt>
                <c:pt idx="812">
                  <c:v>45595</c:v>
                </c:pt>
                <c:pt idx="813">
                  <c:v>45596</c:v>
                </c:pt>
                <c:pt idx="814">
                  <c:v>45597</c:v>
                </c:pt>
                <c:pt idx="815">
                  <c:v>45600</c:v>
                </c:pt>
                <c:pt idx="816">
                  <c:v>45601</c:v>
                </c:pt>
                <c:pt idx="817">
                  <c:v>45602</c:v>
                </c:pt>
                <c:pt idx="818">
                  <c:v>45603</c:v>
                </c:pt>
                <c:pt idx="819">
                  <c:v>45604</c:v>
                </c:pt>
                <c:pt idx="820">
                  <c:v>45607</c:v>
                </c:pt>
                <c:pt idx="821">
                  <c:v>45608</c:v>
                </c:pt>
                <c:pt idx="822">
                  <c:v>45609</c:v>
                </c:pt>
                <c:pt idx="823">
                  <c:v>45610</c:v>
                </c:pt>
                <c:pt idx="824">
                  <c:v>45611</c:v>
                </c:pt>
                <c:pt idx="825">
                  <c:v>45614</c:v>
                </c:pt>
                <c:pt idx="826">
                  <c:v>45615</c:v>
                </c:pt>
                <c:pt idx="827">
                  <c:v>45616</c:v>
                </c:pt>
                <c:pt idx="828">
                  <c:v>45617</c:v>
                </c:pt>
                <c:pt idx="829">
                  <c:v>45618</c:v>
                </c:pt>
                <c:pt idx="830">
                  <c:v>45621</c:v>
                </c:pt>
                <c:pt idx="831">
                  <c:v>45622</c:v>
                </c:pt>
                <c:pt idx="832">
                  <c:v>45623</c:v>
                </c:pt>
                <c:pt idx="833">
                  <c:v>45625</c:v>
                </c:pt>
                <c:pt idx="834">
                  <c:v>45628</c:v>
                </c:pt>
                <c:pt idx="835">
                  <c:v>45629</c:v>
                </c:pt>
                <c:pt idx="836">
                  <c:v>45630</c:v>
                </c:pt>
                <c:pt idx="837">
                  <c:v>45631</c:v>
                </c:pt>
                <c:pt idx="838">
                  <c:v>45632</c:v>
                </c:pt>
                <c:pt idx="839">
                  <c:v>45635</c:v>
                </c:pt>
                <c:pt idx="840">
                  <c:v>45636</c:v>
                </c:pt>
                <c:pt idx="841">
                  <c:v>45637</c:v>
                </c:pt>
                <c:pt idx="842">
                  <c:v>45638</c:v>
                </c:pt>
                <c:pt idx="843">
                  <c:v>45639</c:v>
                </c:pt>
                <c:pt idx="844">
                  <c:v>45642</c:v>
                </c:pt>
                <c:pt idx="845">
                  <c:v>45643</c:v>
                </c:pt>
                <c:pt idx="846">
                  <c:v>45644</c:v>
                </c:pt>
                <c:pt idx="847">
                  <c:v>45645</c:v>
                </c:pt>
                <c:pt idx="848">
                  <c:v>45646</c:v>
                </c:pt>
                <c:pt idx="849">
                  <c:v>45649</c:v>
                </c:pt>
                <c:pt idx="850">
                  <c:v>45650</c:v>
                </c:pt>
                <c:pt idx="851">
                  <c:v>45652</c:v>
                </c:pt>
                <c:pt idx="852">
                  <c:v>45653</c:v>
                </c:pt>
                <c:pt idx="853">
                  <c:v>45656</c:v>
                </c:pt>
                <c:pt idx="854">
                  <c:v>45657</c:v>
                </c:pt>
                <c:pt idx="855">
                  <c:v>45659</c:v>
                </c:pt>
                <c:pt idx="856">
                  <c:v>45660</c:v>
                </c:pt>
                <c:pt idx="857">
                  <c:v>45663</c:v>
                </c:pt>
                <c:pt idx="858">
                  <c:v>45664</c:v>
                </c:pt>
                <c:pt idx="859">
                  <c:v>45665</c:v>
                </c:pt>
                <c:pt idx="860">
                  <c:v>45667</c:v>
                </c:pt>
                <c:pt idx="861">
                  <c:v>45670</c:v>
                </c:pt>
                <c:pt idx="862">
                  <c:v>45671</c:v>
                </c:pt>
                <c:pt idx="863">
                  <c:v>45672</c:v>
                </c:pt>
                <c:pt idx="864">
                  <c:v>45673</c:v>
                </c:pt>
                <c:pt idx="865">
                  <c:v>45674</c:v>
                </c:pt>
                <c:pt idx="866">
                  <c:v>45678</c:v>
                </c:pt>
                <c:pt idx="867">
                  <c:v>45679</c:v>
                </c:pt>
                <c:pt idx="868">
                  <c:v>45680</c:v>
                </c:pt>
                <c:pt idx="869">
                  <c:v>45681</c:v>
                </c:pt>
                <c:pt idx="870">
                  <c:v>45684</c:v>
                </c:pt>
                <c:pt idx="871">
                  <c:v>45685</c:v>
                </c:pt>
                <c:pt idx="872">
                  <c:v>45686</c:v>
                </c:pt>
                <c:pt idx="873">
                  <c:v>45687</c:v>
                </c:pt>
                <c:pt idx="874">
                  <c:v>45688</c:v>
                </c:pt>
                <c:pt idx="875">
                  <c:v>45691</c:v>
                </c:pt>
                <c:pt idx="876">
                  <c:v>45692</c:v>
                </c:pt>
                <c:pt idx="877">
                  <c:v>45693</c:v>
                </c:pt>
                <c:pt idx="878">
                  <c:v>45694</c:v>
                </c:pt>
                <c:pt idx="879">
                  <c:v>45695</c:v>
                </c:pt>
                <c:pt idx="880">
                  <c:v>45698</c:v>
                </c:pt>
                <c:pt idx="881">
                  <c:v>45699</c:v>
                </c:pt>
                <c:pt idx="882">
                  <c:v>45700</c:v>
                </c:pt>
                <c:pt idx="883">
                  <c:v>45701</c:v>
                </c:pt>
                <c:pt idx="884">
                  <c:v>45702</c:v>
                </c:pt>
                <c:pt idx="885">
                  <c:v>45706</c:v>
                </c:pt>
                <c:pt idx="886">
                  <c:v>45707</c:v>
                </c:pt>
                <c:pt idx="887">
                  <c:v>45708</c:v>
                </c:pt>
                <c:pt idx="888">
                  <c:v>45709</c:v>
                </c:pt>
                <c:pt idx="889">
                  <c:v>45712</c:v>
                </c:pt>
                <c:pt idx="890">
                  <c:v>45713</c:v>
                </c:pt>
                <c:pt idx="891">
                  <c:v>45714</c:v>
                </c:pt>
                <c:pt idx="892">
                  <c:v>45715</c:v>
                </c:pt>
                <c:pt idx="893">
                  <c:v>45716</c:v>
                </c:pt>
                <c:pt idx="894">
                  <c:v>45719</c:v>
                </c:pt>
                <c:pt idx="895">
                  <c:v>45720</c:v>
                </c:pt>
                <c:pt idx="896">
                  <c:v>45721</c:v>
                </c:pt>
                <c:pt idx="897">
                  <c:v>45722</c:v>
                </c:pt>
                <c:pt idx="898">
                  <c:v>45723</c:v>
                </c:pt>
                <c:pt idx="899">
                  <c:v>45726</c:v>
                </c:pt>
                <c:pt idx="900">
                  <c:v>45727</c:v>
                </c:pt>
                <c:pt idx="901">
                  <c:v>45728</c:v>
                </c:pt>
                <c:pt idx="902">
                  <c:v>45729</c:v>
                </c:pt>
                <c:pt idx="903">
                  <c:v>45730</c:v>
                </c:pt>
                <c:pt idx="904">
                  <c:v>45733</c:v>
                </c:pt>
                <c:pt idx="905">
                  <c:v>45734</c:v>
                </c:pt>
                <c:pt idx="906">
                  <c:v>45735</c:v>
                </c:pt>
                <c:pt idx="907">
                  <c:v>45736</c:v>
                </c:pt>
                <c:pt idx="908">
                  <c:v>45737</c:v>
                </c:pt>
                <c:pt idx="909">
                  <c:v>45740</c:v>
                </c:pt>
                <c:pt idx="910">
                  <c:v>45741</c:v>
                </c:pt>
                <c:pt idx="911">
                  <c:v>45742</c:v>
                </c:pt>
                <c:pt idx="912">
                  <c:v>45743</c:v>
                </c:pt>
                <c:pt idx="913">
                  <c:v>45744</c:v>
                </c:pt>
                <c:pt idx="914">
                  <c:v>45747</c:v>
                </c:pt>
                <c:pt idx="915">
                  <c:v>45748</c:v>
                </c:pt>
                <c:pt idx="916">
                  <c:v>45749</c:v>
                </c:pt>
                <c:pt idx="917">
                  <c:v>45750</c:v>
                </c:pt>
                <c:pt idx="918">
                  <c:v>45751</c:v>
                </c:pt>
                <c:pt idx="919">
                  <c:v>45754</c:v>
                </c:pt>
                <c:pt idx="920">
                  <c:v>45755</c:v>
                </c:pt>
                <c:pt idx="921">
                  <c:v>45756</c:v>
                </c:pt>
                <c:pt idx="922">
                  <c:v>45757</c:v>
                </c:pt>
                <c:pt idx="923">
                  <c:v>45758</c:v>
                </c:pt>
                <c:pt idx="924">
                  <c:v>45761</c:v>
                </c:pt>
                <c:pt idx="925">
                  <c:v>45762</c:v>
                </c:pt>
                <c:pt idx="926">
                  <c:v>45763</c:v>
                </c:pt>
                <c:pt idx="927">
                  <c:v>45764</c:v>
                </c:pt>
                <c:pt idx="928">
                  <c:v>45768</c:v>
                </c:pt>
                <c:pt idx="929">
                  <c:v>45769</c:v>
                </c:pt>
                <c:pt idx="930">
                  <c:v>45770</c:v>
                </c:pt>
                <c:pt idx="931">
                  <c:v>45771</c:v>
                </c:pt>
                <c:pt idx="932">
                  <c:v>45772</c:v>
                </c:pt>
                <c:pt idx="933">
                  <c:v>45775</c:v>
                </c:pt>
                <c:pt idx="934">
                  <c:v>45776</c:v>
                </c:pt>
                <c:pt idx="935">
                  <c:v>45777</c:v>
                </c:pt>
                <c:pt idx="936">
                  <c:v>45778</c:v>
                </c:pt>
                <c:pt idx="937">
                  <c:v>45779</c:v>
                </c:pt>
                <c:pt idx="938">
                  <c:v>45782</c:v>
                </c:pt>
                <c:pt idx="939">
                  <c:v>45783</c:v>
                </c:pt>
                <c:pt idx="940">
                  <c:v>45784</c:v>
                </c:pt>
                <c:pt idx="941">
                  <c:v>45785</c:v>
                </c:pt>
                <c:pt idx="942">
                  <c:v>45786</c:v>
                </c:pt>
                <c:pt idx="943">
                  <c:v>45789</c:v>
                </c:pt>
                <c:pt idx="944">
                  <c:v>45790</c:v>
                </c:pt>
                <c:pt idx="945">
                  <c:v>45791</c:v>
                </c:pt>
                <c:pt idx="946">
                  <c:v>45792</c:v>
                </c:pt>
                <c:pt idx="947">
                  <c:v>45793</c:v>
                </c:pt>
                <c:pt idx="948">
                  <c:v>45796</c:v>
                </c:pt>
                <c:pt idx="949">
                  <c:v>45797</c:v>
                </c:pt>
                <c:pt idx="950">
                  <c:v>45798</c:v>
                </c:pt>
                <c:pt idx="951">
                  <c:v>45799</c:v>
                </c:pt>
                <c:pt idx="952">
                  <c:v>45800</c:v>
                </c:pt>
                <c:pt idx="953">
                  <c:v>45804</c:v>
                </c:pt>
                <c:pt idx="954">
                  <c:v>45805</c:v>
                </c:pt>
                <c:pt idx="955">
                  <c:v>45806</c:v>
                </c:pt>
                <c:pt idx="956">
                  <c:v>45807</c:v>
                </c:pt>
                <c:pt idx="957">
                  <c:v>45810</c:v>
                </c:pt>
                <c:pt idx="958">
                  <c:v>45811</c:v>
                </c:pt>
                <c:pt idx="959">
                  <c:v>45812</c:v>
                </c:pt>
                <c:pt idx="960">
                  <c:v>45813</c:v>
                </c:pt>
                <c:pt idx="961">
                  <c:v>45814</c:v>
                </c:pt>
                <c:pt idx="962">
                  <c:v>45817</c:v>
                </c:pt>
                <c:pt idx="963">
                  <c:v>45818</c:v>
                </c:pt>
                <c:pt idx="964">
                  <c:v>45819</c:v>
                </c:pt>
                <c:pt idx="965">
                  <c:v>45820</c:v>
                </c:pt>
                <c:pt idx="966">
                  <c:v>45821</c:v>
                </c:pt>
                <c:pt idx="967">
                  <c:v>45824</c:v>
                </c:pt>
                <c:pt idx="968">
                  <c:v>45825</c:v>
                </c:pt>
                <c:pt idx="969">
                  <c:v>45826</c:v>
                </c:pt>
                <c:pt idx="970">
                  <c:v>45828</c:v>
                </c:pt>
                <c:pt idx="971">
                  <c:v>45831</c:v>
                </c:pt>
                <c:pt idx="972">
                  <c:v>45832</c:v>
                </c:pt>
                <c:pt idx="973">
                  <c:v>45833</c:v>
                </c:pt>
                <c:pt idx="974">
                  <c:v>45834</c:v>
                </c:pt>
                <c:pt idx="975">
                  <c:v>45835</c:v>
                </c:pt>
                <c:pt idx="976">
                  <c:v>45838</c:v>
                </c:pt>
                <c:pt idx="977">
                  <c:v>45839</c:v>
                </c:pt>
                <c:pt idx="978">
                  <c:v>45840</c:v>
                </c:pt>
                <c:pt idx="979">
                  <c:v>45841</c:v>
                </c:pt>
                <c:pt idx="980">
                  <c:v>45845</c:v>
                </c:pt>
                <c:pt idx="981">
                  <c:v>45846</c:v>
                </c:pt>
                <c:pt idx="982">
                  <c:v>45847</c:v>
                </c:pt>
                <c:pt idx="983">
                  <c:v>45848</c:v>
                </c:pt>
                <c:pt idx="984">
                  <c:v>45849</c:v>
                </c:pt>
                <c:pt idx="985">
                  <c:v>45852</c:v>
                </c:pt>
                <c:pt idx="986">
                  <c:v>45853</c:v>
                </c:pt>
                <c:pt idx="987">
                  <c:v>45854</c:v>
                </c:pt>
                <c:pt idx="988">
                  <c:v>45855</c:v>
                </c:pt>
                <c:pt idx="989">
                  <c:v>45856</c:v>
                </c:pt>
                <c:pt idx="990">
                  <c:v>45859</c:v>
                </c:pt>
                <c:pt idx="991">
                  <c:v>45860</c:v>
                </c:pt>
                <c:pt idx="992">
                  <c:v>45861</c:v>
                </c:pt>
                <c:pt idx="993">
                  <c:v>45862</c:v>
                </c:pt>
                <c:pt idx="994">
                  <c:v>45863</c:v>
                </c:pt>
                <c:pt idx="995">
                  <c:v>45866</c:v>
                </c:pt>
                <c:pt idx="996">
                  <c:v>45867</c:v>
                </c:pt>
                <c:pt idx="997">
                  <c:v>45868</c:v>
                </c:pt>
                <c:pt idx="998">
                  <c:v>45869</c:v>
                </c:pt>
                <c:pt idx="999">
                  <c:v>45870</c:v>
                </c:pt>
                <c:pt idx="1000">
                  <c:v>45873</c:v>
                </c:pt>
                <c:pt idx="1001">
                  <c:v>45874</c:v>
                </c:pt>
                <c:pt idx="1002">
                  <c:v>45875</c:v>
                </c:pt>
                <c:pt idx="1003">
                  <c:v>45876</c:v>
                </c:pt>
                <c:pt idx="1004">
                  <c:v>45877</c:v>
                </c:pt>
                <c:pt idx="1005">
                  <c:v>45880</c:v>
                </c:pt>
                <c:pt idx="1006">
                  <c:v>45881</c:v>
                </c:pt>
                <c:pt idx="1007">
                  <c:v>45882</c:v>
                </c:pt>
                <c:pt idx="1008">
                  <c:v>45883</c:v>
                </c:pt>
                <c:pt idx="1009">
                  <c:v>45884</c:v>
                </c:pt>
                <c:pt idx="1010">
                  <c:v>45887</c:v>
                </c:pt>
                <c:pt idx="1011">
                  <c:v>45888</c:v>
                </c:pt>
                <c:pt idx="1012">
                  <c:v>45889</c:v>
                </c:pt>
                <c:pt idx="1013">
                  <c:v>45890</c:v>
                </c:pt>
                <c:pt idx="1014">
                  <c:v>45891</c:v>
                </c:pt>
                <c:pt idx="1015">
                  <c:v>45894</c:v>
                </c:pt>
                <c:pt idx="1016">
                  <c:v>45895</c:v>
                </c:pt>
                <c:pt idx="1017">
                  <c:v>45896</c:v>
                </c:pt>
                <c:pt idx="1018">
                  <c:v>45897</c:v>
                </c:pt>
                <c:pt idx="1019">
                  <c:v>45898</c:v>
                </c:pt>
                <c:pt idx="1020">
                  <c:v>45902</c:v>
                </c:pt>
                <c:pt idx="1021">
                  <c:v>45903</c:v>
                </c:pt>
                <c:pt idx="1022">
                  <c:v>45904</c:v>
                </c:pt>
                <c:pt idx="1023">
                  <c:v>45905</c:v>
                </c:pt>
                <c:pt idx="1024">
                  <c:v>45908</c:v>
                </c:pt>
                <c:pt idx="1025">
                  <c:v>45909</c:v>
                </c:pt>
                <c:pt idx="1026">
                  <c:v>45910</c:v>
                </c:pt>
                <c:pt idx="1027">
                  <c:v>45911</c:v>
                </c:pt>
                <c:pt idx="1028">
                  <c:v>45912</c:v>
                </c:pt>
                <c:pt idx="1029">
                  <c:v>45915</c:v>
                </c:pt>
                <c:pt idx="1030">
                  <c:v>45916</c:v>
                </c:pt>
                <c:pt idx="1031">
                  <c:v>45917</c:v>
                </c:pt>
                <c:pt idx="1032">
                  <c:v>45918</c:v>
                </c:pt>
                <c:pt idx="1033">
                  <c:v>45919</c:v>
                </c:pt>
                <c:pt idx="1034">
                  <c:v>45922</c:v>
                </c:pt>
                <c:pt idx="1035">
                  <c:v>45923</c:v>
                </c:pt>
                <c:pt idx="1036">
                  <c:v>45924</c:v>
                </c:pt>
                <c:pt idx="1037">
                  <c:v>45925</c:v>
                </c:pt>
                <c:pt idx="1038">
                  <c:v>45926</c:v>
                </c:pt>
                <c:pt idx="1039">
                  <c:v>45929</c:v>
                </c:pt>
                <c:pt idx="1040">
                  <c:v>45930</c:v>
                </c:pt>
                <c:pt idx="1041">
                  <c:v>45931</c:v>
                </c:pt>
                <c:pt idx="1042">
                  <c:v>45932</c:v>
                </c:pt>
                <c:pt idx="1043">
                  <c:v>45933</c:v>
                </c:pt>
                <c:pt idx="1044">
                  <c:v>45936</c:v>
                </c:pt>
                <c:pt idx="1045">
                  <c:v>45937</c:v>
                </c:pt>
                <c:pt idx="1046">
                  <c:v>45938</c:v>
                </c:pt>
                <c:pt idx="1047">
                  <c:v>45939</c:v>
                </c:pt>
                <c:pt idx="1048">
                  <c:v>45940</c:v>
                </c:pt>
                <c:pt idx="1049">
                  <c:v>45943</c:v>
                </c:pt>
                <c:pt idx="1050">
                  <c:v>45944</c:v>
                </c:pt>
                <c:pt idx="1051">
                  <c:v>45945</c:v>
                </c:pt>
                <c:pt idx="1052">
                  <c:v>45946</c:v>
                </c:pt>
                <c:pt idx="1053">
                  <c:v>45947</c:v>
                </c:pt>
                <c:pt idx="1054">
                  <c:v>45950</c:v>
                </c:pt>
                <c:pt idx="1055">
                  <c:v>45951</c:v>
                </c:pt>
                <c:pt idx="1056">
                  <c:v>45952</c:v>
                </c:pt>
                <c:pt idx="1057">
                  <c:v>45953</c:v>
                </c:pt>
                <c:pt idx="1058">
                  <c:v>45954</c:v>
                </c:pt>
                <c:pt idx="1059">
                  <c:v>45957</c:v>
                </c:pt>
                <c:pt idx="1060">
                  <c:v>45958</c:v>
                </c:pt>
                <c:pt idx="1061">
                  <c:v>45959</c:v>
                </c:pt>
                <c:pt idx="1062">
                  <c:v>45960</c:v>
                </c:pt>
                <c:pt idx="1063">
                  <c:v>45961</c:v>
                </c:pt>
                <c:pt idx="1064">
                  <c:v>45964</c:v>
                </c:pt>
                <c:pt idx="1065">
                  <c:v>45965</c:v>
                </c:pt>
                <c:pt idx="1066">
                  <c:v>45966</c:v>
                </c:pt>
                <c:pt idx="1067">
                  <c:v>45967</c:v>
                </c:pt>
                <c:pt idx="1068">
                  <c:v>45968</c:v>
                </c:pt>
                <c:pt idx="1069">
                  <c:v>45971</c:v>
                </c:pt>
                <c:pt idx="1070">
                  <c:v>45972</c:v>
                </c:pt>
                <c:pt idx="1071">
                  <c:v>45973</c:v>
                </c:pt>
                <c:pt idx="1072">
                  <c:v>45974</c:v>
                </c:pt>
                <c:pt idx="1073">
                  <c:v>45975</c:v>
                </c:pt>
                <c:pt idx="1074">
                  <c:v>45978</c:v>
                </c:pt>
                <c:pt idx="1075">
                  <c:v>45979</c:v>
                </c:pt>
                <c:pt idx="1076">
                  <c:v>45980</c:v>
                </c:pt>
                <c:pt idx="1077">
                  <c:v>45981</c:v>
                </c:pt>
                <c:pt idx="1078">
                  <c:v>45982</c:v>
                </c:pt>
                <c:pt idx="1079">
                  <c:v>45985</c:v>
                </c:pt>
                <c:pt idx="1080">
                  <c:v>45986</c:v>
                </c:pt>
                <c:pt idx="1081">
                  <c:v>45987</c:v>
                </c:pt>
                <c:pt idx="1082">
                  <c:v>45989</c:v>
                </c:pt>
                <c:pt idx="1083">
                  <c:v>45992</c:v>
                </c:pt>
                <c:pt idx="1084">
                  <c:v>45993</c:v>
                </c:pt>
                <c:pt idx="1085">
                  <c:v>45994</c:v>
                </c:pt>
                <c:pt idx="1086">
                  <c:v>45995</c:v>
                </c:pt>
                <c:pt idx="1087">
                  <c:v>45996</c:v>
                </c:pt>
                <c:pt idx="1088">
                  <c:v>45999</c:v>
                </c:pt>
                <c:pt idx="1089">
                  <c:v>46000</c:v>
                </c:pt>
                <c:pt idx="1090">
                  <c:v>46001</c:v>
                </c:pt>
                <c:pt idx="1091">
                  <c:v>46002</c:v>
                </c:pt>
                <c:pt idx="1092">
                  <c:v>46003</c:v>
                </c:pt>
                <c:pt idx="1093">
                  <c:v>46006</c:v>
                </c:pt>
                <c:pt idx="1094">
                  <c:v>46007</c:v>
                </c:pt>
                <c:pt idx="1095">
                  <c:v>46008</c:v>
                </c:pt>
                <c:pt idx="1096">
                  <c:v>46009</c:v>
                </c:pt>
                <c:pt idx="1097">
                  <c:v>46010</c:v>
                </c:pt>
                <c:pt idx="1098">
                  <c:v>46013</c:v>
                </c:pt>
                <c:pt idx="1099">
                  <c:v>46014</c:v>
                </c:pt>
                <c:pt idx="1100">
                  <c:v>46015</c:v>
                </c:pt>
                <c:pt idx="1101">
                  <c:v>46017</c:v>
                </c:pt>
                <c:pt idx="1102">
                  <c:v>46020</c:v>
                </c:pt>
                <c:pt idx="1103">
                  <c:v>46021</c:v>
                </c:pt>
                <c:pt idx="1104">
                  <c:v>46022</c:v>
                </c:pt>
                <c:pt idx="1105">
                  <c:v>46024</c:v>
                </c:pt>
                <c:pt idx="1106">
                  <c:v>46027</c:v>
                </c:pt>
                <c:pt idx="1107">
                  <c:v>46028</c:v>
                </c:pt>
                <c:pt idx="1108">
                  <c:v>46029</c:v>
                </c:pt>
                <c:pt idx="1109">
                  <c:v>46030</c:v>
                </c:pt>
                <c:pt idx="1110">
                  <c:v>46031</c:v>
                </c:pt>
                <c:pt idx="1111">
                  <c:v>46034</c:v>
                </c:pt>
                <c:pt idx="1112">
                  <c:v>46035</c:v>
                </c:pt>
                <c:pt idx="1113">
                  <c:v>46036</c:v>
                </c:pt>
                <c:pt idx="1114">
                  <c:v>46037</c:v>
                </c:pt>
                <c:pt idx="1115">
                  <c:v>46038</c:v>
                </c:pt>
                <c:pt idx="1116">
                  <c:v>46042</c:v>
                </c:pt>
                <c:pt idx="1117">
                  <c:v>46043</c:v>
                </c:pt>
                <c:pt idx="1118">
                  <c:v>46044</c:v>
                </c:pt>
                <c:pt idx="1119">
                  <c:v>46045</c:v>
                </c:pt>
                <c:pt idx="1120">
                  <c:v>46048</c:v>
                </c:pt>
                <c:pt idx="1121">
                  <c:v>46049</c:v>
                </c:pt>
                <c:pt idx="1122">
                  <c:v>46050</c:v>
                </c:pt>
                <c:pt idx="1123">
                  <c:v>46051</c:v>
                </c:pt>
                <c:pt idx="1124">
                  <c:v>46052</c:v>
                </c:pt>
                <c:pt idx="1125">
                  <c:v>46055</c:v>
                </c:pt>
                <c:pt idx="1126">
                  <c:v>46056</c:v>
                </c:pt>
                <c:pt idx="1127">
                  <c:v>46057</c:v>
                </c:pt>
                <c:pt idx="1128">
                  <c:v>46058</c:v>
                </c:pt>
                <c:pt idx="1129">
                  <c:v>46059</c:v>
                </c:pt>
                <c:pt idx="1130">
                  <c:v>46062</c:v>
                </c:pt>
                <c:pt idx="1131">
                  <c:v>46063</c:v>
                </c:pt>
                <c:pt idx="1132">
                  <c:v>46064</c:v>
                </c:pt>
                <c:pt idx="1133">
                  <c:v>46065</c:v>
                </c:pt>
                <c:pt idx="1134">
                  <c:v>46066</c:v>
                </c:pt>
                <c:pt idx="1135">
                  <c:v>46070</c:v>
                </c:pt>
                <c:pt idx="1136">
                  <c:v>46071</c:v>
                </c:pt>
                <c:pt idx="1137">
                  <c:v>46072</c:v>
                </c:pt>
                <c:pt idx="1138">
                  <c:v>46073</c:v>
                </c:pt>
                <c:pt idx="1139">
                  <c:v>46076</c:v>
                </c:pt>
                <c:pt idx="1140">
                  <c:v>46077</c:v>
                </c:pt>
                <c:pt idx="1141">
                  <c:v>46078</c:v>
                </c:pt>
                <c:pt idx="1142">
                  <c:v>46079</c:v>
                </c:pt>
                <c:pt idx="1143">
                  <c:v>46080</c:v>
                </c:pt>
                <c:pt idx="1144">
                  <c:v>46083</c:v>
                </c:pt>
                <c:pt idx="1145">
                  <c:v>46084</c:v>
                </c:pt>
                <c:pt idx="1146">
                  <c:v>46085</c:v>
                </c:pt>
                <c:pt idx="1147">
                  <c:v>46086</c:v>
                </c:pt>
                <c:pt idx="1148">
                  <c:v>46087</c:v>
                </c:pt>
                <c:pt idx="1149">
                  <c:v>46090</c:v>
                </c:pt>
                <c:pt idx="1150">
                  <c:v>46091</c:v>
                </c:pt>
                <c:pt idx="1151">
                  <c:v>46092</c:v>
                </c:pt>
                <c:pt idx="1152">
                  <c:v>46093</c:v>
                </c:pt>
                <c:pt idx="1153">
                  <c:v>46094</c:v>
                </c:pt>
                <c:pt idx="1154">
                  <c:v>46097</c:v>
                </c:pt>
                <c:pt idx="1155">
                  <c:v>46098</c:v>
                </c:pt>
                <c:pt idx="1156">
                  <c:v>46099</c:v>
                </c:pt>
                <c:pt idx="1157">
                  <c:v>46100</c:v>
                </c:pt>
                <c:pt idx="1158">
                  <c:v>46101</c:v>
                </c:pt>
                <c:pt idx="1159">
                  <c:v>46104</c:v>
                </c:pt>
                <c:pt idx="1160">
                  <c:v>46105</c:v>
                </c:pt>
                <c:pt idx="1161">
                  <c:v>46106</c:v>
                </c:pt>
                <c:pt idx="1162">
                  <c:v>46107</c:v>
                </c:pt>
                <c:pt idx="1163">
                  <c:v>46108</c:v>
                </c:pt>
                <c:pt idx="1164">
                  <c:v>46111</c:v>
                </c:pt>
                <c:pt idx="1165">
                  <c:v>46112</c:v>
                </c:pt>
                <c:pt idx="1166">
                  <c:v>46113</c:v>
                </c:pt>
                <c:pt idx="1167">
                  <c:v>46114</c:v>
                </c:pt>
                <c:pt idx="1168">
                  <c:v>46118</c:v>
                </c:pt>
                <c:pt idx="1169">
                  <c:v>46119</c:v>
                </c:pt>
                <c:pt idx="1170">
                  <c:v>46120</c:v>
                </c:pt>
                <c:pt idx="1171">
                  <c:v>46121</c:v>
                </c:pt>
                <c:pt idx="1172">
                  <c:v>46122</c:v>
                </c:pt>
                <c:pt idx="1173">
                  <c:v>46125</c:v>
                </c:pt>
                <c:pt idx="1174">
                  <c:v>46126</c:v>
                </c:pt>
                <c:pt idx="1175">
                  <c:v>46127</c:v>
                </c:pt>
                <c:pt idx="1176">
                  <c:v>46128</c:v>
                </c:pt>
                <c:pt idx="1177">
                  <c:v>46129</c:v>
                </c:pt>
                <c:pt idx="1178">
                  <c:v>46132</c:v>
                </c:pt>
                <c:pt idx="1179">
                  <c:v>46133</c:v>
                </c:pt>
                <c:pt idx="1180">
                  <c:v>46134</c:v>
                </c:pt>
                <c:pt idx="1181">
                  <c:v>46135</c:v>
                </c:pt>
                <c:pt idx="1182">
                  <c:v>46136</c:v>
                </c:pt>
                <c:pt idx="1183">
                  <c:v>46139</c:v>
                </c:pt>
                <c:pt idx="1184">
                  <c:v>46140</c:v>
                </c:pt>
                <c:pt idx="1185">
                  <c:v>46141</c:v>
                </c:pt>
                <c:pt idx="1186">
                  <c:v>46142</c:v>
                </c:pt>
                <c:pt idx="1187">
                  <c:v>46143</c:v>
                </c:pt>
                <c:pt idx="1188">
                  <c:v>46146</c:v>
                </c:pt>
                <c:pt idx="1189">
                  <c:v>46147</c:v>
                </c:pt>
                <c:pt idx="1190">
                  <c:v>46148</c:v>
                </c:pt>
                <c:pt idx="1191">
                  <c:v>46149</c:v>
                </c:pt>
                <c:pt idx="1192">
                  <c:v>46150</c:v>
                </c:pt>
                <c:pt idx="1193">
                  <c:v>46153</c:v>
                </c:pt>
                <c:pt idx="1194">
                  <c:v>46154</c:v>
                </c:pt>
                <c:pt idx="1195">
                  <c:v>46155</c:v>
                </c:pt>
                <c:pt idx="1196">
                  <c:v>46156</c:v>
                </c:pt>
                <c:pt idx="1197">
                  <c:v>46157</c:v>
                </c:pt>
                <c:pt idx="1198">
                  <c:v>46160</c:v>
                </c:pt>
                <c:pt idx="1199">
                  <c:v>46161</c:v>
                </c:pt>
                <c:pt idx="1200">
                  <c:v>46162</c:v>
                </c:pt>
                <c:pt idx="1201">
                  <c:v>46163</c:v>
                </c:pt>
                <c:pt idx="1202">
                  <c:v>46164</c:v>
                </c:pt>
                <c:pt idx="1203">
                  <c:v>46168</c:v>
                </c:pt>
                <c:pt idx="1204">
                  <c:v>46169</c:v>
                </c:pt>
                <c:pt idx="1205">
                  <c:v>46170</c:v>
                </c:pt>
                <c:pt idx="1206">
                  <c:v>46171</c:v>
                </c:pt>
                <c:pt idx="1207">
                  <c:v>46174</c:v>
                </c:pt>
                <c:pt idx="1208">
                  <c:v>46175</c:v>
                </c:pt>
                <c:pt idx="1209">
                  <c:v>46176</c:v>
                </c:pt>
                <c:pt idx="1210">
                  <c:v>46177</c:v>
                </c:pt>
                <c:pt idx="1211">
                  <c:v>46178</c:v>
                </c:pt>
                <c:pt idx="1212">
                  <c:v>46181</c:v>
                </c:pt>
                <c:pt idx="1213">
                  <c:v>46182</c:v>
                </c:pt>
                <c:pt idx="1214">
                  <c:v>46183</c:v>
                </c:pt>
                <c:pt idx="1215">
                  <c:v>46184</c:v>
                </c:pt>
                <c:pt idx="1216">
                  <c:v>46185</c:v>
                </c:pt>
                <c:pt idx="1217">
                  <c:v>46188</c:v>
                </c:pt>
                <c:pt idx="1218">
                  <c:v>46189</c:v>
                </c:pt>
                <c:pt idx="1219">
                  <c:v>46190</c:v>
                </c:pt>
                <c:pt idx="1220">
                  <c:v>46191</c:v>
                </c:pt>
                <c:pt idx="1221">
                  <c:v>46195</c:v>
                </c:pt>
                <c:pt idx="1222">
                  <c:v>46196</c:v>
                </c:pt>
                <c:pt idx="1223">
                  <c:v>46197</c:v>
                </c:pt>
                <c:pt idx="1224">
                  <c:v>46198</c:v>
                </c:pt>
                <c:pt idx="1225">
                  <c:v>46199</c:v>
                </c:pt>
                <c:pt idx="1226">
                  <c:v>46202</c:v>
                </c:pt>
                <c:pt idx="1227">
                  <c:v>46203</c:v>
                </c:pt>
                <c:pt idx="1228">
                  <c:v>46204</c:v>
                </c:pt>
                <c:pt idx="1229">
                  <c:v>46205</c:v>
                </c:pt>
                <c:pt idx="1230">
                  <c:v>46209</c:v>
                </c:pt>
                <c:pt idx="1231">
                  <c:v>46210</c:v>
                </c:pt>
                <c:pt idx="1232">
                  <c:v>46211</c:v>
                </c:pt>
                <c:pt idx="1233">
                  <c:v>46212</c:v>
                </c:pt>
                <c:pt idx="1234">
                  <c:v>46213</c:v>
                </c:pt>
                <c:pt idx="1235">
                  <c:v>46216</c:v>
                </c:pt>
                <c:pt idx="1236">
                  <c:v>46217</c:v>
                </c:pt>
                <c:pt idx="1237">
                  <c:v>46218</c:v>
                </c:pt>
                <c:pt idx="1238">
                  <c:v>46219</c:v>
                </c:pt>
                <c:pt idx="1239">
                  <c:v>46220</c:v>
                </c:pt>
                <c:pt idx="1240">
                  <c:v>46223</c:v>
                </c:pt>
                <c:pt idx="1241">
                  <c:v>46224</c:v>
                </c:pt>
                <c:pt idx="1242">
                  <c:v>46225</c:v>
                </c:pt>
                <c:pt idx="1243">
                  <c:v>46226</c:v>
                </c:pt>
                <c:pt idx="1244">
                  <c:v>46227</c:v>
                </c:pt>
                <c:pt idx="1245">
                  <c:v>46230</c:v>
                </c:pt>
                <c:pt idx="1246">
                  <c:v>46231</c:v>
                </c:pt>
                <c:pt idx="1247">
                  <c:v>46232</c:v>
                </c:pt>
                <c:pt idx="1248">
                  <c:v>46233</c:v>
                </c:pt>
                <c:pt idx="1249">
                  <c:v>46234</c:v>
                </c:pt>
                <c:pt idx="1250">
                  <c:v>46237</c:v>
                </c:pt>
                <c:pt idx="1251">
                  <c:v>46238</c:v>
                </c:pt>
                <c:pt idx="1252">
                  <c:v>46239</c:v>
                </c:pt>
                <c:pt idx="1253">
                  <c:v>46240</c:v>
                </c:pt>
                <c:pt idx="1254">
                  <c:v>46241</c:v>
                </c:pt>
              </c:numCache>
            </c:numRef>
          </c:cat>
          <c:val>
            <c:numRef>
              <c:f>'SPY vs RSP'!$AB$3:$AB$1257</c:f>
              <c:numCache>
                <c:formatCode>_(* #,##0.00_);_(* \(#,##0.00\);_(* "-"??_);_(@_)</c:formatCode>
                <c:ptCount val="12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 formatCode="_(&quot;$&quot;* #,##0.00_);_(&quot;$&quot;* \(#,##0.00\);_(&quot;$&quot;* &quot;-&quot;??_);_(@_)">
                  <c:v>0</c:v>
                </c:pt>
                <c:pt idx="200" formatCode="_(&quot;$&quot;* #,##0.00_);_(&quot;$&quot;* \(#,##0.00\);_(&quot;$&quot;* &quot;-&quot;??_);_(@_)">
                  <c:v>-488.84304125791073</c:v>
                </c:pt>
                <c:pt idx="201" formatCode="_(&quot;$&quot;* #,##0.00_);_(&quot;$&quot;* \(#,##0.00\);_(&quot;$&quot;* &quot;-&quot;??_);_(@_)">
                  <c:v>188.82656240135418</c:v>
                </c:pt>
                <c:pt idx="202" formatCode="_(&quot;$&quot;* #,##0.00_);_(&quot;$&quot;* \(#,##0.00\);_(&quot;$&quot;* &quot;-&quot;??_);_(@_)">
                  <c:v>-93.828099176129967</c:v>
                </c:pt>
                <c:pt idx="203" formatCode="_(&quot;$&quot;* #,##0.00_);_(&quot;$&quot;* \(#,##0.00\);_(&quot;$&quot;* &quot;-&quot;??_);_(@_)">
                  <c:v>-123.46758783849589</c:v>
                </c:pt>
                <c:pt idx="204" formatCode="_(&quot;$&quot;* #,##0.00_);_(&quot;$&quot;* \(#,##0.00\);_(&quot;$&quot;* &quot;-&quot;??_);_(@_)">
                  <c:v>195.10451925379732</c:v>
                </c:pt>
                <c:pt idx="205" formatCode="_(&quot;$&quot;* #,##0.00_);_(&quot;$&quot;* \(#,##0.00\);_(&quot;$&quot;* &quot;-&quot;??_);_(@_)">
                  <c:v>-119.26037544427737</c:v>
                </c:pt>
                <c:pt idx="206" formatCode="_(&quot;$&quot;* #,##0.00_);_(&quot;$&quot;* \(#,##0.00\);_(&quot;$&quot;* &quot;-&quot;??_);_(@_)">
                  <c:v>-182.75247945899315</c:v>
                </c:pt>
                <c:pt idx="207" formatCode="_(&quot;$&quot;* #,##0.00_);_(&quot;$&quot;* \(#,##0.00\);_(&quot;$&quot;* &quot;-&quot;??_);_(@_)">
                  <c:v>-100.38870315434741</c:v>
                </c:pt>
                <c:pt idx="208" formatCode="_(&quot;$&quot;* #,##0.00_);_(&quot;$&quot;* \(#,##0.00\);_(&quot;$&quot;* &quot;-&quot;??_);_(@_)">
                  <c:v>-260.0643742947326</c:v>
                </c:pt>
                <c:pt idx="209" formatCode="_(&quot;$&quot;* #,##0.00_);_(&quot;$&quot;* \(#,##0.00\);_(&quot;$&quot;* &quot;-&quot;??_);_(@_)">
                  <c:v>3.0087148605599623</c:v>
                </c:pt>
                <c:pt idx="210" formatCode="_(&quot;$&quot;* #,##0.00_);_(&quot;$&quot;* \(#,##0.00\);_(&quot;$&quot;* &quot;-&quot;??_);_(@_)">
                  <c:v>-65.858750136729157</c:v>
                </c:pt>
                <c:pt idx="211" formatCode="_(&quot;$&quot;* #,##0.00_);_(&quot;$&quot;* \(#,##0.00\);_(&quot;$&quot;* &quot;-&quot;??_);_(@_)">
                  <c:v>-153.63823185672385</c:v>
                </c:pt>
                <c:pt idx="212" formatCode="_(&quot;$&quot;* #,##0.00_);_(&quot;$&quot;* \(#,##0.00\);_(&quot;$&quot;* &quot;-&quot;??_);_(@_)">
                  <c:v>-493.96375808377019</c:v>
                </c:pt>
                <c:pt idx="213" formatCode="_(&quot;$&quot;* #,##0.00_);_(&quot;$&quot;* \(#,##0.00\);_(&quot;$&quot;* &quot;-&quot;??_);_(@_)">
                  <c:v>-177.93214676323754</c:v>
                </c:pt>
                <c:pt idx="214" formatCode="_(&quot;$&quot;* #,##0.00_);_(&quot;$&quot;* \(#,##0.00\);_(&quot;$&quot;* &quot;-&quot;??_);_(@_)">
                  <c:v>-262.5335850420139</c:v>
                </c:pt>
                <c:pt idx="215" formatCode="_(&quot;$&quot;* #,##0.00_);_(&quot;$&quot;* \(#,##0.00\);_(&quot;$&quot;* &quot;-&quot;??_);_(@_)">
                  <c:v>-691.97418766937119</c:v>
                </c:pt>
                <c:pt idx="216" formatCode="_(&quot;$&quot;* #,##0.00_);_(&quot;$&quot;* \(#,##0.00\);_(&quot;$&quot;* &quot;-&quot;??_);_(@_)">
                  <c:v>-556.3904054317187</c:v>
                </c:pt>
                <c:pt idx="217" formatCode="_(&quot;$&quot;* #,##0.00_);_(&quot;$&quot;* \(#,##0.00\);_(&quot;$&quot;* &quot;-&quot;??_);_(@_)">
                  <c:v>-503.6269730712321</c:v>
                </c:pt>
                <c:pt idx="218" formatCode="_(&quot;$&quot;* #,##0.00_);_(&quot;$&quot;* \(#,##0.00\);_(&quot;$&quot;* &quot;-&quot;??_);_(@_)">
                  <c:v>-979.62031796451231</c:v>
                </c:pt>
                <c:pt idx="219" formatCode="_(&quot;$&quot;* #,##0.00_);_(&quot;$&quot;* \(#,##0.00\);_(&quot;$&quot;* &quot;-&quot;??_);_(@_)">
                  <c:v>-558.04892305175497</c:v>
                </c:pt>
                <c:pt idx="220" formatCode="_(&quot;$&quot;* #,##0.00_);_(&quot;$&quot;* \(#,##0.00\);_(&quot;$&quot;* &quot;-&quot;??_);_(@_)">
                  <c:v>-411.6953426829632</c:v>
                </c:pt>
                <c:pt idx="221" formatCode="_(&quot;$&quot;* #,##0.00_);_(&quot;$&quot;* \(#,##0.00\);_(&quot;$&quot;* &quot;-&quot;??_);_(@_)">
                  <c:v>-624.14355544134742</c:v>
                </c:pt>
                <c:pt idx="222" formatCode="_(&quot;$&quot;* #,##0.00_);_(&quot;$&quot;* \(#,##0.00\);_(&quot;$&quot;* &quot;-&quot;??_);_(@_)">
                  <c:v>-167.84295766979801</c:v>
                </c:pt>
                <c:pt idx="223" formatCode="_(&quot;$&quot;* #,##0.00_);_(&quot;$&quot;* \(#,##0.00\);_(&quot;$&quot;* &quot;-&quot;??_);_(@_)">
                  <c:v>-205.84398618561511</c:v>
                </c:pt>
                <c:pt idx="224" formatCode="_(&quot;$&quot;* #,##0.00_);_(&quot;$&quot;* \(#,##0.00\);_(&quot;$&quot;* &quot;-&quot;??_);_(@_)">
                  <c:v>-192.45107990047484</c:v>
                </c:pt>
                <c:pt idx="225" formatCode="_(&quot;$&quot;* #,##0.00_);_(&quot;$&quot;* \(#,##0.00\);_(&quot;$&quot;* &quot;-&quot;??_);_(@_)">
                  <c:v>-79.356335410084853</c:v>
                </c:pt>
                <c:pt idx="226" formatCode="_(&quot;$&quot;* #,##0.00_);_(&quot;$&quot;* \(#,##0.00\);_(&quot;$&quot;* &quot;-&quot;??_);_(@_)">
                  <c:v>17.385838389236596</c:v>
                </c:pt>
                <c:pt idx="227" formatCode="_(&quot;$&quot;* #,##0.00_);_(&quot;$&quot;* \(#,##0.00\);_(&quot;$&quot;* &quot;-&quot;??_);_(@_)">
                  <c:v>-114.06027123604576</c:v>
                </c:pt>
                <c:pt idx="228" formatCode="_(&quot;$&quot;* #,##0.00_);_(&quot;$&quot;* \(#,##0.00\);_(&quot;$&quot;* &quot;-&quot;??_);_(@_)">
                  <c:v>-439.44482647528031</c:v>
                </c:pt>
                <c:pt idx="229" formatCode="_(&quot;$&quot;* #,##0.00_);_(&quot;$&quot;* \(#,##0.00\);_(&quot;$&quot;* &quot;-&quot;??_);_(@_)">
                  <c:v>-391.79686245919316</c:v>
                </c:pt>
                <c:pt idx="230" formatCode="_(&quot;$&quot;* #,##0.00_);_(&quot;$&quot;* \(#,##0.00\);_(&quot;$&quot;* &quot;-&quot;??_);_(@_)">
                  <c:v>-205.99698287012873</c:v>
                </c:pt>
                <c:pt idx="231" formatCode="_(&quot;$&quot;* #,##0.00_);_(&quot;$&quot;* \(#,##0.00\);_(&quot;$&quot;* &quot;-&quot;??_);_(@_)">
                  <c:v>-310.04799181751616</c:v>
                </c:pt>
                <c:pt idx="232" formatCode="_(&quot;$&quot;* #,##0.00_);_(&quot;$&quot;* \(#,##0.00\);_(&quot;$&quot;* &quot;-&quot;??_);_(@_)">
                  <c:v>-367.00182695816289</c:v>
                </c:pt>
                <c:pt idx="233" formatCode="_(&quot;$&quot;* #,##0.00_);_(&quot;$&quot;* \(#,##0.00\);_(&quot;$&quot;* &quot;-&quot;??_);_(@_)">
                  <c:v>-379.28360254673566</c:v>
                </c:pt>
                <c:pt idx="234" formatCode="_(&quot;$&quot;* #,##0.00_);_(&quot;$&quot;* \(#,##0.00\);_(&quot;$&quot;* &quot;-&quot;??_);_(@_)">
                  <c:v>-172.88560615692427</c:v>
                </c:pt>
                <c:pt idx="235" formatCode="_(&quot;$&quot;* #,##0.00_);_(&quot;$&quot;* \(#,##0.00\);_(&quot;$&quot;* &quot;-&quot;??_);_(@_)">
                  <c:v>-288.6603973642691</c:v>
                </c:pt>
                <c:pt idx="236" formatCode="_(&quot;$&quot;* #,##0.00_);_(&quot;$&quot;* \(#,##0.00\);_(&quot;$&quot;* &quot;-&quot;??_);_(@_)">
                  <c:v>-341.39182949320542</c:v>
                </c:pt>
                <c:pt idx="237" formatCode="_(&quot;$&quot;* #,##0.00_);_(&quot;$&quot;* \(#,##0.00\);_(&quot;$&quot;* &quot;-&quot;??_);_(@_)">
                  <c:v>-94.98420361477514</c:v>
                </c:pt>
                <c:pt idx="238" formatCode="_(&quot;$&quot;* #,##0.00_);_(&quot;$&quot;* \(#,##0.00\);_(&quot;$&quot;* &quot;-&quot;??_);_(@_)">
                  <c:v>-129.85024108560623</c:v>
                </c:pt>
                <c:pt idx="239" formatCode="_(&quot;$&quot;* #,##0.00_);_(&quot;$&quot;* \(#,##0.00\);_(&quot;$&quot;* &quot;-&quot;??_);_(@_)">
                  <c:v>214.52522599794008</c:v>
                </c:pt>
                <c:pt idx="240" formatCode="_(&quot;$&quot;* #,##0.00_);_(&quot;$&quot;* \(#,##0.00\);_(&quot;$&quot;* &quot;-&quot;??_);_(@_)">
                  <c:v>41.08521233056581</c:v>
                </c:pt>
                <c:pt idx="241" formatCode="_(&quot;$&quot;* #,##0.00_);_(&quot;$&quot;* \(#,##0.00\);_(&quot;$&quot;* &quot;-&quot;??_);_(@_)">
                  <c:v>185.48515485680625</c:v>
                </c:pt>
                <c:pt idx="242" formatCode="_(&quot;$&quot;* #,##0.00_);_(&quot;$&quot;* \(#,##0.00\);_(&quot;$&quot;* &quot;-&quot;??_);_(@_)">
                  <c:v>223.34536199763895</c:v>
                </c:pt>
                <c:pt idx="243" formatCode="_(&quot;$&quot;* #,##0.00_);_(&quot;$&quot;* \(#,##0.00\);_(&quot;$&quot;* &quot;-&quot;??_);_(@_)">
                  <c:v>157.18724355730112</c:v>
                </c:pt>
                <c:pt idx="244" formatCode="_(&quot;$&quot;* #,##0.00_);_(&quot;$&quot;* \(#,##0.00\);_(&quot;$&quot;* &quot;-&quot;??_);_(@_)">
                  <c:v>738.96363283511596</c:v>
                </c:pt>
                <c:pt idx="245" formatCode="_(&quot;$&quot;* #,##0.00_);_(&quot;$&quot;* \(#,##0.00\);_(&quot;$&quot;* &quot;-&quot;??_);_(@_)">
                  <c:v>647.76676324591574</c:v>
                </c:pt>
                <c:pt idx="246" formatCode="_(&quot;$&quot;* #,##0.00_);_(&quot;$&quot;* \(#,##0.00\);_(&quot;$&quot;* &quot;-&quot;??_);_(@_)">
                  <c:v>423.40408802917386</c:v>
                </c:pt>
                <c:pt idx="247" formatCode="_(&quot;$&quot;* #,##0.00_);_(&quot;$&quot;* \(#,##0.00\);_(&quot;$&quot;* &quot;-&quot;??_);_(@_)">
                  <c:v>131.71580132412532</c:v>
                </c:pt>
                <c:pt idx="248" formatCode="_(&quot;$&quot;* #,##0.00_);_(&quot;$&quot;* \(#,##0.00\);_(&quot;$&quot;* &quot;-&quot;??_);_(@_)">
                  <c:v>120.96035834487452</c:v>
                </c:pt>
                <c:pt idx="249" formatCode="_(&quot;$&quot;* #,##0.00_);_(&quot;$&quot;* \(#,##0.00\);_(&quot;$&quot;* &quot;-&quot;??_);_(@_)">
                  <c:v>95.900025378101475</c:v>
                </c:pt>
                <c:pt idx="250" formatCode="_(&quot;$&quot;* #,##0.00_);_(&quot;$&quot;* \(#,##0.00\);_(&quot;$&quot;* &quot;-&quot;??_);_(@_)">
                  <c:v>166.33206274213919</c:v>
                </c:pt>
                <c:pt idx="251" formatCode="_(&quot;$&quot;* #,##0.00_);_(&quot;$&quot;* \(#,##0.00\);_(&quot;$&quot;* &quot;-&quot;??_);_(@_)">
                  <c:v>47.915931260383644</c:v>
                </c:pt>
                <c:pt idx="252" formatCode="_(&quot;$&quot;* #,##0.00_);_(&quot;$&quot;* \(#,##0.00\);_(&quot;$&quot;* &quot;-&quot;??_);_(@_)">
                  <c:v>-36.626714929079895</c:v>
                </c:pt>
                <c:pt idx="253" formatCode="_(&quot;$&quot;* #,##0.00_);_(&quot;$&quot;* \(#,##0.00\);_(&quot;$&quot;* &quot;-&quot;??_);_(@_)">
                  <c:v>-640.89784895033824</c:v>
                </c:pt>
                <c:pt idx="254" formatCode="_(&quot;$&quot;* #,##0.00_);_(&quot;$&quot;* \(#,##0.00\);_(&quot;$&quot;* &quot;-&quot;??_);_(@_)">
                  <c:v>-213.61259968654099</c:v>
                </c:pt>
                <c:pt idx="255" formatCode="_(&quot;$&quot;* #,##0.00_);_(&quot;$&quot;* \(#,##0.00\);_(&quot;$&quot;* &quot;-&quot;??_);_(@_)">
                  <c:v>-415.54626105383704</c:v>
                </c:pt>
                <c:pt idx="256" formatCode="_(&quot;$&quot;* #,##0.00_);_(&quot;$&quot;* \(#,##0.00\);_(&quot;$&quot;* &quot;-&quot;??_);_(@_)">
                  <c:v>-284.90261657813539</c:v>
                </c:pt>
                <c:pt idx="257" formatCode="_(&quot;$&quot;* #,##0.00_);_(&quot;$&quot;* \(#,##0.00\);_(&quot;$&quot;* &quot;-&quot;??_);_(@_)">
                  <c:v>-278.76315095597943</c:v>
                </c:pt>
                <c:pt idx="258" formatCode="_(&quot;$&quot;* #,##0.00_);_(&quot;$&quot;* \(#,##0.00\);_(&quot;$&quot;* &quot;-&quot;??_);_(@_)">
                  <c:v>-49.538914876793683</c:v>
                </c:pt>
                <c:pt idx="259" formatCode="_(&quot;$&quot;* #,##0.00_);_(&quot;$&quot;* \(#,##0.00\);_(&quot;$&quot;* &quot;-&quot;??_);_(@_)">
                  <c:v>25.105917360570061</c:v>
                </c:pt>
                <c:pt idx="260" formatCode="_(&quot;$&quot;* #,##0.00_);_(&quot;$&quot;* \(#,##0.00\);_(&quot;$&quot;* &quot;-&quot;??_);_(@_)">
                  <c:v>-291.5243708349733</c:v>
                </c:pt>
                <c:pt idx="261" formatCode="_(&quot;$&quot;* #,##0.00_);_(&quot;$&quot;* \(#,##0.00\);_(&quot;$&quot;* &quot;-&quot;??_);_(@_)">
                  <c:v>-397.87458889288791</c:v>
                </c:pt>
                <c:pt idx="262" formatCode="_(&quot;$&quot;* #,##0.00_);_(&quot;$&quot;* \(#,##0.00\);_(&quot;$&quot;* &quot;-&quot;??_);_(@_)">
                  <c:v>-560.73404668314333</c:v>
                </c:pt>
                <c:pt idx="263" formatCode="_(&quot;$&quot;* #,##0.00_);_(&quot;$&quot;* \(#,##0.00\);_(&quot;$&quot;* &quot;-&quot;??_);_(@_)">
                  <c:v>-430.80556465243353</c:v>
                </c:pt>
                <c:pt idx="264" formatCode="_(&quot;$&quot;* #,##0.00_);_(&quot;$&quot;* \(#,##0.00\);_(&quot;$&quot;* &quot;-&quot;??_);_(@_)">
                  <c:v>-277.84150407785546</c:v>
                </c:pt>
                <c:pt idx="265" formatCode="_(&quot;$&quot;* #,##0.00_);_(&quot;$&quot;* \(#,##0.00\);_(&quot;$&quot;* &quot;-&quot;??_);_(@_)">
                  <c:v>-481.43000809570913</c:v>
                </c:pt>
                <c:pt idx="266" formatCode="_(&quot;$&quot;* #,##0.00_);_(&quot;$&quot;* \(#,##0.00\);_(&quot;$&quot;* &quot;-&quot;??_);_(@_)">
                  <c:v>-273.05857233365845</c:v>
                </c:pt>
                <c:pt idx="267" formatCode="_(&quot;$&quot;* #,##0.00_);_(&quot;$&quot;* \(#,##0.00\);_(&quot;$&quot;* &quot;-&quot;??_);_(@_)">
                  <c:v>-364.54175087607075</c:v>
                </c:pt>
                <c:pt idx="268" formatCode="_(&quot;$&quot;* #,##0.00_);_(&quot;$&quot;* \(#,##0.00\);_(&quot;$&quot;* &quot;-&quot;??_);_(@_)">
                  <c:v>-369.89760807663879</c:v>
                </c:pt>
                <c:pt idx="269" formatCode="_(&quot;$&quot;* #,##0.00_);_(&quot;$&quot;* \(#,##0.00\);_(&quot;$&quot;* &quot;-&quot;??_);_(@_)">
                  <c:v>-600.23004623770646</c:v>
                </c:pt>
                <c:pt idx="270" formatCode="_(&quot;$&quot;* #,##0.00_);_(&quot;$&quot;* \(#,##0.00\);_(&quot;$&quot;* &quot;-&quot;??_);_(@_)">
                  <c:v>-583.73343675886895</c:v>
                </c:pt>
                <c:pt idx="271" formatCode="_(&quot;$&quot;* #,##0.00_);_(&quot;$&quot;* \(#,##0.00\);_(&quot;$&quot;* &quot;-&quot;??_);_(@_)">
                  <c:v>-559.86173082764947</c:v>
                </c:pt>
                <c:pt idx="272" formatCode="_(&quot;$&quot;* #,##0.00_);_(&quot;$&quot;* \(#,##0.00\);_(&quot;$&quot;* &quot;-&quot;??_);_(@_)">
                  <c:v>-453.06797410295587</c:v>
                </c:pt>
                <c:pt idx="273" formatCode="_(&quot;$&quot;* #,##0.00_);_(&quot;$&quot;* \(#,##0.00\);_(&quot;$&quot;* &quot;-&quot;??_);_(@_)">
                  <c:v>-356.87960035622473</c:v>
                </c:pt>
                <c:pt idx="274" formatCode="_(&quot;$&quot;* #,##0.00_);_(&quot;$&quot;* \(#,##0.00\);_(&quot;$&quot;* &quot;-&quot;??_);_(@_)">
                  <c:v>-689.36968763574305</c:v>
                </c:pt>
                <c:pt idx="275" formatCode="_(&quot;$&quot;* #,##0.00_);_(&quot;$&quot;* \(#,##0.00\);_(&quot;$&quot;* &quot;-&quot;??_);_(@_)">
                  <c:v>-415.10457889784192</c:v>
                </c:pt>
                <c:pt idx="276" formatCode="_(&quot;$&quot;* #,##0.00_);_(&quot;$&quot;* \(#,##0.00\);_(&quot;$&quot;* &quot;-&quot;??_);_(@_)">
                  <c:v>-310.82008398656279</c:v>
                </c:pt>
                <c:pt idx="277" formatCode="_(&quot;$&quot;* #,##0.00_);_(&quot;$&quot;* \(#,##0.00\);_(&quot;$&quot;* &quot;-&quot;??_);_(@_)">
                  <c:v>-528.48472327447121</c:v>
                </c:pt>
                <c:pt idx="278" formatCode="_(&quot;$&quot;* #,##0.00_);_(&quot;$&quot;* \(#,##0.00\);_(&quot;$&quot;* &quot;-&quot;??_);_(@_)">
                  <c:v>-392.25878902983453</c:v>
                </c:pt>
                <c:pt idx="279" formatCode="_(&quot;$&quot;* #,##0.00_);_(&quot;$&quot;* \(#,##0.00\);_(&quot;$&quot;* &quot;-&quot;??_);_(@_)">
                  <c:v>-275.18873840123587</c:v>
                </c:pt>
                <c:pt idx="280" formatCode="_(&quot;$&quot;* #,##0.00_);_(&quot;$&quot;* \(#,##0.00\);_(&quot;$&quot;* &quot;-&quot;??_);_(@_)">
                  <c:v>-261.39563495295295</c:v>
                </c:pt>
                <c:pt idx="281" formatCode="_(&quot;$&quot;* #,##0.00_);_(&quot;$&quot;* \(#,##0.00\);_(&quot;$&quot;* &quot;-&quot;??_);_(@_)">
                  <c:v>-77.489627185880295</c:v>
                </c:pt>
                <c:pt idx="282" formatCode="_(&quot;$&quot;* #,##0.00_);_(&quot;$&quot;* \(#,##0.00\);_(&quot;$&quot;* &quot;-&quot;??_);_(@_)">
                  <c:v>-322.39433730950179</c:v>
                </c:pt>
                <c:pt idx="283" formatCode="_(&quot;$&quot;* #,##0.00_);_(&quot;$&quot;* \(#,##0.00\);_(&quot;$&quot;* &quot;-&quot;??_);_(@_)">
                  <c:v>-207.52554747570423</c:v>
                </c:pt>
                <c:pt idx="284" formatCode="_(&quot;$&quot;* #,##0.00_);_(&quot;$&quot;* \(#,##0.00\);_(&quot;$&quot;* &quot;-&quot;??_);_(@_)">
                  <c:v>195.89571652544475</c:v>
                </c:pt>
                <c:pt idx="285" formatCode="_(&quot;$&quot;* #,##0.00_);_(&quot;$&quot;* \(#,##0.00\);_(&quot;$&quot;* &quot;-&quot;??_);_(@_)">
                  <c:v>415.61200809187403</c:v>
                </c:pt>
                <c:pt idx="286" formatCode="_(&quot;$&quot;* #,##0.00_);_(&quot;$&quot;* \(#,##0.00\);_(&quot;$&quot;* &quot;-&quot;??_);_(@_)">
                  <c:v>997.1882823633606</c:v>
                </c:pt>
                <c:pt idx="287" formatCode="_(&quot;$&quot;* #,##0.00_);_(&quot;$&quot;* \(#,##0.00\);_(&quot;$&quot;* &quot;-&quot;??_);_(@_)">
                  <c:v>792.62893524814592</c:v>
                </c:pt>
                <c:pt idx="288" formatCode="_(&quot;$&quot;* #,##0.00_);_(&quot;$&quot;* \(#,##0.00\);_(&quot;$&quot;* &quot;-&quot;??_);_(@_)">
                  <c:v>1254.9110021147262</c:v>
                </c:pt>
                <c:pt idx="289" formatCode="_(&quot;$&quot;* #,##0.00_);_(&quot;$&quot;* \(#,##0.00\);_(&quot;$&quot;* &quot;-&quot;??_);_(@_)">
                  <c:v>1136.3700119693208</c:v>
                </c:pt>
                <c:pt idx="290" formatCode="_(&quot;$&quot;* #,##0.00_);_(&quot;$&quot;* \(#,##0.00\);_(&quot;$&quot;* &quot;-&quot;??_);_(@_)">
                  <c:v>970.45884185533328</c:v>
                </c:pt>
                <c:pt idx="291" formatCode="_(&quot;$&quot;* #,##0.00_);_(&quot;$&quot;* \(#,##0.00\);_(&quot;$&quot;* &quot;-&quot;??_);_(@_)">
                  <c:v>815.75332187324489</c:v>
                </c:pt>
                <c:pt idx="292" formatCode="_(&quot;$&quot;* #,##0.00_);_(&quot;$&quot;* \(#,##0.00\);_(&quot;$&quot;* &quot;-&quot;??_);_(@_)">
                  <c:v>779.65158887913447</c:v>
                </c:pt>
                <c:pt idx="293" formatCode="_(&quot;$&quot;* #,##0.00_);_(&quot;$&quot;* \(#,##0.00\);_(&quot;$&quot;* &quot;-&quot;??_);_(@_)">
                  <c:v>963.32161782865694</c:v>
                </c:pt>
                <c:pt idx="294" formatCode="_(&quot;$&quot;* #,##0.00_);_(&quot;$&quot;* \(#,##0.00\);_(&quot;$&quot;* &quot;-&quot;??_);_(@_)">
                  <c:v>950.7784358226935</c:v>
                </c:pt>
                <c:pt idx="295" formatCode="_(&quot;$&quot;* #,##0.00_);_(&quot;$&quot;* \(#,##0.00\);_(&quot;$&quot;* &quot;-&quot;??_);_(@_)">
                  <c:v>1012.1659781128011</c:v>
                </c:pt>
                <c:pt idx="296" formatCode="_(&quot;$&quot;* #,##0.00_);_(&quot;$&quot;* \(#,##0.00\);_(&quot;$&quot;* &quot;-&quot;??_);_(@_)">
                  <c:v>1262.1989639948495</c:v>
                </c:pt>
                <c:pt idx="297" formatCode="_(&quot;$&quot;* #,##0.00_);_(&quot;$&quot;* \(#,##0.00\);_(&quot;$&quot;* &quot;-&quot;??_);_(@_)">
                  <c:v>1488.2283392719391</c:v>
                </c:pt>
                <c:pt idx="298" formatCode="_(&quot;$&quot;* #,##0.00_);_(&quot;$&quot;* \(#,##0.00\);_(&quot;$&quot;* &quot;-&quot;??_);_(@_)">
                  <c:v>1295.0124312486691</c:v>
                </c:pt>
                <c:pt idx="299" formatCode="_(&quot;$&quot;* #,##0.00_);_(&quot;$&quot;* \(#,##0.00\);_(&quot;$&quot;* &quot;-&quot;??_);_(@_)">
                  <c:v>1238.0178991786199</c:v>
                </c:pt>
                <c:pt idx="300" formatCode="_(&quot;$&quot;* #,##0.00_);_(&quot;$&quot;* \(#,##0.00\);_(&quot;$&quot;* &quot;-&quot;??_);_(@_)">
                  <c:v>1242.2302166815853</c:v>
                </c:pt>
                <c:pt idx="301" formatCode="_(&quot;$&quot;* #,##0.00_);_(&quot;$&quot;* \(#,##0.00\);_(&quot;$&quot;* &quot;-&quot;??_);_(@_)">
                  <c:v>832.43752113140147</c:v>
                </c:pt>
                <c:pt idx="302" formatCode="_(&quot;$&quot;* #,##0.00_);_(&quot;$&quot;* \(#,##0.00\);_(&quot;$&quot;* &quot;-&quot;??_);_(@_)">
                  <c:v>644.91673731472213</c:v>
                </c:pt>
                <c:pt idx="303" formatCode="_(&quot;$&quot;* #,##0.00_);_(&quot;$&quot;* \(#,##0.00\);_(&quot;$&quot;* &quot;-&quot;??_);_(@_)">
                  <c:v>891.16763866377039</c:v>
                </c:pt>
                <c:pt idx="304" formatCode="_(&quot;$&quot;* #,##0.00_);_(&quot;$&quot;* \(#,##0.00\);_(&quot;$&quot;* &quot;-&quot;??_);_(@_)">
                  <c:v>753.41363405400648</c:v>
                </c:pt>
                <c:pt idx="305" formatCode="_(&quot;$&quot;* #,##0.00_);_(&quot;$&quot;* \(#,##0.00\);_(&quot;$&quot;* &quot;-&quot;??_);_(@_)">
                  <c:v>724.62837210810801</c:v>
                </c:pt>
                <c:pt idx="306" formatCode="_(&quot;$&quot;* #,##0.00_);_(&quot;$&quot;* \(#,##0.00\);_(&quot;$&quot;* &quot;-&quot;??_);_(@_)">
                  <c:v>735.78042375978032</c:v>
                </c:pt>
                <c:pt idx="307" formatCode="_(&quot;$&quot;* #,##0.00_);_(&quot;$&quot;* \(#,##0.00\);_(&quot;$&quot;* &quot;-&quot;??_);_(@_)">
                  <c:v>836.43918509138177</c:v>
                </c:pt>
                <c:pt idx="308" formatCode="_(&quot;$&quot;* #,##0.00_);_(&quot;$&quot;* \(#,##0.00\);_(&quot;$&quot;* &quot;-&quot;??_);_(@_)">
                  <c:v>878.14644846006286</c:v>
                </c:pt>
                <c:pt idx="309" formatCode="_(&quot;$&quot;* #,##0.00_);_(&quot;$&quot;* \(#,##0.00\);_(&quot;$&quot;* &quot;-&quot;??_);_(@_)">
                  <c:v>702.28669667789234</c:v>
                </c:pt>
                <c:pt idx="310" formatCode="_(&quot;$&quot;* #,##0.00_);_(&quot;$&quot;* \(#,##0.00\);_(&quot;$&quot;* &quot;-&quot;??_);_(@_)">
                  <c:v>729.54061567206213</c:v>
                </c:pt>
                <c:pt idx="311" formatCode="_(&quot;$&quot;* #,##0.00_);_(&quot;$&quot;* \(#,##0.00\);_(&quot;$&quot;* &quot;-&quot;??_);_(@_)">
                  <c:v>1219.9745779735829</c:v>
                </c:pt>
                <c:pt idx="312" formatCode="_(&quot;$&quot;* #,##0.00_);_(&quot;$&quot;* \(#,##0.00\);_(&quot;$&quot;* &quot;-&quot;??_);_(@_)">
                  <c:v>1086.910649038073</c:v>
                </c:pt>
                <c:pt idx="313" formatCode="_(&quot;$&quot;* #,##0.00_);_(&quot;$&quot;* \(#,##0.00\);_(&quot;$&quot;* &quot;-&quot;??_);_(@_)">
                  <c:v>1204.6813783129451</c:v>
                </c:pt>
                <c:pt idx="314" formatCode="_(&quot;$&quot;* #,##0.00_);_(&quot;$&quot;* \(#,##0.00\);_(&quot;$&quot;* &quot;-&quot;??_);_(@_)">
                  <c:v>1346.3202738000277</c:v>
                </c:pt>
                <c:pt idx="315" formatCode="_(&quot;$&quot;* #,##0.00_);_(&quot;$&quot;* \(#,##0.00\);_(&quot;$&quot;* &quot;-&quot;??_);_(@_)">
                  <c:v>1317.5930934514802</c:v>
                </c:pt>
                <c:pt idx="316" formatCode="_(&quot;$&quot;* #,##0.00_);_(&quot;$&quot;* \(#,##0.00\);_(&quot;$&quot;* &quot;-&quot;??_);_(@_)">
                  <c:v>1604.5367743774866</c:v>
                </c:pt>
                <c:pt idx="317" formatCode="_(&quot;$&quot;* #,##0.00_);_(&quot;$&quot;* \(#,##0.00\);_(&quot;$&quot;* &quot;-&quot;??_);_(@_)">
                  <c:v>1933.0150050950051</c:v>
                </c:pt>
                <c:pt idx="318" formatCode="_(&quot;$&quot;* #,##0.00_);_(&quot;$&quot;* \(#,##0.00\);_(&quot;$&quot;* &quot;-&quot;??_);_(@_)">
                  <c:v>1732.1163046762554</c:v>
                </c:pt>
                <c:pt idx="319" formatCode="_(&quot;$&quot;* #,##0.00_);_(&quot;$&quot;* \(#,##0.00\);_(&quot;$&quot;* &quot;-&quot;??_);_(@_)">
                  <c:v>2060.0737174235815</c:v>
                </c:pt>
                <c:pt idx="320" formatCode="_(&quot;$&quot;* #,##0.00_);_(&quot;$&quot;* \(#,##0.00\);_(&quot;$&quot;* &quot;-&quot;??_);_(@_)">
                  <c:v>1826.6006378989778</c:v>
                </c:pt>
                <c:pt idx="321" formatCode="_(&quot;$&quot;* #,##0.00_);_(&quot;$&quot;* \(#,##0.00\);_(&quot;$&quot;* &quot;-&quot;??_);_(@_)">
                  <c:v>1781.5056650363913</c:v>
                </c:pt>
                <c:pt idx="322" formatCode="_(&quot;$&quot;* #,##0.00_);_(&quot;$&quot;* \(#,##0.00\);_(&quot;$&quot;* &quot;-&quot;??_);_(@_)">
                  <c:v>2005.4750777492363</c:v>
                </c:pt>
                <c:pt idx="323" formatCode="_(&quot;$&quot;* #,##0.00_);_(&quot;$&quot;* \(#,##0.00\);_(&quot;$&quot;* &quot;-&quot;??_);_(@_)">
                  <c:v>1845.6009345394466</c:v>
                </c:pt>
                <c:pt idx="324" formatCode="_(&quot;$&quot;* #,##0.00_);_(&quot;$&quot;* \(#,##0.00\);_(&quot;$&quot;* &quot;-&quot;??_);_(@_)">
                  <c:v>1907.5020223225283</c:v>
                </c:pt>
                <c:pt idx="325" formatCode="_(&quot;$&quot;* #,##0.00_);_(&quot;$&quot;* \(#,##0.00\);_(&quot;$&quot;* &quot;-&quot;??_);_(@_)">
                  <c:v>2230.4752247359775</c:v>
                </c:pt>
                <c:pt idx="326" formatCode="_(&quot;$&quot;* #,##0.00_);_(&quot;$&quot;* \(#,##0.00\);_(&quot;$&quot;* &quot;-&quot;??_);_(@_)">
                  <c:v>2088.18009818056</c:v>
                </c:pt>
                <c:pt idx="327" formatCode="_(&quot;$&quot;* #,##0.00_);_(&quot;$&quot;* \(#,##0.00\);_(&quot;$&quot;* &quot;-&quot;??_);_(@_)">
                  <c:v>1927.8918033096249</c:v>
                </c:pt>
                <c:pt idx="328" formatCode="_(&quot;$&quot;* #,##0.00_);_(&quot;$&quot;* \(#,##0.00\);_(&quot;$&quot;* &quot;-&quot;??_);_(@_)">
                  <c:v>2026.1512081383632</c:v>
                </c:pt>
                <c:pt idx="329" formatCode="_(&quot;$&quot;* #,##0.00_);_(&quot;$&quot;* \(#,##0.00\);_(&quot;$&quot;* &quot;-&quot;??_);_(@_)">
                  <c:v>1907.3725890538769</c:v>
                </c:pt>
                <c:pt idx="330" formatCode="_(&quot;$&quot;* #,##0.00_);_(&quot;$&quot;* \(#,##0.00\);_(&quot;$&quot;* &quot;-&quot;??_);_(@_)">
                  <c:v>1980.1923014278536</c:v>
                </c:pt>
                <c:pt idx="331" formatCode="_(&quot;$&quot;* #,##0.00_);_(&quot;$&quot;* \(#,##0.00\);_(&quot;$&quot;* &quot;-&quot;??_);_(@_)">
                  <c:v>1890.4263121942743</c:v>
                </c:pt>
                <c:pt idx="332" formatCode="_(&quot;$&quot;* #,##0.00_);_(&quot;$&quot;* \(#,##0.00\);_(&quot;$&quot;* &quot;-&quot;??_);_(@_)">
                  <c:v>2013.532426677986</c:v>
                </c:pt>
                <c:pt idx="333" formatCode="_(&quot;$&quot;* #,##0.00_);_(&quot;$&quot;* \(#,##0.00\);_(&quot;$&quot;* &quot;-&quot;??_);_(@_)">
                  <c:v>1970.8507798379055</c:v>
                </c:pt>
                <c:pt idx="334" formatCode="_(&quot;$&quot;* #,##0.00_);_(&quot;$&quot;* \(#,##0.00\);_(&quot;$&quot;* &quot;-&quot;??_);_(@_)">
                  <c:v>2053.1318954199578</c:v>
                </c:pt>
                <c:pt idx="335" formatCode="_(&quot;$&quot;* #,##0.00_);_(&quot;$&quot;* \(#,##0.00\);_(&quot;$&quot;* &quot;-&quot;??_);_(@_)">
                  <c:v>1825.0168057869705</c:v>
                </c:pt>
                <c:pt idx="336" formatCode="_(&quot;$&quot;* #,##0.00_);_(&quot;$&quot;* \(#,##0.00\);_(&quot;$&quot;* &quot;-&quot;??_);_(@_)">
                  <c:v>1680.5821385817621</c:v>
                </c:pt>
                <c:pt idx="337" formatCode="_(&quot;$&quot;* #,##0.00_);_(&quot;$&quot;* \(#,##0.00\);_(&quot;$&quot;* &quot;-&quot;??_);_(@_)">
                  <c:v>1945.1182189812612</c:v>
                </c:pt>
                <c:pt idx="338" formatCode="_(&quot;$&quot;* #,##0.00_);_(&quot;$&quot;* \(#,##0.00\);_(&quot;$&quot;* &quot;-&quot;??_);_(@_)">
                  <c:v>1883.8661203444667</c:v>
                </c:pt>
                <c:pt idx="339" formatCode="_(&quot;$&quot;* #,##0.00_);_(&quot;$&quot;* \(#,##0.00\);_(&quot;$&quot;* &quot;-&quot;??_);_(@_)">
                  <c:v>1901.0739818421016</c:v>
                </c:pt>
                <c:pt idx="340" formatCode="_(&quot;$&quot;* #,##0.00_);_(&quot;$&quot;* \(#,##0.00\);_(&quot;$&quot;* &quot;-&quot;??_);_(@_)">
                  <c:v>2265.174140078745</c:v>
                </c:pt>
                <c:pt idx="341" formatCode="_(&quot;$&quot;* #,##0.00_);_(&quot;$&quot;* \(#,##0.00\);_(&quot;$&quot;* &quot;-&quot;??_);_(@_)">
                  <c:v>2466.9804458541444</c:v>
                </c:pt>
                <c:pt idx="342" formatCode="_(&quot;$&quot;* #,##0.00_);_(&quot;$&quot;* \(#,##0.00\);_(&quot;$&quot;* &quot;-&quot;??_);_(@_)">
                  <c:v>2544.4751527468975</c:v>
                </c:pt>
                <c:pt idx="343" formatCode="_(&quot;$&quot;* #,##0.00_);_(&quot;$&quot;* \(#,##0.00\);_(&quot;$&quot;* &quot;-&quot;??_);_(@_)">
                  <c:v>2583.661441359643</c:v>
                </c:pt>
                <c:pt idx="344" formatCode="_(&quot;$&quot;* #,##0.00_);_(&quot;$&quot;* \(#,##0.00\);_(&quot;$&quot;* &quot;-&quot;??_);_(@_)">
                  <c:v>3105.4889501457055</c:v>
                </c:pt>
                <c:pt idx="345" formatCode="_(&quot;$&quot;* #,##0.00_);_(&quot;$&quot;* \(#,##0.00\);_(&quot;$&quot;* &quot;-&quot;??_);_(@_)">
                  <c:v>2851.5801801263224</c:v>
                </c:pt>
                <c:pt idx="346" formatCode="_(&quot;$&quot;* #,##0.00_);_(&quot;$&quot;* \(#,##0.00\);_(&quot;$&quot;* &quot;-&quot;??_);_(@_)">
                  <c:v>2867.7153896358213</c:v>
                </c:pt>
                <c:pt idx="347" formatCode="_(&quot;$&quot;* #,##0.00_);_(&quot;$&quot;* \(#,##0.00\);_(&quot;$&quot;* &quot;-&quot;??_);_(@_)">
                  <c:v>2817.003138923581</c:v>
                </c:pt>
                <c:pt idx="348" formatCode="_(&quot;$&quot;* #,##0.00_);_(&quot;$&quot;* \(#,##0.00\);_(&quot;$&quot;* &quot;-&quot;??_);_(@_)">
                  <c:v>3022.4234350710112</c:v>
                </c:pt>
                <c:pt idx="349" formatCode="_(&quot;$&quot;* #,##0.00_);_(&quot;$&quot;* \(#,##0.00\);_(&quot;$&quot;* &quot;-&quot;??_);_(@_)">
                  <c:v>3335.3598510914658</c:v>
                </c:pt>
                <c:pt idx="350" formatCode="_(&quot;$&quot;* #,##0.00_);_(&quot;$&quot;* \(#,##0.00\);_(&quot;$&quot;* &quot;-&quot;??_);_(@_)">
                  <c:v>3326.050023596757</c:v>
                </c:pt>
                <c:pt idx="351" formatCode="_(&quot;$&quot;* #,##0.00_);_(&quot;$&quot;* \(#,##0.00\);_(&quot;$&quot;* &quot;-&quot;??_);_(@_)">
                  <c:v>3604.2799934147711</c:v>
                </c:pt>
                <c:pt idx="352" formatCode="_(&quot;$&quot;* #,##0.00_);_(&quot;$&quot;* \(#,##0.00\);_(&quot;$&quot;* &quot;-&quot;??_);_(@_)">
                  <c:v>3807.3019818419884</c:v>
                </c:pt>
                <c:pt idx="353" formatCode="_(&quot;$&quot;* #,##0.00_);_(&quot;$&quot;* \(#,##0.00\);_(&quot;$&quot;* &quot;-&quot;??_);_(@_)">
                  <c:v>3948.8573498333672</c:v>
                </c:pt>
                <c:pt idx="354" formatCode="_(&quot;$&quot;* #,##0.00_);_(&quot;$&quot;* \(#,##0.00\);_(&quot;$&quot;* &quot;-&quot;??_);_(@_)">
                  <c:v>3777.89380018564</c:v>
                </c:pt>
                <c:pt idx="355" formatCode="_(&quot;$&quot;* #,##0.00_);_(&quot;$&quot;* \(#,##0.00\);_(&quot;$&quot;* &quot;-&quot;??_);_(@_)">
                  <c:v>4099.9487519166314</c:v>
                </c:pt>
                <c:pt idx="356" formatCode="_(&quot;$&quot;* #,##0.00_);_(&quot;$&quot;* \(#,##0.00\);_(&quot;$&quot;* &quot;-&quot;??_);_(@_)">
                  <c:v>3805.6450330150246</c:v>
                </c:pt>
                <c:pt idx="357" formatCode="_(&quot;$&quot;* #,##0.00_);_(&quot;$&quot;* \(#,##0.00\);_(&quot;$&quot;* &quot;-&quot;??_);_(@_)">
                  <c:v>4015.5008330945675</c:v>
                </c:pt>
                <c:pt idx="358" formatCode="_(&quot;$&quot;* #,##0.00_);_(&quot;$&quot;* \(#,##0.00\);_(&quot;$&quot;* &quot;-&quot;??_);_(@_)">
                  <c:v>4223.8759118772505</c:v>
                </c:pt>
                <c:pt idx="359" formatCode="_(&quot;$&quot;* #,##0.00_);_(&quot;$&quot;* \(#,##0.00\);_(&quot;$&quot;* &quot;-&quot;??_);_(@_)">
                  <c:v>5160.7602629037801</c:v>
                </c:pt>
                <c:pt idx="360" formatCode="_(&quot;$&quot;* #,##0.00_);_(&quot;$&quot;* \(#,##0.00\);_(&quot;$&quot;* &quot;-&quot;??_);_(@_)">
                  <c:v>4719.9710803047201</c:v>
                </c:pt>
                <c:pt idx="361" formatCode="_(&quot;$&quot;* #,##0.00_);_(&quot;$&quot;* \(#,##0.00\);_(&quot;$&quot;* &quot;-&quot;??_);_(@_)">
                  <c:v>4376.4014663045618</c:v>
                </c:pt>
                <c:pt idx="362" formatCode="_(&quot;$&quot;* #,##0.00_);_(&quot;$&quot;* \(#,##0.00\);_(&quot;$&quot;* &quot;-&quot;??_);_(@_)">
                  <c:v>4314.2987276179156</c:v>
                </c:pt>
                <c:pt idx="363" formatCode="_(&quot;$&quot;* #,##0.00_);_(&quot;$&quot;* \(#,##0.00\);_(&quot;$&quot;* &quot;-&quot;??_);_(@_)">
                  <c:v>4515.4414308632413</c:v>
                </c:pt>
                <c:pt idx="364" formatCode="_(&quot;$&quot;* #,##0.00_);_(&quot;$&quot;* \(#,##0.00\);_(&quot;$&quot;* &quot;-&quot;??_);_(@_)">
                  <c:v>4266.9887942161704</c:v>
                </c:pt>
                <c:pt idx="365" formatCode="_(&quot;$&quot;* #,##0.00_);_(&quot;$&quot;* \(#,##0.00\);_(&quot;$&quot;* &quot;-&quot;??_);_(@_)">
                  <c:v>4009.9835071976113</c:v>
                </c:pt>
                <c:pt idx="366" formatCode="_(&quot;$&quot;* #,##0.00_);_(&quot;$&quot;* \(#,##0.00\);_(&quot;$&quot;* &quot;-&quot;??_);_(@_)">
                  <c:v>4209.4532473021827</c:v>
                </c:pt>
                <c:pt idx="367" formatCode="_(&quot;$&quot;* #,##0.00_);_(&quot;$&quot;* \(#,##0.00\);_(&quot;$&quot;* &quot;-&quot;??_);_(@_)">
                  <c:v>4093.6459301925656</c:v>
                </c:pt>
                <c:pt idx="368" formatCode="_(&quot;$&quot;* #,##0.00_);_(&quot;$&quot;* \(#,##0.00\);_(&quot;$&quot;* &quot;-&quot;??_);_(@_)">
                  <c:v>4012.6368083108409</c:v>
                </c:pt>
                <c:pt idx="369" formatCode="_(&quot;$&quot;* #,##0.00_);_(&quot;$&quot;* \(#,##0.00\);_(&quot;$&quot;* &quot;-&quot;??_);_(@_)">
                  <c:v>3937.6874128296972</c:v>
                </c:pt>
                <c:pt idx="370" formatCode="_(&quot;$&quot;* #,##0.00_);_(&quot;$&quot;* \(#,##0.00\);_(&quot;$&quot;* &quot;-&quot;??_);_(@_)">
                  <c:v>4023.238783807305</c:v>
                </c:pt>
                <c:pt idx="371" formatCode="_(&quot;$&quot;* #,##0.00_);_(&quot;$&quot;* \(#,##0.00\);_(&quot;$&quot;* &quot;-&quot;??_);_(@_)">
                  <c:v>4237.4611427158216</c:v>
                </c:pt>
                <c:pt idx="372" formatCode="_(&quot;$&quot;* #,##0.00_);_(&quot;$&quot;* \(#,##0.00\);_(&quot;$&quot;* &quot;-&quot;??_);_(@_)">
                  <c:v>4387.7166267922239</c:v>
                </c:pt>
                <c:pt idx="373" formatCode="_(&quot;$&quot;* #,##0.00_);_(&quot;$&quot;* \(#,##0.00\);_(&quot;$&quot;* &quot;-&quot;??_);_(@_)">
                  <c:v>4283.1292769329102</c:v>
                </c:pt>
                <c:pt idx="374" formatCode="_(&quot;$&quot;* #,##0.00_);_(&quot;$&quot;* \(#,##0.00\);_(&quot;$&quot;* &quot;-&quot;??_);_(@_)">
                  <c:v>4338.202375642466</c:v>
                </c:pt>
                <c:pt idx="375" formatCode="_(&quot;$&quot;* #,##0.00_);_(&quot;$&quot;* \(#,##0.00\);_(&quot;$&quot;* &quot;-&quot;??_);_(@_)">
                  <c:v>4186.4835678289392</c:v>
                </c:pt>
                <c:pt idx="376" formatCode="_(&quot;$&quot;* #,##0.00_);_(&quot;$&quot;* \(#,##0.00\);_(&quot;$&quot;* &quot;-&quot;??_);_(@_)">
                  <c:v>4685.1785783477007</c:v>
                </c:pt>
                <c:pt idx="377" formatCode="_(&quot;$&quot;* #,##0.00_);_(&quot;$&quot;* \(#,##0.00\);_(&quot;$&quot;* &quot;-&quot;??_);_(@_)">
                  <c:v>4846.4915177558742</c:v>
                </c:pt>
                <c:pt idx="378" formatCode="_(&quot;$&quot;* #,##0.00_);_(&quot;$&quot;* \(#,##0.00\);_(&quot;$&quot;* &quot;-&quot;??_);_(@_)">
                  <c:v>4570.694580337019</c:v>
                </c:pt>
                <c:pt idx="379" formatCode="_(&quot;$&quot;* #,##0.00_);_(&quot;$&quot;* \(#,##0.00\);_(&quot;$&quot;* &quot;-&quot;??_);_(@_)">
                  <c:v>4629.5384181081345</c:v>
                </c:pt>
                <c:pt idx="380" formatCode="_(&quot;$&quot;* #,##0.00_);_(&quot;$&quot;* \(#,##0.00\);_(&quot;$&quot;* &quot;-&quot;??_);_(@_)">
                  <c:v>4641.8764285401267</c:v>
                </c:pt>
                <c:pt idx="381" formatCode="_(&quot;$&quot;* #,##0.00_);_(&quot;$&quot;* \(#,##0.00\);_(&quot;$&quot;* &quot;-&quot;??_);_(@_)">
                  <c:v>4319.4078777445966</c:v>
                </c:pt>
                <c:pt idx="382" formatCode="_(&quot;$&quot;* #,##0.00_);_(&quot;$&quot;* \(#,##0.00\);_(&quot;$&quot;* &quot;-&quot;??_);_(@_)">
                  <c:v>4241.3658588107719</c:v>
                </c:pt>
                <c:pt idx="383" formatCode="_(&quot;$&quot;* #,##0.00_);_(&quot;$&quot;* \(#,##0.00\);_(&quot;$&quot;* &quot;-&quot;??_);_(@_)">
                  <c:v>4477.3563287183952</c:v>
                </c:pt>
                <c:pt idx="384" formatCode="_(&quot;$&quot;* #,##0.00_);_(&quot;$&quot;* \(#,##0.00\);_(&quot;$&quot;* &quot;-&quot;??_);_(@_)">
                  <c:v>4553.9448270832845</c:v>
                </c:pt>
                <c:pt idx="385" formatCode="_(&quot;$&quot;* #,##0.00_);_(&quot;$&quot;* \(#,##0.00\);_(&quot;$&quot;* &quot;-&quot;??_);_(@_)">
                  <c:v>5028.7610606478302</c:v>
                </c:pt>
                <c:pt idx="386" formatCode="_(&quot;$&quot;* #,##0.00_);_(&quot;$&quot;* \(#,##0.00\);_(&quot;$&quot;* &quot;-&quot;??_);_(@_)">
                  <c:v>5580.0594477816685</c:v>
                </c:pt>
                <c:pt idx="387" formatCode="_(&quot;$&quot;* #,##0.00_);_(&quot;$&quot;* \(#,##0.00\);_(&quot;$&quot;* &quot;-&quot;??_);_(@_)">
                  <c:v>5692.9524739719782</c:v>
                </c:pt>
                <c:pt idx="388" formatCode="_(&quot;$&quot;* #,##0.00_);_(&quot;$&quot;* \(#,##0.00\);_(&quot;$&quot;* &quot;-&quot;??_);_(@_)">
                  <c:v>5691.6026280625329</c:v>
                </c:pt>
                <c:pt idx="389" formatCode="_(&quot;$&quot;* #,##0.00_);_(&quot;$&quot;* \(#,##0.00\);_(&quot;$&quot;* &quot;-&quot;??_);_(@_)">
                  <c:v>5452.9011896538668</c:v>
                </c:pt>
                <c:pt idx="390" formatCode="_(&quot;$&quot;* #,##0.00_);_(&quot;$&quot;* \(#,##0.00\);_(&quot;$&quot;* &quot;-&quot;??_);_(@_)">
                  <c:v>5679.007958251872</c:v>
                </c:pt>
                <c:pt idx="391" formatCode="_(&quot;$&quot;* #,##0.00_);_(&quot;$&quot;* \(#,##0.00\);_(&quot;$&quot;* &quot;-&quot;??_);_(@_)">
                  <c:v>5959.3474867152181</c:v>
                </c:pt>
                <c:pt idx="392" formatCode="_(&quot;$&quot;* #,##0.00_);_(&quot;$&quot;* \(#,##0.00\);_(&quot;$&quot;* &quot;-&quot;??_);_(@_)">
                  <c:v>6046.4355385368453</c:v>
                </c:pt>
                <c:pt idx="393" formatCode="_(&quot;$&quot;* #,##0.00_);_(&quot;$&quot;* \(#,##0.00\);_(&quot;$&quot;* &quot;-&quot;??_);_(@_)">
                  <c:v>6070.9984676706354</c:v>
                </c:pt>
                <c:pt idx="394" formatCode="_(&quot;$&quot;* #,##0.00_);_(&quot;$&quot;* \(#,##0.00\);_(&quot;$&quot;* &quot;-&quot;??_);_(@_)">
                  <c:v>6009.2779090228451</c:v>
                </c:pt>
                <c:pt idx="395" formatCode="_(&quot;$&quot;* #,##0.00_);_(&quot;$&quot;* \(#,##0.00\);_(&quot;$&quot;* &quot;-&quot;??_);_(@_)">
                  <c:v>5850.8507799485196</c:v>
                </c:pt>
                <c:pt idx="396" formatCode="_(&quot;$&quot;* #,##0.00_);_(&quot;$&quot;* \(#,##0.00\);_(&quot;$&quot;* &quot;-&quot;??_);_(@_)">
                  <c:v>5970.803931837042</c:v>
                </c:pt>
                <c:pt idx="397" formatCode="_(&quot;$&quot;* #,##0.00_);_(&quot;$&quot;* \(#,##0.00\);_(&quot;$&quot;* &quot;-&quot;??_);_(@_)">
                  <c:v>5684.3491507703284</c:v>
                </c:pt>
                <c:pt idx="398" formatCode="_(&quot;$&quot;* #,##0.00_);_(&quot;$&quot;* \(#,##0.00\);_(&quot;$&quot;* &quot;-&quot;??_);_(@_)">
                  <c:v>5866.8877171640688</c:v>
                </c:pt>
                <c:pt idx="399" formatCode="_(&quot;$&quot;* #,##0.00_);_(&quot;$&quot;* \(#,##0.00\);_(&quot;$&quot;* &quot;-&quot;??_);_(@_)">
                  <c:v>5623.8612968866928</c:v>
                </c:pt>
                <c:pt idx="400" formatCode="_(&quot;$&quot;* #,##0.00_);_(&quot;$&quot;* \(#,##0.00\);_(&quot;$&quot;* &quot;-&quot;??_);_(@_)">
                  <c:v>5544.6159738323795</c:v>
                </c:pt>
                <c:pt idx="401" formatCode="_(&quot;$&quot;* #,##0.00_);_(&quot;$&quot;* \(#,##0.00\);_(&quot;$&quot;* &quot;-&quot;??_);_(@_)">
                  <c:v>5333.9918670233847</c:v>
                </c:pt>
                <c:pt idx="402" formatCode="_(&quot;$&quot;* #,##0.00_);_(&quot;$&quot;* \(#,##0.00\);_(&quot;$&quot;* &quot;-&quot;??_);_(@_)">
                  <c:v>5422.3616195521527</c:v>
                </c:pt>
                <c:pt idx="403" formatCode="_(&quot;$&quot;* #,##0.00_);_(&quot;$&quot;* \(#,##0.00\);_(&quot;$&quot;* &quot;-&quot;??_);_(@_)">
                  <c:v>5808.7233263883427</c:v>
                </c:pt>
                <c:pt idx="404" formatCode="_(&quot;$&quot;* #,##0.00_);_(&quot;$&quot;* \(#,##0.00\);_(&quot;$&quot;* &quot;-&quot;??_);_(@_)">
                  <c:v>5894.7254207634833</c:v>
                </c:pt>
                <c:pt idx="405" formatCode="_(&quot;$&quot;* #,##0.00_);_(&quot;$&quot;* \(#,##0.00\);_(&quot;$&quot;* &quot;-&quot;??_);_(@_)">
                  <c:v>5763.0427433117047</c:v>
                </c:pt>
                <c:pt idx="406" formatCode="_(&quot;$&quot;* #,##0.00_);_(&quot;$&quot;* \(#,##0.00\);_(&quot;$&quot;* &quot;-&quot;??_);_(@_)">
                  <c:v>5433.365535884066</c:v>
                </c:pt>
                <c:pt idx="407" formatCode="_(&quot;$&quot;* #,##0.00_);_(&quot;$&quot;* \(#,##0.00\);_(&quot;$&quot;* &quot;-&quot;??_);_(@_)">
                  <c:v>5337.7281741511661</c:v>
                </c:pt>
                <c:pt idx="408" formatCode="_(&quot;$&quot;* #,##0.00_);_(&quot;$&quot;* \(#,##0.00\);_(&quot;$&quot;* &quot;-&quot;??_);_(@_)">
                  <c:v>5645.1766835812659</c:v>
                </c:pt>
                <c:pt idx="409" formatCode="_(&quot;$&quot;* #,##0.00_);_(&quot;$&quot;* \(#,##0.00\);_(&quot;$&quot;* &quot;-&quot;??_);_(@_)">
                  <c:v>5745.0255971446286</c:v>
                </c:pt>
                <c:pt idx="410" formatCode="_(&quot;$&quot;* #,##0.00_);_(&quot;$&quot;* \(#,##0.00\);_(&quot;$&quot;* &quot;-&quot;??_);_(@_)">
                  <c:v>5652.9817739990485</c:v>
                </c:pt>
                <c:pt idx="411" formatCode="_(&quot;$&quot;* #,##0.00_);_(&quot;$&quot;* \(#,##0.00\);_(&quot;$&quot;* &quot;-&quot;??_);_(@_)">
                  <c:v>6008.2448155800239</c:v>
                </c:pt>
                <c:pt idx="412" formatCode="_(&quot;$&quot;* #,##0.00_);_(&quot;$&quot;* \(#,##0.00\);_(&quot;$&quot;* &quot;-&quot;??_);_(@_)">
                  <c:v>5666.1092889956099</c:v>
                </c:pt>
                <c:pt idx="413" formatCode="_(&quot;$&quot;* #,##0.00_);_(&quot;$&quot;* \(#,##0.00\);_(&quot;$&quot;* &quot;-&quot;??_);_(@_)">
                  <c:v>5585.406549162989</c:v>
                </c:pt>
                <c:pt idx="414" formatCode="_(&quot;$&quot;* #,##0.00_);_(&quot;$&quot;* \(#,##0.00\);_(&quot;$&quot;* &quot;-&quot;??_);_(@_)">
                  <c:v>5532.1039841813817</c:v>
                </c:pt>
                <c:pt idx="415" formatCode="_(&quot;$&quot;* #,##0.00_);_(&quot;$&quot;* \(#,##0.00\);_(&quot;$&quot;* &quot;-&quot;??_);_(@_)">
                  <c:v>5432.1003583621241</c:v>
                </c:pt>
                <c:pt idx="416" formatCode="_(&quot;$&quot;* #,##0.00_);_(&quot;$&quot;* \(#,##0.00\);_(&quot;$&quot;* &quot;-&quot;??_);_(@_)">
                  <c:v>5483.1911331682904</c:v>
                </c:pt>
                <c:pt idx="417" formatCode="_(&quot;$&quot;* #,##0.00_);_(&quot;$&quot;* \(#,##0.00\);_(&quot;$&quot;* &quot;-&quot;??_);_(@_)">
                  <c:v>5598.4983462885239</c:v>
                </c:pt>
                <c:pt idx="418" formatCode="_(&quot;$&quot;* #,##0.00_);_(&quot;$&quot;* \(#,##0.00\);_(&quot;$&quot;* &quot;-&quot;??_);_(@_)">
                  <c:v>5523.0266481753206</c:v>
                </c:pt>
                <c:pt idx="419" formatCode="_(&quot;$&quot;* #,##0.00_);_(&quot;$&quot;* \(#,##0.00\);_(&quot;$&quot;* &quot;-&quot;??_);_(@_)">
                  <c:v>5441.9678406155945</c:v>
                </c:pt>
                <c:pt idx="420" formatCode="_(&quot;$&quot;* #,##0.00_);_(&quot;$&quot;* \(#,##0.00\);_(&quot;$&quot;* &quot;-&quot;??_);_(@_)">
                  <c:v>5344.073206160765</c:v>
                </c:pt>
                <c:pt idx="421" formatCode="_(&quot;$&quot;* #,##0.00_);_(&quot;$&quot;* \(#,##0.00\);_(&quot;$&quot;* &quot;-&quot;??_);_(@_)">
                  <c:v>5427.9066789121425</c:v>
                </c:pt>
                <c:pt idx="422" formatCode="_(&quot;$&quot;* #,##0.00_);_(&quot;$&quot;* \(#,##0.00\);_(&quot;$&quot;* &quot;-&quot;??_);_(@_)">
                  <c:v>5408.0874304580384</c:v>
                </c:pt>
                <c:pt idx="423" formatCode="_(&quot;$&quot;* #,##0.00_);_(&quot;$&quot;* \(#,##0.00\);_(&quot;$&quot;* &quot;-&quot;??_);_(@_)">
                  <c:v>5291.526107514379</c:v>
                </c:pt>
                <c:pt idx="424" formatCode="_(&quot;$&quot;* #,##0.00_);_(&quot;$&quot;* \(#,##0.00\);_(&quot;$&quot;* &quot;-&quot;??_);_(@_)">
                  <c:v>5414.9645172220326</c:v>
                </c:pt>
                <c:pt idx="425" formatCode="_(&quot;$&quot;* #,##0.00_);_(&quot;$&quot;* \(#,##0.00\);_(&quot;$&quot;* &quot;-&quot;??_);_(@_)">
                  <c:v>5523.7292633931784</c:v>
                </c:pt>
                <c:pt idx="426" formatCode="_(&quot;$&quot;* #,##0.00_);_(&quot;$&quot;* \(#,##0.00\);_(&quot;$&quot;* &quot;-&quot;??_);_(@_)">
                  <c:v>5558.0169433202018</c:v>
                </c:pt>
                <c:pt idx="427" formatCode="_(&quot;$&quot;* #,##0.00_);_(&quot;$&quot;* \(#,##0.00\);_(&quot;$&quot;* &quot;-&quot;??_);_(@_)">
                  <c:v>5327.7164291741701</c:v>
                </c:pt>
                <c:pt idx="428" formatCode="_(&quot;$&quot;* #,##0.00_);_(&quot;$&quot;* \(#,##0.00\);_(&quot;$&quot;* &quot;-&quot;??_);_(@_)">
                  <c:v>5431.5776832939328</c:v>
                </c:pt>
                <c:pt idx="429" formatCode="_(&quot;$&quot;* #,##0.00_);_(&quot;$&quot;* \(#,##0.00\);_(&quot;$&quot;* &quot;-&quot;??_);_(@_)">
                  <c:v>5681.0903938149258</c:v>
                </c:pt>
                <c:pt idx="430" formatCode="_(&quot;$&quot;* #,##0.00_);_(&quot;$&quot;* \(#,##0.00\);_(&quot;$&quot;* &quot;-&quot;??_);_(@_)">
                  <c:v>5833.1353371282767</c:v>
                </c:pt>
                <c:pt idx="431" formatCode="_(&quot;$&quot;* #,##0.00_);_(&quot;$&quot;* \(#,##0.00\);_(&quot;$&quot;* &quot;-&quot;??_);_(@_)">
                  <c:v>5929.9019700253675</c:v>
                </c:pt>
                <c:pt idx="432" formatCode="_(&quot;$&quot;* #,##0.00_);_(&quot;$&quot;* \(#,##0.00\);_(&quot;$&quot;* &quot;-&quot;??_);_(@_)">
                  <c:v>6091.7405805032267</c:v>
                </c:pt>
                <c:pt idx="433" formatCode="_(&quot;$&quot;* #,##0.00_);_(&quot;$&quot;* \(#,##0.00\);_(&quot;$&quot;* &quot;-&quot;??_);_(@_)">
                  <c:v>5855.6215988541253</c:v>
                </c:pt>
                <c:pt idx="434" formatCode="_(&quot;$&quot;* #,##0.00_);_(&quot;$&quot;* \(#,##0.00\);_(&quot;$&quot;* &quot;-&quot;??_);_(@_)">
                  <c:v>5783.2978681336945</c:v>
                </c:pt>
                <c:pt idx="435" formatCode="_(&quot;$&quot;* #,##0.00_);_(&quot;$&quot;* \(#,##0.00\);_(&quot;$&quot;* &quot;-&quot;??_);_(@_)">
                  <c:v>5774.9574730536197</c:v>
                </c:pt>
                <c:pt idx="436" formatCode="_(&quot;$&quot;* #,##0.00_);_(&quot;$&quot;* \(#,##0.00\);_(&quot;$&quot;* &quot;-&quot;??_);_(@_)">
                  <c:v>5831.5025677666417</c:v>
                </c:pt>
                <c:pt idx="437" formatCode="_(&quot;$&quot;* #,##0.00_);_(&quot;$&quot;* \(#,##0.00\);_(&quot;$&quot;* &quot;-&quot;??_);_(@_)">
                  <c:v>5943.5338363242472</c:v>
                </c:pt>
                <c:pt idx="438" formatCode="_(&quot;$&quot;* #,##0.00_);_(&quot;$&quot;* \(#,##0.00\);_(&quot;$&quot;* &quot;-&quot;??_);_(@_)">
                  <c:v>6148.3995389467827</c:v>
                </c:pt>
                <c:pt idx="439" formatCode="_(&quot;$&quot;* #,##0.00_);_(&quot;$&quot;* \(#,##0.00\);_(&quot;$&quot;* &quot;-&quot;??_);_(@_)">
                  <c:v>6413.9529016720444</c:v>
                </c:pt>
                <c:pt idx="440" formatCode="_(&quot;$&quot;* #,##0.00_);_(&quot;$&quot;* \(#,##0.00\);_(&quot;$&quot;* &quot;-&quot;??_);_(@_)">
                  <c:v>6376.760467054788</c:v>
                </c:pt>
                <c:pt idx="441" formatCode="_(&quot;$&quot;* #,##0.00_);_(&quot;$&quot;* \(#,##0.00\);_(&quot;$&quot;* &quot;-&quot;??_);_(@_)">
                  <c:v>6565.3292683364762</c:v>
                </c:pt>
                <c:pt idx="442" formatCode="_(&quot;$&quot;* #,##0.00_);_(&quot;$&quot;* \(#,##0.00\);_(&quot;$&quot;* &quot;-&quot;??_);_(@_)">
                  <c:v>6497.0350602307262</c:v>
                </c:pt>
                <c:pt idx="443" formatCode="_(&quot;$&quot;* #,##0.00_);_(&quot;$&quot;* \(#,##0.00\);_(&quot;$&quot;* &quot;-&quot;??_);_(@_)">
                  <c:v>6402.0308836320082</c:v>
                </c:pt>
                <c:pt idx="444" formatCode="_(&quot;$&quot;* #,##0.00_);_(&quot;$&quot;* \(#,##0.00\);_(&quot;$&quot;* &quot;-&quot;??_);_(@_)">
                  <c:v>6398.6397250606506</c:v>
                </c:pt>
                <c:pt idx="445" formatCode="_(&quot;$&quot;* #,##0.00_);_(&quot;$&quot;* \(#,##0.00\);_(&quot;$&quot;* &quot;-&quot;??_);_(@_)">
                  <c:v>6514.0511661190167</c:v>
                </c:pt>
                <c:pt idx="446" formatCode="_(&quot;$&quot;* #,##0.00_);_(&quot;$&quot;* \(#,##0.00\);_(&quot;$&quot;* &quot;-&quot;??_);_(@_)">
                  <c:v>6722.752781557203</c:v>
                </c:pt>
                <c:pt idx="447" formatCode="_(&quot;$&quot;* #,##0.00_);_(&quot;$&quot;* \(#,##0.00\);_(&quot;$&quot;* &quot;-&quot;??_);_(@_)">
                  <c:v>6689.7040776309013</c:v>
                </c:pt>
                <c:pt idx="448" formatCode="_(&quot;$&quot;* #,##0.00_);_(&quot;$&quot;* \(#,##0.00\);_(&quot;$&quot;* &quot;-&quot;??_);_(@_)">
                  <c:v>6681.8371027759913</c:v>
                </c:pt>
                <c:pt idx="449" formatCode="_(&quot;$&quot;* #,##0.00_);_(&quot;$&quot;* \(#,##0.00\);_(&quot;$&quot;* &quot;-&quot;??_);_(@_)">
                  <c:v>6754.8715452208016</c:v>
                </c:pt>
                <c:pt idx="450" formatCode="_(&quot;$&quot;* #,##0.00_);_(&quot;$&quot;* \(#,##0.00\);_(&quot;$&quot;* &quot;-&quot;??_);_(@_)">
                  <c:v>6660.7440905272142</c:v>
                </c:pt>
                <c:pt idx="451" formatCode="_(&quot;$&quot;* #,##0.00_);_(&quot;$&quot;* \(#,##0.00\);_(&quot;$&quot;* &quot;-&quot;??_);_(@_)">
                  <c:v>6602.1904742428742</c:v>
                </c:pt>
                <c:pt idx="452" formatCode="_(&quot;$&quot;* #,##0.00_);_(&quot;$&quot;* \(#,##0.00\);_(&quot;$&quot;* &quot;-&quot;??_);_(@_)">
                  <c:v>6609.2900276044538</c:v>
                </c:pt>
                <c:pt idx="453" formatCode="_(&quot;$&quot;* #,##0.00_);_(&quot;$&quot;* \(#,##0.00\);_(&quot;$&quot;* &quot;-&quot;??_);_(@_)">
                  <c:v>6641.9993128425895</c:v>
                </c:pt>
                <c:pt idx="454" formatCode="_(&quot;$&quot;* #,##0.00_);_(&quot;$&quot;* \(#,##0.00\);_(&quot;$&quot;* &quot;-&quot;??_);_(@_)">
                  <c:v>6320.9517507631699</c:v>
                </c:pt>
                <c:pt idx="455" formatCode="_(&quot;$&quot;* #,##0.00_);_(&quot;$&quot;* \(#,##0.00\);_(&quot;$&quot;* &quot;-&quot;??_);_(@_)">
                  <c:v>6394.5546378957715</c:v>
                </c:pt>
                <c:pt idx="456" formatCode="_(&quot;$&quot;* #,##0.00_);_(&quot;$&quot;* \(#,##0.00\);_(&quot;$&quot;* &quot;-&quot;??_);_(@_)">
                  <c:v>6637.4608988702776</c:v>
                </c:pt>
                <c:pt idx="457" formatCode="_(&quot;$&quot;* #,##0.00_);_(&quot;$&quot;* \(#,##0.00\);_(&quot;$&quot;* &quot;-&quot;??_);_(@_)">
                  <c:v>6817.7398872471767</c:v>
                </c:pt>
                <c:pt idx="458" formatCode="_(&quot;$&quot;* #,##0.00_);_(&quot;$&quot;* \(#,##0.00\);_(&quot;$&quot;* &quot;-&quot;??_);_(@_)">
                  <c:v>6818.0457252110054</c:v>
                </c:pt>
                <c:pt idx="459" formatCode="_(&quot;$&quot;* #,##0.00_);_(&quot;$&quot;* \(#,##0.00\);_(&quot;$&quot;* &quot;-&quot;??_);_(@_)">
                  <c:v>6856.5789250167645</c:v>
                </c:pt>
                <c:pt idx="460" formatCode="_(&quot;$&quot;* #,##0.00_);_(&quot;$&quot;* \(#,##0.00\);_(&quot;$&quot;* &quot;-&quot;??_);_(@_)">
                  <c:v>6967.3569899983831</c:v>
                </c:pt>
                <c:pt idx="461" formatCode="_(&quot;$&quot;* #,##0.00_);_(&quot;$&quot;* \(#,##0.00\);_(&quot;$&quot;* &quot;-&quot;??_);_(@_)">
                  <c:v>6653.2507288683928</c:v>
                </c:pt>
                <c:pt idx="462" formatCode="_(&quot;$&quot;* #,##0.00_);_(&quot;$&quot;* \(#,##0.00\);_(&quot;$&quot;* &quot;-&quot;??_);_(@_)">
                  <c:v>6679.4148142572212</c:v>
                </c:pt>
                <c:pt idx="463" formatCode="_(&quot;$&quot;* #,##0.00_);_(&quot;$&quot;* \(#,##0.00\);_(&quot;$&quot;* &quot;-&quot;??_);_(@_)">
                  <c:v>6730.8382890882713</c:v>
                </c:pt>
                <c:pt idx="464" formatCode="_(&quot;$&quot;* #,##0.00_);_(&quot;$&quot;* \(#,##0.00\);_(&quot;$&quot;* &quot;-&quot;??_);_(@_)">
                  <c:v>6802.6778460843279</c:v>
                </c:pt>
                <c:pt idx="465" formatCode="_(&quot;$&quot;* #,##0.00_);_(&quot;$&quot;* \(#,##0.00\);_(&quot;$&quot;* &quot;-&quot;??_);_(@_)">
                  <c:v>6928.2707094976149</c:v>
                </c:pt>
                <c:pt idx="466" formatCode="_(&quot;$&quot;* #,##0.00_);_(&quot;$&quot;* \(#,##0.00\);_(&quot;$&quot;* &quot;-&quot;??_);_(@_)">
                  <c:v>6762.5048979160792</c:v>
                </c:pt>
                <c:pt idx="467" formatCode="_(&quot;$&quot;* #,##0.00_);_(&quot;$&quot;* \(#,##0.00\);_(&quot;$&quot;* &quot;-&quot;??_);_(@_)">
                  <c:v>6737.1601915941283</c:v>
                </c:pt>
                <c:pt idx="468" formatCode="_(&quot;$&quot;* #,##0.00_);_(&quot;$&quot;* \(#,##0.00\);_(&quot;$&quot;* &quot;-&quot;??_);_(@_)">
                  <c:v>6463.4269131239053</c:v>
                </c:pt>
                <c:pt idx="469" formatCode="_(&quot;$&quot;* #,##0.00_);_(&quot;$&quot;* \(#,##0.00\);_(&quot;$&quot;* &quot;-&quot;??_);_(@_)">
                  <c:v>6675.079444453143</c:v>
                </c:pt>
                <c:pt idx="470" formatCode="_(&quot;$&quot;* #,##0.00_);_(&quot;$&quot;* \(#,##0.00\);_(&quot;$&quot;* &quot;-&quot;??_);_(@_)">
                  <c:v>6902.2029645780831</c:v>
                </c:pt>
                <c:pt idx="471" formatCode="_(&quot;$&quot;* #,##0.00_);_(&quot;$&quot;* \(#,##0.00\);_(&quot;$&quot;* &quot;-&quot;??_);_(@_)">
                  <c:v>6865.7006607111643</c:v>
                </c:pt>
                <c:pt idx="472" formatCode="_(&quot;$&quot;* #,##0.00_);_(&quot;$&quot;* \(#,##0.00\);_(&quot;$&quot;* &quot;-&quot;??_);_(@_)">
                  <c:v>6999.301195113313</c:v>
                </c:pt>
                <c:pt idx="473" formatCode="_(&quot;$&quot;* #,##0.00_);_(&quot;$&quot;* \(#,##0.00\);_(&quot;$&quot;* &quot;-&quot;??_);_(@_)">
                  <c:v>6977.0001427375464</c:v>
                </c:pt>
                <c:pt idx="474" formatCode="_(&quot;$&quot;* #,##0.00_);_(&quot;$&quot;* \(#,##0.00\);_(&quot;$&quot;* &quot;-&quot;??_);_(@_)">
                  <c:v>6916.1101932408401</c:v>
                </c:pt>
                <c:pt idx="475" formatCode="_(&quot;$&quot;* #,##0.00_);_(&quot;$&quot;* \(#,##0.00\);_(&quot;$&quot;* &quot;-&quot;??_);_(@_)">
                  <c:v>6991.0647507444328</c:v>
                </c:pt>
                <c:pt idx="476" formatCode="_(&quot;$&quot;* #,##0.00_);_(&quot;$&quot;* \(#,##0.00\);_(&quot;$&quot;* &quot;-&quot;??_);_(@_)">
                  <c:v>7191.759854305511</c:v>
                </c:pt>
                <c:pt idx="477" formatCode="_(&quot;$&quot;* #,##0.00_);_(&quot;$&quot;* \(#,##0.00\);_(&quot;$&quot;* &quot;-&quot;??_);_(@_)">
                  <c:v>7052.0862642121701</c:v>
                </c:pt>
                <c:pt idx="478" formatCode="_(&quot;$&quot;* #,##0.00_);_(&quot;$&quot;* \(#,##0.00\);_(&quot;$&quot;* &quot;-&quot;??_);_(@_)">
                  <c:v>7178.9559672588757</c:v>
                </c:pt>
                <c:pt idx="479" formatCode="_(&quot;$&quot;* #,##0.00_);_(&quot;$&quot;* \(#,##0.00\);_(&quot;$&quot;* &quot;-&quot;??_);_(@_)">
                  <c:v>6791.4105125587212</c:v>
                </c:pt>
                <c:pt idx="480" formatCode="_(&quot;$&quot;* #,##0.00_);_(&quot;$&quot;* \(#,##0.00\);_(&quot;$&quot;* &quot;-&quot;??_);_(@_)">
                  <c:v>7146.500027647231</c:v>
                </c:pt>
                <c:pt idx="481" formatCode="_(&quot;$&quot;* #,##0.00_);_(&quot;$&quot;* \(#,##0.00\);_(&quot;$&quot;* &quot;-&quot;??_);_(@_)">
                  <c:v>7127.2451833343084</c:v>
                </c:pt>
                <c:pt idx="482" formatCode="_(&quot;$&quot;* #,##0.00_);_(&quot;$&quot;* \(#,##0.00\);_(&quot;$&quot;* &quot;-&quot;??_);_(@_)">
                  <c:v>7113.0411624284752</c:v>
                </c:pt>
                <c:pt idx="483" formatCode="_(&quot;$&quot;* #,##0.00_);_(&quot;$&quot;* \(#,##0.00\);_(&quot;$&quot;* &quot;-&quot;??_);_(@_)">
                  <c:v>7094.2081835172803</c:v>
                </c:pt>
                <c:pt idx="484" formatCode="_(&quot;$&quot;* #,##0.00_);_(&quot;$&quot;* \(#,##0.00\);_(&quot;$&quot;* &quot;-&quot;??_);_(@_)">
                  <c:v>7049.730045526765</c:v>
                </c:pt>
                <c:pt idx="485" formatCode="_(&quot;$&quot;* #,##0.00_);_(&quot;$&quot;* \(#,##0.00\);_(&quot;$&quot;* &quot;-&quot;??_);_(@_)">
                  <c:v>7155.7516608601636</c:v>
                </c:pt>
                <c:pt idx="486" formatCode="_(&quot;$&quot;* #,##0.00_);_(&quot;$&quot;* \(#,##0.00\);_(&quot;$&quot;* &quot;-&quot;??_);_(@_)">
                  <c:v>6961.8030187009226</c:v>
                </c:pt>
                <c:pt idx="487" formatCode="_(&quot;$&quot;* #,##0.00_);_(&quot;$&quot;* \(#,##0.00\);_(&quot;$&quot;* &quot;-&quot;??_);_(@_)">
                  <c:v>7051.9532691182831</c:v>
                </c:pt>
                <c:pt idx="488" formatCode="_(&quot;$&quot;* #,##0.00_);_(&quot;$&quot;* \(#,##0.00\);_(&quot;$&quot;* &quot;-&quot;??_);_(@_)">
                  <c:v>7135.8585202646236</c:v>
                </c:pt>
                <c:pt idx="489" formatCode="_(&quot;$&quot;* #,##0.00_);_(&quot;$&quot;* \(#,##0.00\);_(&quot;$&quot;* &quot;-&quot;??_);_(@_)">
                  <c:v>6946.3747245598197</c:v>
                </c:pt>
                <c:pt idx="490" formatCode="_(&quot;$&quot;* #,##0.00_);_(&quot;$&quot;* \(#,##0.00\);_(&quot;$&quot;* &quot;-&quot;??_);_(@_)">
                  <c:v>6919.6751158373017</c:v>
                </c:pt>
                <c:pt idx="491" formatCode="_(&quot;$&quot;* #,##0.00_);_(&quot;$&quot;* \(#,##0.00\);_(&quot;$&quot;* &quot;-&quot;??_);_(@_)">
                  <c:v>6893.8753222356554</c:v>
                </c:pt>
                <c:pt idx="492" formatCode="_(&quot;$&quot;* #,##0.00_);_(&quot;$&quot;* \(#,##0.00\);_(&quot;$&quot;* &quot;-&quot;??_);_(@_)">
                  <c:v>6930.3055082823594</c:v>
                </c:pt>
                <c:pt idx="493" formatCode="_(&quot;$&quot;* #,##0.00_);_(&quot;$&quot;* \(#,##0.00\);_(&quot;$&quot;* &quot;-&quot;??_);_(@_)">
                  <c:v>7003.0984594047477</c:v>
                </c:pt>
                <c:pt idx="494" formatCode="_(&quot;$&quot;* #,##0.00_);_(&quot;$&quot;* \(#,##0.00\);_(&quot;$&quot;* &quot;-&quot;??_);_(@_)">
                  <c:v>6951.1913389263236</c:v>
                </c:pt>
                <c:pt idx="495" formatCode="_(&quot;$&quot;* #,##0.00_);_(&quot;$&quot;* \(#,##0.00\);_(&quot;$&quot;* &quot;-&quot;??_);_(@_)">
                  <c:v>6955.1606767918174</c:v>
                </c:pt>
                <c:pt idx="496" formatCode="_(&quot;$&quot;* #,##0.00_);_(&quot;$&quot;* \(#,##0.00\);_(&quot;$&quot;* &quot;-&quot;??_);_(@_)">
                  <c:v>7328.3017053614676</c:v>
                </c:pt>
                <c:pt idx="497" formatCode="_(&quot;$&quot;* #,##0.00_);_(&quot;$&quot;* \(#,##0.00\);_(&quot;$&quot;* &quot;-&quot;??_);_(@_)">
                  <c:v>7160.231682615301</c:v>
                </c:pt>
                <c:pt idx="498" formatCode="_(&quot;$&quot;* #,##0.00_);_(&quot;$&quot;* \(#,##0.00\);_(&quot;$&quot;* &quot;-&quot;??_);_(@_)">
                  <c:v>7012.8069278554667</c:v>
                </c:pt>
                <c:pt idx="499" formatCode="_(&quot;$&quot;* #,##0.00_);_(&quot;$&quot;* \(#,##0.00\);_(&quot;$&quot;* &quot;-&quot;??_);_(@_)">
                  <c:v>7335.9367483674923</c:v>
                </c:pt>
                <c:pt idx="500" formatCode="_(&quot;$&quot;* #,##0.00_);_(&quot;$&quot;* \(#,##0.00\);_(&quot;$&quot;* &quot;-&quot;??_);_(@_)">
                  <c:v>7160.5230832386833</c:v>
                </c:pt>
                <c:pt idx="501" formatCode="_(&quot;$&quot;* #,##0.00_);_(&quot;$&quot;* \(#,##0.00\);_(&quot;$&quot;* &quot;-&quot;??_);_(@_)">
                  <c:v>6899.6840584287384</c:v>
                </c:pt>
                <c:pt idx="502" formatCode="_(&quot;$&quot;* #,##0.00_);_(&quot;$&quot;* \(#,##0.00\);_(&quot;$&quot;* &quot;-&quot;??_);_(@_)">
                  <c:v>7304.9441494517823</c:v>
                </c:pt>
                <c:pt idx="503" formatCode="_(&quot;$&quot;* #,##0.00_);_(&quot;$&quot;* \(#,##0.00\);_(&quot;$&quot;* &quot;-&quot;??_);_(@_)">
                  <c:v>7194.148188322335</c:v>
                </c:pt>
                <c:pt idx="504" formatCode="_(&quot;$&quot;* #,##0.00_);_(&quot;$&quot;* \(#,##0.00\);_(&quot;$&quot;* &quot;-&quot;??_);_(@_)">
                  <c:v>7249.0759917478863</c:v>
                </c:pt>
                <c:pt idx="505" formatCode="_(&quot;$&quot;* #,##0.00_);_(&quot;$&quot;* \(#,##0.00\);_(&quot;$&quot;* &quot;-&quot;??_);_(@_)">
                  <c:v>6974.4765475770637</c:v>
                </c:pt>
                <c:pt idx="506" formatCode="_(&quot;$&quot;* #,##0.00_);_(&quot;$&quot;* \(#,##0.00\);_(&quot;$&quot;* &quot;-&quot;??_);_(@_)">
                  <c:v>6970.0387061957736</c:v>
                </c:pt>
                <c:pt idx="507" formatCode="_(&quot;$&quot;* #,##0.00_);_(&quot;$&quot;* \(#,##0.00\);_(&quot;$&quot;* &quot;-&quot;??_);_(@_)">
                  <c:v>7126.1325663234948</c:v>
                </c:pt>
                <c:pt idx="508" formatCode="_(&quot;$&quot;* #,##0.00_);_(&quot;$&quot;* \(#,##0.00\);_(&quot;$&quot;* &quot;-&quot;??_);_(@_)">
                  <c:v>6938.93648847853</c:v>
                </c:pt>
                <c:pt idx="509" formatCode="_(&quot;$&quot;* #,##0.00_);_(&quot;$&quot;* \(#,##0.00\);_(&quot;$&quot;* &quot;-&quot;??_);_(@_)">
                  <c:v>7043.6460967447438</c:v>
                </c:pt>
                <c:pt idx="510" formatCode="_(&quot;$&quot;* #,##0.00_);_(&quot;$&quot;* \(#,##0.00\);_(&quot;$&quot;* &quot;-&quot;??_);_(@_)">
                  <c:v>6924.4798762146074</c:v>
                </c:pt>
                <c:pt idx="511" formatCode="_(&quot;$&quot;* #,##0.00_);_(&quot;$&quot;* \(#,##0.00\);_(&quot;$&quot;* &quot;-&quot;??_);_(@_)">
                  <c:v>7035.5132058752761</c:v>
                </c:pt>
                <c:pt idx="512" formatCode="_(&quot;$&quot;* #,##0.00_);_(&quot;$&quot;* \(#,##0.00\);_(&quot;$&quot;* &quot;-&quot;??_);_(@_)">
                  <c:v>7792.9136641666692</c:v>
                </c:pt>
                <c:pt idx="513" formatCode="_(&quot;$&quot;* #,##0.00_);_(&quot;$&quot;* \(#,##0.00\);_(&quot;$&quot;* &quot;-&quot;??_);_(@_)">
                  <c:v>7363.5685554871743</c:v>
                </c:pt>
                <c:pt idx="514" formatCode="_(&quot;$&quot;* #,##0.00_);_(&quot;$&quot;* \(#,##0.00\);_(&quot;$&quot;* &quot;-&quot;??_);_(@_)">
                  <c:v>7069.6761206771425</c:v>
                </c:pt>
                <c:pt idx="515" formatCode="_(&quot;$&quot;* #,##0.00_);_(&quot;$&quot;* \(#,##0.00\);_(&quot;$&quot;* &quot;-&quot;??_);_(@_)">
                  <c:v>7099.124937640393</c:v>
                </c:pt>
                <c:pt idx="516" formatCode="_(&quot;$&quot;* #,##0.00_);_(&quot;$&quot;* \(#,##0.00\);_(&quot;$&quot;* &quot;-&quot;??_);_(@_)">
                  <c:v>6999.5123381735484</c:v>
                </c:pt>
                <c:pt idx="517" formatCode="_(&quot;$&quot;* #,##0.00_);_(&quot;$&quot;* \(#,##0.00\);_(&quot;$&quot;* &quot;-&quot;??_);_(@_)">
                  <c:v>6810.0108235138205</c:v>
                </c:pt>
                <c:pt idx="518" formatCode="_(&quot;$&quot;* #,##0.00_);_(&quot;$&quot;* \(#,##0.00\);_(&quot;$&quot;* &quot;-&quot;??_);_(@_)">
                  <c:v>6945.3715152214791</c:v>
                </c:pt>
                <c:pt idx="519" formatCode="_(&quot;$&quot;* #,##0.00_);_(&quot;$&quot;* \(#,##0.00\);_(&quot;$&quot;* &quot;-&quot;??_);_(@_)">
                  <c:v>6822.2710542667101</c:v>
                </c:pt>
                <c:pt idx="520" formatCode="_(&quot;$&quot;* #,##0.00_);_(&quot;$&quot;* \(#,##0.00\);_(&quot;$&quot;* &quot;-&quot;??_);_(@_)">
                  <c:v>7068.6867512706413</c:v>
                </c:pt>
                <c:pt idx="521" formatCode="_(&quot;$&quot;* #,##0.00_);_(&quot;$&quot;* \(#,##0.00\);_(&quot;$&quot;* &quot;-&quot;??_);_(@_)">
                  <c:v>6877.1339474678343</c:v>
                </c:pt>
                <c:pt idx="522" formatCode="_(&quot;$&quot;* #,##0.00_);_(&quot;$&quot;* \(#,##0.00\);_(&quot;$&quot;* &quot;-&quot;??_);_(@_)">
                  <c:v>7080.7867989821525</c:v>
                </c:pt>
                <c:pt idx="523" formatCode="_(&quot;$&quot;* #,##0.00_);_(&quot;$&quot;* \(#,##0.00\);_(&quot;$&quot;* &quot;-&quot;??_);_(@_)">
                  <c:v>7120.2087626040311</c:v>
                </c:pt>
                <c:pt idx="524" formatCode="_(&quot;$&quot;* #,##0.00_);_(&quot;$&quot;* \(#,##0.00\);_(&quot;$&quot;* &quot;-&quot;??_);_(@_)">
                  <c:v>7094.8609634190561</c:v>
                </c:pt>
                <c:pt idx="525" formatCode="_(&quot;$&quot;* #,##0.00_);_(&quot;$&quot;* \(#,##0.00\);_(&quot;$&quot;* &quot;-&quot;??_);_(@_)">
                  <c:v>7069.6109721531493</c:v>
                </c:pt>
                <c:pt idx="526" formatCode="_(&quot;$&quot;* #,##0.00_);_(&quot;$&quot;* \(#,##0.00\);_(&quot;$&quot;* &quot;-&quot;??_);_(@_)">
                  <c:v>7161.0351718327656</c:v>
                </c:pt>
                <c:pt idx="527" formatCode="_(&quot;$&quot;* #,##0.00_);_(&quot;$&quot;* \(#,##0.00\);_(&quot;$&quot;* &quot;-&quot;??_);_(@_)">
                  <c:v>7002.0603499689332</c:v>
                </c:pt>
                <c:pt idx="528" formatCode="_(&quot;$&quot;* #,##0.00_);_(&quot;$&quot;* \(#,##0.00\);_(&quot;$&quot;* &quot;-&quot;??_);_(@_)">
                  <c:v>6904.8522530863511</c:v>
                </c:pt>
                <c:pt idx="529" formatCode="_(&quot;$&quot;* #,##0.00_);_(&quot;$&quot;* \(#,##0.00\);_(&quot;$&quot;* &quot;-&quot;??_);_(@_)">
                  <c:v>7084.0500696838517</c:v>
                </c:pt>
                <c:pt idx="530" formatCode="_(&quot;$&quot;* #,##0.00_);_(&quot;$&quot;* \(#,##0.00\);_(&quot;$&quot;* &quot;-&quot;??_);_(@_)">
                  <c:v>7310.9515587549631</c:v>
                </c:pt>
                <c:pt idx="531" formatCode="_(&quot;$&quot;* #,##0.00_);_(&quot;$&quot;* \(#,##0.00\);_(&quot;$&quot;* &quot;-&quot;??_);_(@_)">
                  <c:v>6930.146257071231</c:v>
                </c:pt>
                <c:pt idx="532" formatCode="_(&quot;$&quot;* #,##0.00_);_(&quot;$&quot;* \(#,##0.00\);_(&quot;$&quot;* &quot;-&quot;??_);_(@_)">
                  <c:v>7124.5950838893486</c:v>
                </c:pt>
                <c:pt idx="533" formatCode="_(&quot;$&quot;* #,##0.00_);_(&quot;$&quot;* \(#,##0.00\);_(&quot;$&quot;* &quot;-&quot;??_);_(@_)">
                  <c:v>7003.0072080311575</c:v>
                </c:pt>
                <c:pt idx="534" formatCode="_(&quot;$&quot;* #,##0.00_);_(&quot;$&quot;* \(#,##0.00\);_(&quot;$&quot;* &quot;-&quot;??_);_(@_)">
                  <c:v>7163.3372857108634</c:v>
                </c:pt>
                <c:pt idx="535" formatCode="_(&quot;$&quot;* #,##0.00_);_(&quot;$&quot;* \(#,##0.00\);_(&quot;$&quot;* &quot;-&quot;??_);_(@_)">
                  <c:v>7063.7942158309634</c:v>
                </c:pt>
                <c:pt idx="536" formatCode="_(&quot;$&quot;* #,##0.00_);_(&quot;$&quot;* \(#,##0.00\);_(&quot;$&quot;* &quot;-&quot;??_);_(@_)">
                  <c:v>7138.5095132380284</c:v>
                </c:pt>
                <c:pt idx="537" formatCode="_(&quot;$&quot;* #,##0.00_);_(&quot;$&quot;* \(#,##0.00\);_(&quot;$&quot;* &quot;-&quot;??_);_(@_)">
                  <c:v>7131.0815750818556</c:v>
                </c:pt>
                <c:pt idx="538" formatCode="_(&quot;$&quot;* #,##0.00_);_(&quot;$&quot;* \(#,##0.00\);_(&quot;$&quot;* &quot;-&quot;??_);_(@_)">
                  <c:v>7382.0601956813489</c:v>
                </c:pt>
                <c:pt idx="539" formatCode="_(&quot;$&quot;* #,##0.00_);_(&quot;$&quot;* \(#,##0.00\);_(&quot;$&quot;* &quot;-&quot;??_);_(@_)">
                  <c:v>7460.7555302317396</c:v>
                </c:pt>
                <c:pt idx="540" formatCode="_(&quot;$&quot;* #,##0.00_);_(&quot;$&quot;* \(#,##0.00\);_(&quot;$&quot;* &quot;-&quot;??_);_(@_)">
                  <c:v>7618.2433100672624</c:v>
                </c:pt>
                <c:pt idx="541" formatCode="_(&quot;$&quot;* #,##0.00_);_(&quot;$&quot;* \(#,##0.00\);_(&quot;$&quot;* &quot;-&quot;??_);_(@_)">
                  <c:v>7612.9096812464577</c:v>
                </c:pt>
                <c:pt idx="542" formatCode="_(&quot;$&quot;* #,##0.00_);_(&quot;$&quot;* \(#,##0.00\);_(&quot;$&quot;* &quot;-&quot;??_);_(@_)">
                  <c:v>7610.2746722872225</c:v>
                </c:pt>
                <c:pt idx="543" formatCode="_(&quot;$&quot;* #,##0.00_);_(&quot;$&quot;* \(#,##0.00\);_(&quot;$&quot;* &quot;-&quot;??_);_(@_)">
                  <c:v>7224.6152750581086</c:v>
                </c:pt>
                <c:pt idx="544" formatCode="_(&quot;$&quot;* #,##0.00_);_(&quot;$&quot;* \(#,##0.00\);_(&quot;$&quot;* &quot;-&quot;??_);_(@_)">
                  <c:v>7213.8470921350618</c:v>
                </c:pt>
                <c:pt idx="545" formatCode="_(&quot;$&quot;* #,##0.00_);_(&quot;$&quot;* \(#,##0.00\);_(&quot;$&quot;* &quot;-&quot;??_);_(@_)">
                  <c:v>7448.9923072269576</c:v>
                </c:pt>
                <c:pt idx="546" formatCode="_(&quot;$&quot;* #,##0.00_);_(&quot;$&quot;* \(#,##0.00\);_(&quot;$&quot;* &quot;-&quot;??_);_(@_)">
                  <c:v>7146.9028253207871</c:v>
                </c:pt>
                <c:pt idx="547" formatCode="_(&quot;$&quot;* #,##0.00_);_(&quot;$&quot;* \(#,##0.00\);_(&quot;$&quot;* &quot;-&quot;??_);_(@_)">
                  <c:v>7229.7204310203142</c:v>
                </c:pt>
                <c:pt idx="548" formatCode="_(&quot;$&quot;* #,##0.00_);_(&quot;$&quot;* \(#,##0.00\);_(&quot;$&quot;* &quot;-&quot;??_);_(@_)">
                  <c:v>7351.2725072254361</c:v>
                </c:pt>
                <c:pt idx="549" formatCode="_(&quot;$&quot;* #,##0.00_);_(&quot;$&quot;* \(#,##0.00\);_(&quot;$&quot;* &quot;-&quot;??_);_(@_)">
                  <c:v>7203.2347596036907</c:v>
                </c:pt>
                <c:pt idx="550" formatCode="_(&quot;$&quot;* #,##0.00_);_(&quot;$&quot;* \(#,##0.00\);_(&quot;$&quot;* &quot;-&quot;??_);_(@_)">
                  <c:v>7210.4046978068045</c:v>
                </c:pt>
                <c:pt idx="551" formatCode="_(&quot;$&quot;* #,##0.00_);_(&quot;$&quot;* \(#,##0.00\);_(&quot;$&quot;* &quot;-&quot;??_);_(@_)">
                  <c:v>7385.2358171274473</c:v>
                </c:pt>
                <c:pt idx="552" formatCode="_(&quot;$&quot;* #,##0.00_);_(&quot;$&quot;* \(#,##0.00\);_(&quot;$&quot;* &quot;-&quot;??_);_(@_)">
                  <c:v>7373.7384811423444</c:v>
                </c:pt>
                <c:pt idx="553" formatCode="_(&quot;$&quot;* #,##0.00_);_(&quot;$&quot;* \(#,##0.00\);_(&quot;$&quot;* &quot;-&quot;??_);_(@_)">
                  <c:v>7535.2164859693121</c:v>
                </c:pt>
                <c:pt idx="554" formatCode="_(&quot;$&quot;* #,##0.00_);_(&quot;$&quot;* \(#,##0.00\);_(&quot;$&quot;* &quot;-&quot;??_);_(@_)">
                  <c:v>7468.9337945032639</c:v>
                </c:pt>
                <c:pt idx="555" formatCode="_(&quot;$&quot;* #,##0.00_);_(&quot;$&quot;* \(#,##0.00\);_(&quot;$&quot;* &quot;-&quot;??_);_(@_)">
                  <c:v>7543.5251011493838</c:v>
                </c:pt>
                <c:pt idx="556" formatCode="_(&quot;$&quot;* #,##0.00_);_(&quot;$&quot;* \(#,##0.00\);_(&quot;$&quot;* &quot;-&quot;??_);_(@_)">
                  <c:v>7364.162201915733</c:v>
                </c:pt>
                <c:pt idx="557" formatCode="_(&quot;$&quot;* #,##0.00_);_(&quot;$&quot;* \(#,##0.00\);_(&quot;$&quot;* &quot;-&quot;??_);_(@_)">
                  <c:v>7087.6652308923858</c:v>
                </c:pt>
                <c:pt idx="558" formatCode="_(&quot;$&quot;* #,##0.00_);_(&quot;$&quot;* \(#,##0.00\);_(&quot;$&quot;* &quot;-&quot;??_);_(@_)">
                  <c:v>7324.8878555785523</c:v>
                </c:pt>
                <c:pt idx="559" formatCode="_(&quot;$&quot;* #,##0.00_);_(&quot;$&quot;* \(#,##0.00\);_(&quot;$&quot;* &quot;-&quot;??_);_(@_)">
                  <c:v>7256.6152546422718</c:v>
                </c:pt>
                <c:pt idx="560" formatCode="_(&quot;$&quot;* #,##0.00_);_(&quot;$&quot;* \(#,##0.00\);_(&quot;$&quot;* &quot;-&quot;??_);_(@_)">
                  <c:v>7312.1811593665998</c:v>
                </c:pt>
                <c:pt idx="561" formatCode="_(&quot;$&quot;* #,##0.00_);_(&quot;$&quot;* \(#,##0.00\);_(&quot;$&quot;* &quot;-&quot;??_);_(@_)">
                  <c:v>7364.5101196033438</c:v>
                </c:pt>
                <c:pt idx="562" formatCode="_(&quot;$&quot;* #,##0.00_);_(&quot;$&quot;* \(#,##0.00\);_(&quot;$&quot;* &quot;-&quot;??_);_(@_)">
                  <c:v>7141.013971562189</c:v>
                </c:pt>
                <c:pt idx="563" formatCode="_(&quot;$&quot;* #,##0.00_);_(&quot;$&quot;* \(#,##0.00\);_(&quot;$&quot;* &quot;-&quot;??_);_(@_)">
                  <c:v>7157.5532842881757</c:v>
                </c:pt>
                <c:pt idx="564" formatCode="_(&quot;$&quot;* #,##0.00_);_(&quot;$&quot;* \(#,##0.00\);_(&quot;$&quot;* &quot;-&quot;??_);_(@_)">
                  <c:v>7068.3777030037909</c:v>
                </c:pt>
                <c:pt idx="565" formatCode="_(&quot;$&quot;* #,##0.00_);_(&quot;$&quot;* \(#,##0.00\);_(&quot;$&quot;* &quot;-&quot;??_);_(@_)">
                  <c:v>7000.2389262604056</c:v>
                </c:pt>
                <c:pt idx="566" formatCode="_(&quot;$&quot;* #,##0.00_);_(&quot;$&quot;* \(#,##0.00\);_(&quot;$&quot;* &quot;-&quot;??_);_(@_)">
                  <c:v>7475.8351092773564</c:v>
                </c:pt>
                <c:pt idx="567" formatCode="_(&quot;$&quot;* #,##0.00_);_(&quot;$&quot;* \(#,##0.00\);_(&quot;$&quot;* &quot;-&quot;??_);_(@_)">
                  <c:v>7178.8758311274096</c:v>
                </c:pt>
                <c:pt idx="568" formatCode="_(&quot;$&quot;* #,##0.00_);_(&quot;$&quot;* \(#,##0.00\);_(&quot;$&quot;* &quot;-&quot;??_);_(@_)">
                  <c:v>7162.894823018546</c:v>
                </c:pt>
                <c:pt idx="569" formatCode="_(&quot;$&quot;* #,##0.00_);_(&quot;$&quot;* \(#,##0.00\);_(&quot;$&quot;* &quot;-&quot;??_);_(@_)">
                  <c:v>7172.9271655724478</c:v>
                </c:pt>
                <c:pt idx="570" formatCode="_(&quot;$&quot;* #,##0.00_);_(&quot;$&quot;* \(#,##0.00\);_(&quot;$&quot;* &quot;-&quot;??_);_(@_)">
                  <c:v>7124.7860124189838</c:v>
                </c:pt>
                <c:pt idx="571" formatCode="_(&quot;$&quot;* #,##0.00_);_(&quot;$&quot;* \(#,##0.00\);_(&quot;$&quot;* &quot;-&quot;??_);_(@_)">
                  <c:v>7007.5425933743481</c:v>
                </c:pt>
                <c:pt idx="572" formatCode="_(&quot;$&quot;* #,##0.00_);_(&quot;$&quot;* \(#,##0.00\);_(&quot;$&quot;* &quot;-&quot;??_);_(@_)">
                  <c:v>7157.1955800825008</c:v>
                </c:pt>
                <c:pt idx="573" formatCode="_(&quot;$&quot;* #,##0.00_);_(&quot;$&quot;* \(#,##0.00\);_(&quot;$&quot;* &quot;-&quot;??_);_(@_)">
                  <c:v>7107.7994551911042</c:v>
                </c:pt>
                <c:pt idx="574" formatCode="_(&quot;$&quot;* #,##0.00_);_(&quot;$&quot;* \(#,##0.00\);_(&quot;$&quot;* &quot;-&quot;??_);_(@_)">
                  <c:v>7032.0731477063291</c:v>
                </c:pt>
                <c:pt idx="575" formatCode="_(&quot;$&quot;* #,##0.00_);_(&quot;$&quot;* \(#,##0.00\);_(&quot;$&quot;* &quot;-&quot;??_);_(@_)">
                  <c:v>6986.7784778034229</c:v>
                </c:pt>
                <c:pt idx="576" formatCode="_(&quot;$&quot;* #,##0.00_);_(&quot;$&quot;* \(#,##0.00\);_(&quot;$&quot;* &quot;-&quot;??_);_(@_)">
                  <c:v>7007.1397319845701</c:v>
                </c:pt>
                <c:pt idx="577" formatCode="_(&quot;$&quot;* #,##0.00_);_(&quot;$&quot;* \(#,##0.00\);_(&quot;$&quot;* &quot;-&quot;??_);_(@_)">
                  <c:v>6990.0709797327863</c:v>
                </c:pt>
                <c:pt idx="578" formatCode="_(&quot;$&quot;* #,##0.00_);_(&quot;$&quot;* \(#,##0.00\);_(&quot;$&quot;* &quot;-&quot;??_);_(@_)">
                  <c:v>6932.3146565694387</c:v>
                </c:pt>
                <c:pt idx="579" formatCode="_(&quot;$&quot;* #,##0.00_);_(&quot;$&quot;* \(#,##0.00\);_(&quot;$&quot;* &quot;-&quot;??_);_(@_)">
                  <c:v>7040.8333760485466</c:v>
                </c:pt>
                <c:pt idx="580" formatCode="_(&quot;$&quot;* #,##0.00_);_(&quot;$&quot;* \(#,##0.00\);_(&quot;$&quot;* &quot;-&quot;??_);_(@_)">
                  <c:v>7050.8714028798504</c:v>
                </c:pt>
                <c:pt idx="581" formatCode="_(&quot;$&quot;* #,##0.00_);_(&quot;$&quot;* \(#,##0.00\);_(&quot;$&quot;* &quot;-&quot;??_);_(@_)">
                  <c:v>6970.2566149863615</c:v>
                </c:pt>
                <c:pt idx="582" formatCode="_(&quot;$&quot;* #,##0.00_);_(&quot;$&quot;* \(#,##0.00\);_(&quot;$&quot;* &quot;-&quot;??_);_(@_)">
                  <c:v>7102.0475067713796</c:v>
                </c:pt>
                <c:pt idx="583" formatCode="_(&quot;$&quot;* #,##0.00_);_(&quot;$&quot;* \(#,##0.00\);_(&quot;$&quot;* &quot;-&quot;??_);_(@_)">
                  <c:v>7201.3258463980819</c:v>
                </c:pt>
                <c:pt idx="584" formatCode="_(&quot;$&quot;* #,##0.00_);_(&quot;$&quot;* \(#,##0.00\);_(&quot;$&quot;* &quot;-&quot;??_);_(@_)">
                  <c:v>7398.2564322465923</c:v>
                </c:pt>
                <c:pt idx="585" formatCode="_(&quot;$&quot;* #,##0.00_);_(&quot;$&quot;* \(#,##0.00\);_(&quot;$&quot;* &quot;-&quot;??_);_(@_)">
                  <c:v>7297.5890348383018</c:v>
                </c:pt>
                <c:pt idx="586" formatCode="_(&quot;$&quot;* #,##0.00_);_(&quot;$&quot;* \(#,##0.00\);_(&quot;$&quot;* &quot;-&quot;??_);_(@_)">
                  <c:v>7385.8044444352226</c:v>
                </c:pt>
                <c:pt idx="587" formatCode="_(&quot;$&quot;* #,##0.00_);_(&quot;$&quot;* \(#,##0.00\);_(&quot;$&quot;* &quot;-&quot;??_);_(@_)">
                  <c:v>7360.8040095946199</c:v>
                </c:pt>
                <c:pt idx="588" formatCode="_(&quot;$&quot;* #,##0.00_);_(&quot;$&quot;* \(#,##0.00\);_(&quot;$&quot;* &quot;-&quot;??_);_(@_)">
                  <c:v>7527.4431414526935</c:v>
                </c:pt>
                <c:pt idx="589" formatCode="_(&quot;$&quot;* #,##0.00_);_(&quot;$&quot;* \(#,##0.00\);_(&quot;$&quot;* &quot;-&quot;??_);_(@_)">
                  <c:v>7597.7137193958015</c:v>
                </c:pt>
                <c:pt idx="590" formatCode="_(&quot;$&quot;* #,##0.00_);_(&quot;$&quot;* \(#,##0.00\);_(&quot;$&quot;* &quot;-&quot;??_);_(@_)">
                  <c:v>7768.9453504157218</c:v>
                </c:pt>
                <c:pt idx="591" formatCode="_(&quot;$&quot;* #,##0.00_);_(&quot;$&quot;* \(#,##0.00\);_(&quot;$&quot;* &quot;-&quot;??_);_(@_)">
                  <c:v>7456.55541993722</c:v>
                </c:pt>
                <c:pt idx="592" formatCode="_(&quot;$&quot;* #,##0.00_);_(&quot;$&quot;* \(#,##0.00\);_(&quot;$&quot;* &quot;-&quot;??_);_(@_)">
                  <c:v>7770.717116447061</c:v>
                </c:pt>
                <c:pt idx="593" formatCode="_(&quot;$&quot;* #,##0.00_);_(&quot;$&quot;* \(#,##0.00\);_(&quot;$&quot;* &quot;-&quot;??_);_(@_)">
                  <c:v>7770.717116447061</c:v>
                </c:pt>
                <c:pt idx="594" formatCode="_(&quot;$&quot;* #,##0.00_);_(&quot;$&quot;* \(#,##0.00\);_(&quot;$&quot;* &quot;-&quot;??_);_(@_)">
                  <c:v>7543.7915940781186</c:v>
                </c:pt>
                <c:pt idx="595" formatCode="_(&quot;$&quot;* #,##0.00_);_(&quot;$&quot;* \(#,##0.00\);_(&quot;$&quot;* &quot;-&quot;??_);_(@_)">
                  <c:v>7636.0340816953658</c:v>
                </c:pt>
                <c:pt idx="596" formatCode="_(&quot;$&quot;* #,##0.00_);_(&quot;$&quot;* \(#,##0.00\);_(&quot;$&quot;* &quot;-&quot;??_);_(@_)">
                  <c:v>7732.3297639225993</c:v>
                </c:pt>
                <c:pt idx="597" formatCode="_(&quot;$&quot;* #,##0.00_);_(&quot;$&quot;* \(#,##0.00\);_(&quot;$&quot;* &quot;-&quot;??_);_(@_)">
                  <c:v>7850.0761404905516</c:v>
                </c:pt>
                <c:pt idx="598" formatCode="_(&quot;$&quot;* #,##0.00_);_(&quot;$&quot;* \(#,##0.00\);_(&quot;$&quot;* &quot;-&quot;??_);_(@_)">
                  <c:v>7993.4758233176544</c:v>
                </c:pt>
                <c:pt idx="599" formatCode="_(&quot;$&quot;* #,##0.00_);_(&quot;$&quot;* \(#,##0.00\);_(&quot;$&quot;* &quot;-&quot;??_);_(@_)">
                  <c:v>8178.8302055865279</c:v>
                </c:pt>
                <c:pt idx="600" formatCode="_(&quot;$&quot;* #,##0.00_);_(&quot;$&quot;* \(#,##0.00\);_(&quot;$&quot;* &quot;-&quot;??_);_(@_)">
                  <c:v>8193.908488180743</c:v>
                </c:pt>
                <c:pt idx="601" formatCode="_(&quot;$&quot;* #,##0.00_);_(&quot;$&quot;* \(#,##0.00\);_(&quot;$&quot;* &quot;-&quot;??_);_(@_)">
                  <c:v>8203.2348481731351</c:v>
                </c:pt>
                <c:pt idx="602" formatCode="_(&quot;$&quot;* #,##0.00_);_(&quot;$&quot;* \(#,##0.00\);_(&quot;$&quot;* &quot;-&quot;??_);_(@_)">
                  <c:v>8311.7620462105606</c:v>
                </c:pt>
                <c:pt idx="603" formatCode="_(&quot;$&quot;* #,##0.00_);_(&quot;$&quot;* \(#,##0.00\);_(&quot;$&quot;* &quot;-&quot;??_);_(@_)">
                  <c:v>8473.7896468435902</c:v>
                </c:pt>
                <c:pt idx="604" formatCode="_(&quot;$&quot;* #,##0.00_);_(&quot;$&quot;* \(#,##0.00\);_(&quot;$&quot;* &quot;-&quot;??_);_(@_)">
                  <c:v>8570.9488333339268</c:v>
                </c:pt>
                <c:pt idx="605" formatCode="_(&quot;$&quot;* #,##0.00_);_(&quot;$&quot;* \(#,##0.00\);_(&quot;$&quot;* &quot;-&quot;??_);_(@_)">
                  <c:v>8579.8018366163469</c:v>
                </c:pt>
                <c:pt idx="606" formatCode="_(&quot;$&quot;* #,##0.00_);_(&quot;$&quot;* \(#,##0.00\);_(&quot;$&quot;* &quot;-&quot;??_);_(@_)">
                  <c:v>8943.6816217570795</c:v>
                </c:pt>
                <c:pt idx="607" formatCode="_(&quot;$&quot;* #,##0.00_);_(&quot;$&quot;* \(#,##0.00\);_(&quot;$&quot;* &quot;-&quot;??_);_(@_)">
                  <c:v>8864.1151404015272</c:v>
                </c:pt>
                <c:pt idx="608" formatCode="_(&quot;$&quot;* #,##0.00_);_(&quot;$&quot;* \(#,##0.00\);_(&quot;$&quot;* &quot;-&quot;??_);_(@_)">
                  <c:v>8753.9537230065598</c:v>
                </c:pt>
                <c:pt idx="609" formatCode="_(&quot;$&quot;* #,##0.00_);_(&quot;$&quot;* \(#,##0.00\);_(&quot;$&quot;* &quot;-&quot;??_);_(@_)">
                  <c:v>8755.0122225670711</c:v>
                </c:pt>
                <c:pt idx="610" formatCode="_(&quot;$&quot;* #,##0.00_);_(&quot;$&quot;* \(#,##0.00\);_(&quot;$&quot;* &quot;-&quot;??_);_(@_)">
                  <c:v>8725.8709982432756</c:v>
                </c:pt>
                <c:pt idx="611" formatCode="_(&quot;$&quot;* #,##0.00_);_(&quot;$&quot;* \(#,##0.00\);_(&quot;$&quot;* &quot;-&quot;??_);_(@_)">
                  <c:v>8845.840263032962</c:v>
                </c:pt>
                <c:pt idx="612" formatCode="_(&quot;$&quot;* #,##0.00_);_(&quot;$&quot;* \(#,##0.00\);_(&quot;$&quot;* &quot;-&quot;??_);_(@_)">
                  <c:v>8612.4446775758643</c:v>
                </c:pt>
                <c:pt idx="613" formatCode="_(&quot;$&quot;* #,##0.00_);_(&quot;$&quot;* \(#,##0.00\);_(&quot;$&quot;* &quot;-&quot;??_);_(@_)">
                  <c:v>8650.0954130523151</c:v>
                </c:pt>
                <c:pt idx="614" formatCode="_(&quot;$&quot;* #,##0.00_);_(&quot;$&quot;* \(#,##0.00\);_(&quot;$&quot;* &quot;-&quot;??_);_(@_)">
                  <c:v>8808.9031794187376</c:v>
                </c:pt>
                <c:pt idx="615" formatCode="_(&quot;$&quot;* #,##0.00_);_(&quot;$&quot;* \(#,##0.00\);_(&quot;$&quot;* &quot;-&quot;??_);_(@_)">
                  <c:v>8953.3383612027046</c:v>
                </c:pt>
                <c:pt idx="616" formatCode="_(&quot;$&quot;* #,##0.00_);_(&quot;$&quot;* \(#,##0.00\);_(&quot;$&quot;* &quot;-&quot;??_);_(@_)">
                  <c:v>8976.4145263432256</c:v>
                </c:pt>
                <c:pt idx="617" formatCode="_(&quot;$&quot;* #,##0.00_);_(&quot;$&quot;* \(#,##0.00\);_(&quot;$&quot;* &quot;-&quot;??_);_(@_)">
                  <c:v>9179.3192748122601</c:v>
                </c:pt>
                <c:pt idx="618" formatCode="_(&quot;$&quot;* #,##0.00_);_(&quot;$&quot;* \(#,##0.00\);_(&quot;$&quot;* &quot;-&quot;??_);_(@_)">
                  <c:v>9058.8759522363762</c:v>
                </c:pt>
                <c:pt idx="619" formatCode="_(&quot;$&quot;* #,##0.00_);_(&quot;$&quot;* \(#,##0.00\);_(&quot;$&quot;* &quot;-&quot;??_);_(@_)">
                  <c:v>9120.7150006152406</c:v>
                </c:pt>
                <c:pt idx="620" formatCode="_(&quot;$&quot;* #,##0.00_);_(&quot;$&quot;* \(#,##0.00\);_(&quot;$&quot;* &quot;-&quot;??_);_(@_)">
                  <c:v>9325.2493236838709</c:v>
                </c:pt>
                <c:pt idx="621" formatCode="_(&quot;$&quot;* #,##0.00_);_(&quot;$&quot;* \(#,##0.00\);_(&quot;$&quot;* &quot;-&quot;??_);_(@_)">
                  <c:v>9305.7918968841313</c:v>
                </c:pt>
                <c:pt idx="622" formatCode="_(&quot;$&quot;* #,##0.00_);_(&quot;$&quot;* \(#,##0.00\);_(&quot;$&quot;* &quot;-&quot;??_);_(@_)">
                  <c:v>9260.2838010608939</c:v>
                </c:pt>
                <c:pt idx="623" formatCode="_(&quot;$&quot;* #,##0.00_);_(&quot;$&quot;* \(#,##0.00\);_(&quot;$&quot;* &quot;-&quot;??_);_(@_)">
                  <c:v>9261.7984328334915</c:v>
                </c:pt>
                <c:pt idx="624" formatCode="_(&quot;$&quot;* #,##0.00_);_(&quot;$&quot;* \(#,##0.00\);_(&quot;$&quot;* &quot;-&quot;??_);_(@_)">
                  <c:v>9705.6455035244362</c:v>
                </c:pt>
                <c:pt idx="625" formatCode="_(&quot;$&quot;* #,##0.00_);_(&quot;$&quot;* \(#,##0.00\);_(&quot;$&quot;* &quot;-&quot;??_);_(@_)">
                  <c:v>9566.916657267453</c:v>
                </c:pt>
                <c:pt idx="626" formatCode="_(&quot;$&quot;* #,##0.00_);_(&quot;$&quot;* \(#,##0.00\);_(&quot;$&quot;* &quot;-&quot;??_);_(@_)">
                  <c:v>9812.4792160510842</c:v>
                </c:pt>
                <c:pt idx="627" formatCode="_(&quot;$&quot;* #,##0.00_);_(&quot;$&quot;* \(#,##0.00\);_(&quot;$&quot;* &quot;-&quot;??_);_(@_)">
                  <c:v>9898.4874575515933</c:v>
                </c:pt>
                <c:pt idx="628" formatCode="_(&quot;$&quot;* #,##0.00_);_(&quot;$&quot;* \(#,##0.00\);_(&quot;$&quot;* &quot;-&quot;??_);_(@_)">
                  <c:v>9978.7436088706418</c:v>
                </c:pt>
                <c:pt idx="629" formatCode="_(&quot;$&quot;* #,##0.00_);_(&quot;$&quot;* \(#,##0.00\);_(&quot;$&quot;* &quot;-&quot;??_);_(@_)">
                  <c:v>9875.3490012342627</c:v>
                </c:pt>
                <c:pt idx="630" formatCode="_(&quot;$&quot;* #,##0.00_);_(&quot;$&quot;* \(#,##0.00\);_(&quot;$&quot;* &quot;-&quot;??_);_(@_)">
                  <c:v>9818.5507180878267</c:v>
                </c:pt>
                <c:pt idx="631" formatCode="_(&quot;$&quot;* #,##0.00_);_(&quot;$&quot;* \(#,##0.00\);_(&quot;$&quot;* &quot;-&quot;??_);_(@_)">
                  <c:v>9906.8223915454564</c:v>
                </c:pt>
                <c:pt idx="632" formatCode="_(&quot;$&quot;* #,##0.00_);_(&quot;$&quot;* \(#,##0.00\);_(&quot;$&quot;* &quot;-&quot;??_);_(@_)">
                  <c:v>9886.0578683729764</c:v>
                </c:pt>
                <c:pt idx="633" formatCode="_(&quot;$&quot;* #,##0.00_);_(&quot;$&quot;* \(#,##0.00\);_(&quot;$&quot;* &quot;-&quot;??_);_(@_)">
                  <c:v>9973.8999287512434</c:v>
                </c:pt>
                <c:pt idx="634" formatCode="_(&quot;$&quot;* #,##0.00_);_(&quot;$&quot;* \(#,##0.00\);_(&quot;$&quot;* &quot;-&quot;??_);_(@_)">
                  <c:v>9961.6311926537219</c:v>
                </c:pt>
                <c:pt idx="635" formatCode="_(&quot;$&quot;* #,##0.00_);_(&quot;$&quot;* \(#,##0.00\);_(&quot;$&quot;* &quot;-&quot;??_);_(@_)">
                  <c:v>10008.223231032402</c:v>
                </c:pt>
                <c:pt idx="636" formatCode="_(&quot;$&quot;* #,##0.00_);_(&quot;$&quot;* \(#,##0.00\);_(&quot;$&quot;* &quot;-&quot;??_);_(@_)">
                  <c:v>10031.929403174781</c:v>
                </c:pt>
                <c:pt idx="637" formatCode="_(&quot;$&quot;* #,##0.00_);_(&quot;$&quot;* \(#,##0.00\);_(&quot;$&quot;* &quot;-&quot;??_);_(@_)">
                  <c:v>10037.269641927509</c:v>
                </c:pt>
                <c:pt idx="638" formatCode="_(&quot;$&quot;* #,##0.00_);_(&quot;$&quot;* \(#,##0.00\);_(&quot;$&quot;* &quot;-&quot;??_);_(@_)">
                  <c:v>10092.910421041832</c:v>
                </c:pt>
                <c:pt idx="639" formatCode="_(&quot;$&quot;* #,##0.00_);_(&quot;$&quot;* \(#,##0.00\);_(&quot;$&quot;* &quot;-&quot;??_);_(@_)">
                  <c:v>10031.779032524326</c:v>
                </c:pt>
                <c:pt idx="640" formatCode="_(&quot;$&quot;* #,##0.00_);_(&quot;$&quot;* \(#,##0.00\);_(&quot;$&quot;* &quot;-&quot;??_);_(@_)">
                  <c:v>10096.877710470442</c:v>
                </c:pt>
                <c:pt idx="641" formatCode="_(&quot;$&quot;* #,##0.00_);_(&quot;$&quot;* \(#,##0.00\);_(&quot;$&quot;* &quot;-&quot;??_);_(@_)">
                  <c:v>10178.10478481831</c:v>
                </c:pt>
                <c:pt idx="642" formatCode="_(&quot;$&quot;* #,##0.00_);_(&quot;$&quot;* \(#,##0.00\);_(&quot;$&quot;* &quot;-&quot;??_);_(@_)">
                  <c:v>10121.063034134428</c:v>
                </c:pt>
                <c:pt idx="643" formatCode="_(&quot;$&quot;* #,##0.00_);_(&quot;$&quot;* \(#,##0.00\);_(&quot;$&quot;* &quot;-&quot;??_);_(@_)">
                  <c:v>10124.660504701729</c:v>
                </c:pt>
                <c:pt idx="644" formatCode="_(&quot;$&quot;* #,##0.00_);_(&quot;$&quot;* \(#,##0.00\);_(&quot;$&quot;* &quot;-&quot;??_);_(@_)">
                  <c:v>10206.204606727539</c:v>
                </c:pt>
                <c:pt idx="645" formatCode="_(&quot;$&quot;* #,##0.00_);_(&quot;$&quot;* \(#,##0.00\);_(&quot;$&quot;* &quot;-&quot;??_);_(@_)">
                  <c:v>10264.038662522249</c:v>
                </c:pt>
                <c:pt idx="646" formatCode="_(&quot;$&quot;* #,##0.00_);_(&quot;$&quot;* \(#,##0.00\);_(&quot;$&quot;* &quot;-&quot;??_);_(@_)">
                  <c:v>10307.667498405748</c:v>
                </c:pt>
                <c:pt idx="647" formatCode="_(&quot;$&quot;* #,##0.00_);_(&quot;$&quot;* \(#,##0.00\);_(&quot;$&quot;* &quot;-&quot;??_);_(@_)">
                  <c:v>10127.813073966809</c:v>
                </c:pt>
                <c:pt idx="648" formatCode="_(&quot;$&quot;* #,##0.00_);_(&quot;$&quot;* \(#,##0.00\);_(&quot;$&quot;* &quot;-&quot;??_);_(@_)">
                  <c:v>10041.893604001203</c:v>
                </c:pt>
                <c:pt idx="649" formatCode="_(&quot;$&quot;* #,##0.00_);_(&quot;$&quot;* \(#,##0.00\);_(&quot;$&quot;* &quot;-&quot;??_);_(@_)">
                  <c:v>10045.142014895553</c:v>
                </c:pt>
                <c:pt idx="650" formatCode="_(&quot;$&quot;* #,##0.00_);_(&quot;$&quot;* \(#,##0.00\);_(&quot;$&quot;* &quot;-&quot;??_);_(@_)">
                  <c:v>10121.409969643237</c:v>
                </c:pt>
                <c:pt idx="651" formatCode="_(&quot;$&quot;* #,##0.00_);_(&quot;$&quot;* \(#,##0.00\);_(&quot;$&quot;* &quot;-&quot;??_);_(@_)">
                  <c:v>10236.433080685134</c:v>
                </c:pt>
                <c:pt idx="652" formatCode="_(&quot;$&quot;* #,##0.00_);_(&quot;$&quot;* \(#,##0.00\);_(&quot;$&quot;* &quot;-&quot;??_);_(@_)">
                  <c:v>10167.569175963083</c:v>
                </c:pt>
                <c:pt idx="653" formatCode="_(&quot;$&quot;* #,##0.00_);_(&quot;$&quot;* \(#,##0.00\);_(&quot;$&quot;* &quot;-&quot;??_);_(@_)">
                  <c:v>10531.98367361161</c:v>
                </c:pt>
                <c:pt idx="654" formatCode="_(&quot;$&quot;* #,##0.00_);_(&quot;$&quot;* \(#,##0.00\);_(&quot;$&quot;* &quot;-&quot;??_);_(@_)">
                  <c:v>10613.337873095146</c:v>
                </c:pt>
                <c:pt idx="655" formatCode="_(&quot;$&quot;* #,##0.00_);_(&quot;$&quot;* \(#,##0.00\);_(&quot;$&quot;* &quot;-&quot;??_);_(@_)">
                  <c:v>10636.75777895075</c:v>
                </c:pt>
                <c:pt idx="656" formatCode="_(&quot;$&quot;* #,##0.00_);_(&quot;$&quot;* \(#,##0.00\);_(&quot;$&quot;* &quot;-&quot;??_);_(@_)">
                  <c:v>10671.79158166307</c:v>
                </c:pt>
                <c:pt idx="657" formatCode="_(&quot;$&quot;* #,##0.00_);_(&quot;$&quot;* \(#,##0.00\);_(&quot;$&quot;* &quot;-&quot;??_);_(@_)">
                  <c:v>10631.06985152181</c:v>
                </c:pt>
                <c:pt idx="658" formatCode="_(&quot;$&quot;* #,##0.00_);_(&quot;$&quot;* \(#,##0.00\);_(&quot;$&quot;* &quot;-&quot;??_);_(@_)">
                  <c:v>10603.564805868164</c:v>
                </c:pt>
                <c:pt idx="659" formatCode="_(&quot;$&quot;* #,##0.00_);_(&quot;$&quot;* \(#,##0.00\);_(&quot;$&quot;* &quot;-&quot;??_);_(@_)">
                  <c:v>10701.400722822398</c:v>
                </c:pt>
                <c:pt idx="660" formatCode="_(&quot;$&quot;* #,##0.00_);_(&quot;$&quot;* \(#,##0.00\);_(&quot;$&quot;* &quot;-&quot;??_);_(@_)">
                  <c:v>10549.864399698614</c:v>
                </c:pt>
                <c:pt idx="661" formatCode="_(&quot;$&quot;* #,##0.00_);_(&quot;$&quot;* \(#,##0.00\);_(&quot;$&quot;* &quot;-&quot;??_);_(@_)">
                  <c:v>10663.071946868429</c:v>
                </c:pt>
                <c:pt idx="662" formatCode="_(&quot;$&quot;* #,##0.00_);_(&quot;$&quot;* \(#,##0.00\);_(&quot;$&quot;* &quot;-&quot;??_);_(@_)">
                  <c:v>10690.179403572063</c:v>
                </c:pt>
                <c:pt idx="663" formatCode="_(&quot;$&quot;* #,##0.00_);_(&quot;$&quot;* \(#,##0.00\);_(&quot;$&quot;* &quot;-&quot;??_);_(@_)">
                  <c:v>10594.203967821733</c:v>
                </c:pt>
                <c:pt idx="664" formatCode="_(&quot;$&quot;* #,##0.00_);_(&quot;$&quot;* \(#,##0.00\);_(&quot;$&quot;* &quot;-&quot;??_);_(@_)">
                  <c:v>10649.534442122353</c:v>
                </c:pt>
                <c:pt idx="665" formatCode="_(&quot;$&quot;* #,##0.00_);_(&quot;$&quot;* \(#,##0.00\);_(&quot;$&quot;* &quot;-&quot;??_);_(@_)">
                  <c:v>10516.691627644554</c:v>
                </c:pt>
                <c:pt idx="666" formatCode="_(&quot;$&quot;* #,##0.00_);_(&quot;$&quot;* \(#,##0.00\);_(&quot;$&quot;* &quot;-&quot;??_);_(@_)">
                  <c:v>10598.459140910925</c:v>
                </c:pt>
                <c:pt idx="667" formatCode="_(&quot;$&quot;* #,##0.00_);_(&quot;$&quot;* \(#,##0.00\);_(&quot;$&quot;* &quot;-&quot;??_);_(@_)">
                  <c:v>10545.153560635661</c:v>
                </c:pt>
                <c:pt idx="668" formatCode="_(&quot;$&quot;* #,##0.00_);_(&quot;$&quot;* \(#,##0.00\);_(&quot;$&quot;* &quot;-&quot;??_);_(@_)">
                  <c:v>10535.74890968926</c:v>
                </c:pt>
                <c:pt idx="669" formatCode="_(&quot;$&quot;* #,##0.00_);_(&quot;$&quot;* \(#,##0.00\);_(&quot;$&quot;* &quot;-&quot;??_);_(@_)">
                  <c:v>10492.540680883727</c:v>
                </c:pt>
                <c:pt idx="670" formatCode="_(&quot;$&quot;* #,##0.00_);_(&quot;$&quot;* \(#,##0.00\);_(&quot;$&quot;* &quot;-&quot;??_);_(@_)">
                  <c:v>10564.927888844262</c:v>
                </c:pt>
                <c:pt idx="671" formatCode="_(&quot;$&quot;* #,##0.00_);_(&quot;$&quot;* \(#,##0.00\);_(&quot;$&quot;* &quot;-&quot;??_);_(@_)">
                  <c:v>10432.758472841188</c:v>
                </c:pt>
                <c:pt idx="672" formatCode="_(&quot;$&quot;* #,##0.00_);_(&quot;$&quot;* \(#,##0.00\);_(&quot;$&quot;* &quot;-&quot;??_);_(@_)">
                  <c:v>10505.66075314187</c:v>
                </c:pt>
                <c:pt idx="673" formatCode="_(&quot;$&quot;* #,##0.00_);_(&quot;$&quot;* \(#,##0.00\);_(&quot;$&quot;* &quot;-&quot;??_);_(@_)">
                  <c:v>10607.302628643023</c:v>
                </c:pt>
                <c:pt idx="674" formatCode="_(&quot;$&quot;* #,##0.00_);_(&quot;$&quot;* \(#,##0.00\);_(&quot;$&quot;* &quot;-&quot;??_);_(@_)">
                  <c:v>10608.265749240341</c:v>
                </c:pt>
                <c:pt idx="675" formatCode="_(&quot;$&quot;* #,##0.00_);_(&quot;$&quot;* \(#,##0.00\);_(&quot;$&quot;* &quot;-&quot;??_);_(@_)">
                  <c:v>10672.914918593224</c:v>
                </c:pt>
                <c:pt idx="676" formatCode="_(&quot;$&quot;* #,##0.00_);_(&quot;$&quot;* \(#,##0.00\);_(&quot;$&quot;* &quot;-&quot;??_);_(@_)">
                  <c:v>10727.914408664177</c:v>
                </c:pt>
                <c:pt idx="677" formatCode="_(&quot;$&quot;* #,##0.00_);_(&quot;$&quot;* \(#,##0.00\);_(&quot;$&quot;* &quot;-&quot;??_);_(@_)">
                  <c:v>10598.632433769373</c:v>
                </c:pt>
                <c:pt idx="678" formatCode="_(&quot;$&quot;* #,##0.00_);_(&quot;$&quot;* \(#,##0.00\);_(&quot;$&quot;* &quot;-&quot;??_);_(@_)">
                  <c:v>10673.393902858377</c:v>
                </c:pt>
                <c:pt idx="679" formatCode="_(&quot;$&quot;* #,##0.00_);_(&quot;$&quot;* \(#,##0.00\);_(&quot;$&quot;* &quot;-&quot;??_);_(@_)">
                  <c:v>10636.001345360677</c:v>
                </c:pt>
                <c:pt idx="680" formatCode="_(&quot;$&quot;* #,##0.00_);_(&quot;$&quot;* \(#,##0.00\);_(&quot;$&quot;* &quot;-&quot;??_);_(@_)">
                  <c:v>10587.328630788132</c:v>
                </c:pt>
                <c:pt idx="681" formatCode="_(&quot;$&quot;* #,##0.00_);_(&quot;$&quot;* \(#,##0.00\);_(&quot;$&quot;* &quot;-&quot;??_);_(@_)">
                  <c:v>10638.155079563254</c:v>
                </c:pt>
                <c:pt idx="682" formatCode="_(&quot;$&quot;* #,##0.00_);_(&quot;$&quot;* \(#,##0.00\);_(&quot;$&quot;* &quot;-&quot;??_);_(@_)">
                  <c:v>10688.250822636854</c:v>
                </c:pt>
                <c:pt idx="683" formatCode="_(&quot;$&quot;* #,##0.00_);_(&quot;$&quot;* \(#,##0.00\);_(&quot;$&quot;* &quot;-&quot;??_);_(@_)">
                  <c:v>10612.717777874186</c:v>
                </c:pt>
                <c:pt idx="684" formatCode="_(&quot;$&quot;* #,##0.00_);_(&quot;$&quot;* \(#,##0.00\);_(&quot;$&quot;* &quot;-&quot;??_);_(@_)">
                  <c:v>10627.417411997934</c:v>
                </c:pt>
                <c:pt idx="685" formatCode="_(&quot;$&quot;* #,##0.00_);_(&quot;$&quot;* \(#,##0.00\);_(&quot;$&quot;* &quot;-&quot;??_);_(@_)">
                  <c:v>10914.370440851142</c:v>
                </c:pt>
                <c:pt idx="686" formatCode="_(&quot;$&quot;* #,##0.00_);_(&quot;$&quot;* \(#,##0.00\);_(&quot;$&quot;* &quot;-&quot;??_);_(@_)">
                  <c:v>10885.793894281353</c:v>
                </c:pt>
                <c:pt idx="687" formatCode="_(&quot;$&quot;* #,##0.00_);_(&quot;$&quot;* \(#,##0.00\);_(&quot;$&quot;* &quot;-&quot;??_);_(@_)">
                  <c:v>10680.174015096782</c:v>
                </c:pt>
                <c:pt idx="688" formatCode="_(&quot;$&quot;* #,##0.00_);_(&quot;$&quot;* \(#,##0.00\);_(&quot;$&quot;* &quot;-&quot;??_);_(@_)">
                  <c:v>10669.489368022363</c:v>
                </c:pt>
                <c:pt idx="689" formatCode="_(&quot;$&quot;* #,##0.00_);_(&quot;$&quot;* \(#,##0.00\);_(&quot;$&quot;* &quot;-&quot;??_);_(@_)">
                  <c:v>10476.792079870995</c:v>
                </c:pt>
                <c:pt idx="690" formatCode="_(&quot;$&quot;* #,##0.00_);_(&quot;$&quot;* \(#,##0.00\);_(&quot;$&quot;* &quot;-&quot;??_);_(@_)">
                  <c:v>10690.298118296674</c:v>
                </c:pt>
                <c:pt idx="691" formatCode="_(&quot;$&quot;* #,##0.00_);_(&quot;$&quot;* \(#,##0.00\);_(&quot;$&quot;* &quot;-&quot;??_);_(@_)">
                  <c:v>10845.934398418618</c:v>
                </c:pt>
                <c:pt idx="692" formatCode="_(&quot;$&quot;* #,##0.00_);_(&quot;$&quot;* \(#,##0.00\);_(&quot;$&quot;* &quot;-&quot;??_);_(@_)">
                  <c:v>10465.339177270147</c:v>
                </c:pt>
                <c:pt idx="693" formatCode="_(&quot;$&quot;* #,##0.00_);_(&quot;$&quot;* \(#,##0.00\);_(&quot;$&quot;* &quot;-&quot;??_);_(@_)">
                  <c:v>10620.051998113297</c:v>
                </c:pt>
                <c:pt idx="694" formatCode="_(&quot;$&quot;* #,##0.00_);_(&quot;$&quot;* \(#,##0.00\);_(&quot;$&quot;* &quot;-&quot;??_);_(@_)">
                  <c:v>10566.123851417846</c:v>
                </c:pt>
                <c:pt idx="695" formatCode="_(&quot;$&quot;* #,##0.00_);_(&quot;$&quot;* \(#,##0.00\);_(&quot;$&quot;* &quot;-&quot;??_);_(@_)">
                  <c:v>10406.951942452883</c:v>
                </c:pt>
                <c:pt idx="696" formatCode="_(&quot;$&quot;* #,##0.00_);_(&quot;$&quot;* \(#,##0.00\);_(&quot;$&quot;* &quot;-&quot;??_);_(@_)">
                  <c:v>10532.892848641199</c:v>
                </c:pt>
                <c:pt idx="697" formatCode="_(&quot;$&quot;* #,##0.00_);_(&quot;$&quot;* \(#,##0.00\);_(&quot;$&quot;* &quot;-&quot;??_);_(@_)">
                  <c:v>10484.050896616554</c:v>
                </c:pt>
                <c:pt idx="698" formatCode="_(&quot;$&quot;* #,##0.00_);_(&quot;$&quot;* \(#,##0.00\);_(&quot;$&quot;* &quot;-&quot;??_);_(@_)">
                  <c:v>10592.093222440133</c:v>
                </c:pt>
                <c:pt idx="699" formatCode="_(&quot;$&quot;* #,##0.00_);_(&quot;$&quot;* \(#,##0.00\);_(&quot;$&quot;* &quot;-&quot;??_);_(@_)">
                  <c:v>10437.325718369646</c:v>
                </c:pt>
                <c:pt idx="700" formatCode="_(&quot;$&quot;* #,##0.00_);_(&quot;$&quot;* \(#,##0.00\);_(&quot;$&quot;* &quot;-&quot;??_);_(@_)">
                  <c:v>10514.115668507622</c:v>
                </c:pt>
                <c:pt idx="701" formatCode="_(&quot;$&quot;* #,##0.00_);_(&quot;$&quot;* \(#,##0.00\);_(&quot;$&quot;* &quot;-&quot;??_);_(@_)">
                  <c:v>10530.398988681802</c:v>
                </c:pt>
                <c:pt idx="702" formatCode="_(&quot;$&quot;* #,##0.00_);_(&quot;$&quot;* \(#,##0.00\);_(&quot;$&quot;* &quot;-&quot;??_);_(@_)">
                  <c:v>10508.670258442351</c:v>
                </c:pt>
                <c:pt idx="703" formatCode="_(&quot;$&quot;* #,##0.00_);_(&quot;$&quot;* \(#,##0.00\);_(&quot;$&quot;* &quot;-&quot;??_);_(@_)">
                  <c:v>10389.605742485448</c:v>
                </c:pt>
                <c:pt idx="704" formatCode="_(&quot;$&quot;* #,##0.00_);_(&quot;$&quot;* \(#,##0.00\);_(&quot;$&quot;* &quot;-&quot;??_);_(@_)">
                  <c:v>10488.848353196041</c:v>
                </c:pt>
                <c:pt idx="705" formatCode="_(&quot;$&quot;* #,##0.00_);_(&quot;$&quot;* \(#,##0.00\);_(&quot;$&quot;* &quot;-&quot;??_);_(@_)">
                  <c:v>10717.745044189995</c:v>
                </c:pt>
                <c:pt idx="706" formatCode="_(&quot;$&quot;* #,##0.00_);_(&quot;$&quot;* \(#,##0.00\);_(&quot;$&quot;* &quot;-&quot;??_);_(@_)">
                  <c:v>10570.109504463715</c:v>
                </c:pt>
                <c:pt idx="707" formatCode="_(&quot;$&quot;* #,##0.00_);_(&quot;$&quot;* \(#,##0.00\);_(&quot;$&quot;* &quot;-&quot;??_);_(@_)">
                  <c:v>10529.093928772032</c:v>
                </c:pt>
                <c:pt idx="708" formatCode="_(&quot;$&quot;* #,##0.00_);_(&quot;$&quot;* \(#,##0.00\);_(&quot;$&quot;* &quot;-&quot;??_);_(@_)">
                  <c:v>10694.168369549488</c:v>
                </c:pt>
                <c:pt idx="709" formatCode="_(&quot;$&quot;* #,##0.00_);_(&quot;$&quot;* \(#,##0.00\);_(&quot;$&quot;* &quot;-&quot;??_);_(@_)">
                  <c:v>10499.014230752471</c:v>
                </c:pt>
                <c:pt idx="710" formatCode="_(&quot;$&quot;* #,##0.00_);_(&quot;$&quot;* \(#,##0.00\);_(&quot;$&quot;* &quot;-&quot;??_);_(@_)">
                  <c:v>10734.885025357511</c:v>
                </c:pt>
                <c:pt idx="711" formatCode="_(&quot;$&quot;* #,##0.00_);_(&quot;$&quot;* \(#,##0.00\);_(&quot;$&quot;* &quot;-&quot;??_);_(@_)">
                  <c:v>10618.013787053374</c:v>
                </c:pt>
                <c:pt idx="712" formatCode="_(&quot;$&quot;* #,##0.00_);_(&quot;$&quot;* \(#,##0.00\);_(&quot;$&quot;* &quot;-&quot;??_);_(@_)">
                  <c:v>10887.219929578965</c:v>
                </c:pt>
                <c:pt idx="713" formatCode="_(&quot;$&quot;* #,##0.00_);_(&quot;$&quot;* \(#,##0.00\);_(&quot;$&quot;* &quot;-&quot;??_);_(@_)">
                  <c:v>10842.276947670811</c:v>
                </c:pt>
                <c:pt idx="714" formatCode="_(&quot;$&quot;* #,##0.00_);_(&quot;$&quot;* \(#,##0.00\);_(&quot;$&quot;* &quot;-&quot;??_);_(@_)">
                  <c:v>11120.441064499744</c:v>
                </c:pt>
                <c:pt idx="715" formatCode="_(&quot;$&quot;* #,##0.00_);_(&quot;$&quot;* \(#,##0.00\);_(&quot;$&quot;* &quot;-&quot;??_);_(@_)">
                  <c:v>11240.438747426038</c:v>
                </c:pt>
                <c:pt idx="716" formatCode="_(&quot;$&quot;* #,##0.00_);_(&quot;$&quot;* \(#,##0.00\);_(&quot;$&quot;* &quot;-&quot;??_);_(@_)">
                  <c:v>11235.082781993502</c:v>
                </c:pt>
                <c:pt idx="717" formatCode="_(&quot;$&quot;* #,##0.00_);_(&quot;$&quot;* \(#,##0.00\);_(&quot;$&quot;* &quot;-&quot;??_);_(@_)">
                  <c:v>11254.034268264208</c:v>
                </c:pt>
                <c:pt idx="718" formatCode="_(&quot;$&quot;* #,##0.00_);_(&quot;$&quot;* \(#,##0.00\);_(&quot;$&quot;* &quot;-&quot;??_);_(@_)">
                  <c:v>11535.113101853683</c:v>
                </c:pt>
                <c:pt idx="719" formatCode="_(&quot;$&quot;* #,##0.00_);_(&quot;$&quot;* \(#,##0.00\);_(&quot;$&quot;* &quot;-&quot;??_);_(@_)">
                  <c:v>11349.803716238805</c:v>
                </c:pt>
                <c:pt idx="720" formatCode="_(&quot;$&quot;* #,##0.00_);_(&quot;$&quot;* \(#,##0.00\);_(&quot;$&quot;* &quot;-&quot;??_);_(@_)">
                  <c:v>11342.842619246965</c:v>
                </c:pt>
                <c:pt idx="721" formatCode="_(&quot;$&quot;* #,##0.00_);_(&quot;$&quot;* \(#,##0.00\);_(&quot;$&quot;* &quot;-&quot;??_);_(@_)">
                  <c:v>11414.011986165775</c:v>
                </c:pt>
                <c:pt idx="722" formatCode="_(&quot;$&quot;* #,##0.00_);_(&quot;$&quot;* \(#,##0.00\);_(&quot;$&quot;* &quot;-&quot;??_);_(@_)">
                  <c:v>11383.766143921992</c:v>
                </c:pt>
                <c:pt idx="723" formatCode="_(&quot;$&quot;* #,##0.00_);_(&quot;$&quot;* \(#,##0.00\);_(&quot;$&quot;* &quot;-&quot;??_);_(@_)">
                  <c:v>11439.807249331187</c:v>
                </c:pt>
                <c:pt idx="724" formatCode="_(&quot;$&quot;* #,##0.00_);_(&quot;$&quot;* \(#,##0.00\);_(&quot;$&quot;* &quot;-&quot;??_);_(@_)">
                  <c:v>11444.424615566242</c:v>
                </c:pt>
                <c:pt idx="725" formatCode="_(&quot;$&quot;* #,##0.00_);_(&quot;$&quot;* \(#,##0.00\);_(&quot;$&quot;* &quot;-&quot;??_);_(@_)">
                  <c:v>11501.136185346828</c:v>
                </c:pt>
                <c:pt idx="726" formatCode="_(&quot;$&quot;* #,##0.00_);_(&quot;$&quot;* \(#,##0.00\);_(&quot;$&quot;* &quot;-&quot;??_);_(@_)">
                  <c:v>11452.819117388695</c:v>
                </c:pt>
                <c:pt idx="727" formatCode="_(&quot;$&quot;* #,##0.00_);_(&quot;$&quot;* \(#,##0.00\);_(&quot;$&quot;* &quot;-&quot;??_);_(@_)">
                  <c:v>11612.315691897433</c:v>
                </c:pt>
                <c:pt idx="728" formatCode="_(&quot;$&quot;* #,##0.00_);_(&quot;$&quot;* \(#,##0.00\);_(&quot;$&quot;* &quot;-&quot;??_);_(@_)">
                  <c:v>11535.508943514498</c:v>
                </c:pt>
                <c:pt idx="729" formatCode="_(&quot;$&quot;* #,##0.00_);_(&quot;$&quot;* \(#,##0.00\);_(&quot;$&quot;* &quot;-&quot;??_);_(@_)">
                  <c:v>11618.920913904329</c:v>
                </c:pt>
                <c:pt idx="730" formatCode="_(&quot;$&quot;* #,##0.00_);_(&quot;$&quot;* \(#,##0.00\);_(&quot;$&quot;* &quot;-&quot;??_);_(@_)">
                  <c:v>11687.185066577971</c:v>
                </c:pt>
                <c:pt idx="731" formatCode="_(&quot;$&quot;* #,##0.00_);_(&quot;$&quot;* \(#,##0.00\);_(&quot;$&quot;* &quot;-&quot;??_);_(@_)">
                  <c:v>11762.303579922609</c:v>
                </c:pt>
                <c:pt idx="732" formatCode="_(&quot;$&quot;* #,##0.00_);_(&quot;$&quot;* \(#,##0.00\);_(&quot;$&quot;* &quot;-&quot;??_);_(@_)">
                  <c:v>11910.963410759379</c:v>
                </c:pt>
                <c:pt idx="733" formatCode="_(&quot;$&quot;* #,##0.00_);_(&quot;$&quot;* \(#,##0.00\);_(&quot;$&quot;* &quot;-&quot;??_);_(@_)">
                  <c:v>11738.455812716958</c:v>
                </c:pt>
                <c:pt idx="734" formatCode="_(&quot;$&quot;* #,##0.00_);_(&quot;$&quot;* \(#,##0.00\);_(&quot;$&quot;* &quot;-&quot;??_);_(@_)">
                  <c:v>11774.195663097535</c:v>
                </c:pt>
                <c:pt idx="735" formatCode="_(&quot;$&quot;* #,##0.00_);_(&quot;$&quot;* \(#,##0.00\);_(&quot;$&quot;* &quot;-&quot;??_);_(@_)">
                  <c:v>11804.817053669409</c:v>
                </c:pt>
                <c:pt idx="736" formatCode="_(&quot;$&quot;* #,##0.00_);_(&quot;$&quot;* \(#,##0.00\);_(&quot;$&quot;* &quot;-&quot;??_);_(@_)">
                  <c:v>11942.077735281382</c:v>
                </c:pt>
                <c:pt idx="737" formatCode="_(&quot;$&quot;* #,##0.00_);_(&quot;$&quot;* \(#,##0.00\);_(&quot;$&quot;* &quot;-&quot;??_);_(@_)">
                  <c:v>12146.03006456432</c:v>
                </c:pt>
                <c:pt idx="738" formatCode="_(&quot;$&quot;* #,##0.00_);_(&quot;$&quot;* \(#,##0.00\);_(&quot;$&quot;* &quot;-&quot;??_);_(@_)">
                  <c:v>12250.45736205476</c:v>
                </c:pt>
                <c:pt idx="739" formatCode="_(&quot;$&quot;* #,##0.00_);_(&quot;$&quot;* \(#,##0.00\);_(&quot;$&quot;* &quot;-&quot;??_);_(@_)">
                  <c:v>11871.595656039308</c:v>
                </c:pt>
                <c:pt idx="740" formatCode="_(&quot;$&quot;* #,##0.00_);_(&quot;$&quot;* \(#,##0.00\);_(&quot;$&quot;* &quot;-&quot;??_);_(@_)">
                  <c:v>11916.044074472</c:v>
                </c:pt>
                <c:pt idx="741" formatCode="_(&quot;$&quot;* #,##0.00_);_(&quot;$&quot;* \(#,##0.00\);_(&quot;$&quot;* &quot;-&quot;??_);_(@_)">
                  <c:v>12039.839271384746</c:v>
                </c:pt>
                <c:pt idx="742" formatCode="_(&quot;$&quot;* #,##0.00_);_(&quot;$&quot;* \(#,##0.00\);_(&quot;$&quot;* &quot;-&quot;??_);_(@_)">
                  <c:v>12237.848508854699</c:v>
                </c:pt>
                <c:pt idx="743" formatCode="_(&quot;$&quot;* #,##0.00_);_(&quot;$&quot;* \(#,##0.00\);_(&quot;$&quot;* &quot;-&quot;??_);_(@_)">
                  <c:v>12739.621602575371</c:v>
                </c:pt>
                <c:pt idx="744" formatCode="_(&quot;$&quot;* #,##0.00_);_(&quot;$&quot;* \(#,##0.00\);_(&quot;$&quot;* &quot;-&quot;??_);_(@_)">
                  <c:v>12299.284511501659</c:v>
                </c:pt>
                <c:pt idx="745" formatCode="_(&quot;$&quot;* #,##0.00_);_(&quot;$&quot;* \(#,##0.00\);_(&quot;$&quot;* &quot;-&quot;??_);_(@_)">
                  <c:v>12377.033922131084</c:v>
                </c:pt>
                <c:pt idx="746" formatCode="_(&quot;$&quot;* #,##0.00_);_(&quot;$&quot;* \(#,##0.00\);_(&quot;$&quot;* &quot;-&quot;??_);_(@_)">
                  <c:v>12586.758809758101</c:v>
                </c:pt>
                <c:pt idx="747" formatCode="_(&quot;$&quot;* #,##0.00_);_(&quot;$&quot;* \(#,##0.00\);_(&quot;$&quot;* &quot;-&quot;??_);_(@_)">
                  <c:v>12559.866378660407</c:v>
                </c:pt>
                <c:pt idx="748" formatCode="_(&quot;$&quot;* #,##0.00_);_(&quot;$&quot;* \(#,##0.00\);_(&quot;$&quot;* &quot;-&quot;??_);_(@_)">
                  <c:v>12338.738271536595</c:v>
                </c:pt>
                <c:pt idx="749" formatCode="_(&quot;$&quot;* #,##0.00_);_(&quot;$&quot;* \(#,##0.00\);_(&quot;$&quot;* &quot;-&quot;??_);_(@_)">
                  <c:v>12416.692036014283</c:v>
                </c:pt>
                <c:pt idx="750" formatCode="_(&quot;$&quot;* #,##0.00_);_(&quot;$&quot;* \(#,##0.00\);_(&quot;$&quot;* &quot;-&quot;??_);_(@_)">
                  <c:v>12659.967649132235</c:v>
                </c:pt>
                <c:pt idx="751" formatCode="_(&quot;$&quot;* #,##0.00_);_(&quot;$&quot;* \(#,##0.00\);_(&quot;$&quot;* &quot;-&quot;??_);_(@_)">
                  <c:v>13111.338795444632</c:v>
                </c:pt>
                <c:pt idx="752" formatCode="_(&quot;$&quot;* #,##0.00_);_(&quot;$&quot;* \(#,##0.00\);_(&quot;$&quot;* &quot;-&quot;??_);_(@_)">
                  <c:v>13794.798401902543</c:v>
                </c:pt>
                <c:pt idx="753" formatCode="_(&quot;$&quot;* #,##0.00_);_(&quot;$&quot;* \(#,##0.00\);_(&quot;$&quot;* &quot;-&quot;??_);_(@_)">
                  <c:v>14381.384757834314</c:v>
                </c:pt>
                <c:pt idx="754" formatCode="_(&quot;$&quot;* #,##0.00_);_(&quot;$&quot;* \(#,##0.00\);_(&quot;$&quot;* &quot;-&quot;??_);_(@_)">
                  <c:v>15211.022375622604</c:v>
                </c:pt>
                <c:pt idx="755" formatCode="_(&quot;$&quot;* #,##0.00_);_(&quot;$&quot;* \(#,##0.00\);_(&quot;$&quot;* &quot;-&quot;??_);_(@_)">
                  <c:v>15176.069414288711</c:v>
                </c:pt>
                <c:pt idx="756" formatCode="_(&quot;$&quot;* #,##0.00_);_(&quot;$&quot;* \(#,##0.00\);_(&quot;$&quot;* &quot;-&quot;??_);_(@_)">
                  <c:v>15157.231137266797</c:v>
                </c:pt>
                <c:pt idx="757" formatCode="_(&quot;$&quot;* #,##0.00_);_(&quot;$&quot;* \(#,##0.00\);_(&quot;$&quot;* &quot;-&quot;??_);_(@_)">
                  <c:v>14878.589677967375</c:v>
                </c:pt>
                <c:pt idx="758" formatCode="_(&quot;$&quot;* #,##0.00_);_(&quot;$&quot;* \(#,##0.00\);_(&quot;$&quot;* &quot;-&quot;??_);_(@_)">
                  <c:v>15274.256610421406</c:v>
                </c:pt>
                <c:pt idx="759" formatCode="_(&quot;$&quot;* #,##0.00_);_(&quot;$&quot;* \(#,##0.00\);_(&quot;$&quot;* &quot;-&quot;??_);_(@_)">
                  <c:v>15228.317135143137</c:v>
                </c:pt>
                <c:pt idx="760" formatCode="_(&quot;$&quot;* #,##0.00_);_(&quot;$&quot;* \(#,##0.00\);_(&quot;$&quot;* &quot;-&quot;??_);_(@_)">
                  <c:v>15291.00104676636</c:v>
                </c:pt>
                <c:pt idx="761" formatCode="_(&quot;$&quot;* #,##0.00_);_(&quot;$&quot;* \(#,##0.00\);_(&quot;$&quot;* &quot;-&quot;??_);_(@_)">
                  <c:v>15385.291528397562</c:v>
                </c:pt>
                <c:pt idx="762" formatCode="_(&quot;$&quot;* #,##0.00_);_(&quot;$&quot;* \(#,##0.00\);_(&quot;$&quot;* &quot;-&quot;??_);_(@_)">
                  <c:v>15114.240869433877</c:v>
                </c:pt>
                <c:pt idx="763" formatCode="_(&quot;$&quot;* #,##0.00_);_(&quot;$&quot;* \(#,##0.00\);_(&quot;$&quot;* &quot;-&quot;??_);_(@_)">
                  <c:v>15185.900908226859</c:v>
                </c:pt>
                <c:pt idx="764" formatCode="_(&quot;$&quot;* #,##0.00_);_(&quot;$&quot;* \(#,##0.00\);_(&quot;$&quot;* &quot;-&quot;??_);_(@_)">
                  <c:v>15347.814244903113</c:v>
                </c:pt>
                <c:pt idx="765" formatCode="_(&quot;$&quot;* #,##0.00_);_(&quot;$&quot;* \(#,##0.00\);_(&quot;$&quot;* &quot;-&quot;??_);_(@_)">
                  <c:v>15218.000304960318</c:v>
                </c:pt>
                <c:pt idx="766" formatCode="_(&quot;$&quot;* #,##0.00_);_(&quot;$&quot;* \(#,##0.00\);_(&quot;$&quot;* &quot;-&quot;??_);_(@_)">
                  <c:v>15164.596614732431</c:v>
                </c:pt>
                <c:pt idx="767" formatCode="_(&quot;$&quot;* #,##0.00_);_(&quot;$&quot;* \(#,##0.00\);_(&quot;$&quot;* &quot;-&quot;??_);_(@_)">
                  <c:v>15326.830371045728</c:v>
                </c:pt>
                <c:pt idx="768" formatCode="_(&quot;$&quot;* #,##0.00_);_(&quot;$&quot;* \(#,##0.00\);_(&quot;$&quot;* &quot;-&quot;??_);_(@_)">
                  <c:v>15203.573484352277</c:v>
                </c:pt>
                <c:pt idx="769" formatCode="_(&quot;$&quot;* #,##0.00_);_(&quot;$&quot;* \(#,##0.00\);_(&quot;$&quot;* &quot;-&quot;??_);_(@_)">
                  <c:v>15304.98414771283</c:v>
                </c:pt>
                <c:pt idx="770" formatCode="_(&quot;$&quot;* #,##0.00_);_(&quot;$&quot;* \(#,##0.00\);_(&quot;$&quot;* &quot;-&quot;??_);_(@_)">
                  <c:v>15152.194490548925</c:v>
                </c:pt>
                <c:pt idx="771" formatCode="_(&quot;$&quot;* #,##0.00_);_(&quot;$&quot;* \(#,##0.00\);_(&quot;$&quot;* &quot;-&quot;??_);_(@_)">
                  <c:v>15010.483086733535</c:v>
                </c:pt>
                <c:pt idx="772" formatCode="_(&quot;$&quot;* #,##0.00_);_(&quot;$&quot;* \(#,##0.00\);_(&quot;$&quot;* &quot;-&quot;??_);_(@_)">
                  <c:v>14981.160100402598</c:v>
                </c:pt>
                <c:pt idx="773" formatCode="_(&quot;$&quot;* #,##0.00_);_(&quot;$&quot;* \(#,##0.00\);_(&quot;$&quot;* &quot;-&quot;??_);_(@_)">
                  <c:v>15198.032867039841</c:v>
                </c:pt>
                <c:pt idx="774" formatCode="_(&quot;$&quot;* #,##0.00_);_(&quot;$&quot;* \(#,##0.00\);_(&quot;$&quot;* &quot;-&quot;??_);_(@_)">
                  <c:v>15131.883582158414</c:v>
                </c:pt>
                <c:pt idx="775" formatCode="_(&quot;$&quot;* #,##0.00_);_(&quot;$&quot;* \(#,##0.00\);_(&quot;$&quot;* &quot;-&quot;??_);_(@_)">
                  <c:v>15042.073246103624</c:v>
                </c:pt>
                <c:pt idx="776" formatCode="_(&quot;$&quot;* #,##0.00_);_(&quot;$&quot;* \(#,##0.00\);_(&quot;$&quot;* &quot;-&quot;??_);_(@_)">
                  <c:v>15259.153017340954</c:v>
                </c:pt>
                <c:pt idx="777" formatCode="_(&quot;$&quot;* #,##0.00_);_(&quot;$&quot;* \(#,##0.00\);_(&quot;$&quot;* &quot;-&quot;??_);_(@_)">
                  <c:v>14962.677889673409</c:v>
                </c:pt>
                <c:pt idx="778" formatCode="_(&quot;$&quot;* #,##0.00_);_(&quot;$&quot;* \(#,##0.00\);_(&quot;$&quot;* &quot;-&quot;??_);_(@_)">
                  <c:v>15049.318785241785</c:v>
                </c:pt>
                <c:pt idx="779" formatCode="_(&quot;$&quot;* #,##0.00_);_(&quot;$&quot;* \(#,##0.00\);_(&quot;$&quot;* &quot;-&quot;??_);_(@_)">
                  <c:v>14963.496680367482</c:v>
                </c:pt>
                <c:pt idx="780" formatCode="_(&quot;$&quot;* #,##0.00_);_(&quot;$&quot;* \(#,##0.00\);_(&quot;$&quot;* &quot;-&quot;??_);_(@_)">
                  <c:v>14935.158809670129</c:v>
                </c:pt>
                <c:pt idx="781" formatCode="_(&quot;$&quot;* #,##0.00_);_(&quot;$&quot;* \(#,##0.00\);_(&quot;$&quot;* &quot;-&quot;??_);_(@_)">
                  <c:v>15079.928866390997</c:v>
                </c:pt>
                <c:pt idx="782" formatCode="_(&quot;$&quot;* #,##0.00_);_(&quot;$&quot;* \(#,##0.00\);_(&quot;$&quot;* &quot;-&quot;??_);_(@_)">
                  <c:v>15050.110327199447</c:v>
                </c:pt>
                <c:pt idx="783" formatCode="_(&quot;$&quot;* #,##0.00_);_(&quot;$&quot;* \(#,##0.00\);_(&quot;$&quot;* &quot;-&quot;??_);_(@_)">
                  <c:v>15146.237807873778</c:v>
                </c:pt>
                <c:pt idx="784" formatCode="_(&quot;$&quot;* #,##0.00_);_(&quot;$&quot;* \(#,##0.00\);_(&quot;$&quot;* &quot;-&quot;??_);_(@_)">
                  <c:v>15229.214727044024</c:v>
                </c:pt>
                <c:pt idx="785" formatCode="_(&quot;$&quot;* #,##0.00_);_(&quot;$&quot;* \(#,##0.00\);_(&quot;$&quot;* &quot;-&quot;??_);_(@_)">
                  <c:v>15115.549902983117</c:v>
                </c:pt>
                <c:pt idx="786" formatCode="_(&quot;$&quot;* #,##0.00_);_(&quot;$&quot;* \(#,##0.00\);_(&quot;$&quot;* &quot;-&quot;??_);_(@_)">
                  <c:v>15024.045129111182</c:v>
                </c:pt>
                <c:pt idx="787" formatCode="_(&quot;$&quot;* #,##0.00_);_(&quot;$&quot;* \(#,##0.00\);_(&quot;$&quot;* &quot;-&quot;??_);_(@_)">
                  <c:v>15188.840934942084</c:v>
                </c:pt>
                <c:pt idx="788" formatCode="_(&quot;$&quot;* #,##0.00_);_(&quot;$&quot;* \(#,##0.00\);_(&quot;$&quot;* &quot;-&quot;??_);_(@_)">
                  <c:v>15266.924983831323</c:v>
                </c:pt>
                <c:pt idx="789" formatCode="_(&quot;$&quot;* #,##0.00_);_(&quot;$&quot;* \(#,##0.00\);_(&quot;$&quot;* &quot;-&quot;??_);_(@_)">
                  <c:v>15405.013622172608</c:v>
                </c:pt>
                <c:pt idx="790" formatCode="_(&quot;$&quot;* #,##0.00_);_(&quot;$&quot;* \(#,##0.00\);_(&quot;$&quot;* &quot;-&quot;??_);_(@_)">
                  <c:v>15596.607443271874</c:v>
                </c:pt>
                <c:pt idx="791" formatCode="_(&quot;$&quot;* #,##0.00_);_(&quot;$&quot;* \(#,##0.00\);_(&quot;$&quot;* &quot;-&quot;??_);_(@_)">
                  <c:v>15808.021251580318</c:v>
                </c:pt>
                <c:pt idx="792" formatCode="_(&quot;$&quot;* #,##0.00_);_(&quot;$&quot;* \(#,##0.00\);_(&quot;$&quot;* &quot;-&quot;??_);_(@_)">
                  <c:v>15786.050580270059</c:v>
                </c:pt>
                <c:pt idx="793" formatCode="_(&quot;$&quot;* #,##0.00_);_(&quot;$&quot;* \(#,##0.00\);_(&quot;$&quot;* &quot;-&quot;??_);_(@_)">
                  <c:v>15793.85319393703</c:v>
                </c:pt>
                <c:pt idx="794" formatCode="_(&quot;$&quot;* #,##0.00_);_(&quot;$&quot;* \(#,##0.00\);_(&quot;$&quot;* &quot;-&quot;??_);_(@_)">
                  <c:v>15782.569754231685</c:v>
                </c:pt>
                <c:pt idx="795" formatCode="_(&quot;$&quot;* #,##0.00_);_(&quot;$&quot;* \(#,##0.00\);_(&quot;$&quot;* &quot;-&quot;??_);_(@_)">
                  <c:v>15920.518990073946</c:v>
                </c:pt>
                <c:pt idx="796" formatCode="_(&quot;$&quot;* #,##0.00_);_(&quot;$&quot;* \(#,##0.00\);_(&quot;$&quot;* &quot;-&quot;??_);_(@_)">
                  <c:v>15970.684670569603</c:v>
                </c:pt>
                <c:pt idx="797" formatCode="_(&quot;$&quot;* #,##0.00_);_(&quot;$&quot;* \(#,##0.00\);_(&quot;$&quot;* &quot;-&quot;??_);_(@_)">
                  <c:v>16138.91829848186</c:v>
                </c:pt>
                <c:pt idx="798" formatCode="_(&quot;$&quot;* #,##0.00_);_(&quot;$&quot;* \(#,##0.00\);_(&quot;$&quot;* &quot;-&quot;??_);_(@_)">
                  <c:v>16069.249337367393</c:v>
                </c:pt>
                <c:pt idx="799" formatCode="_(&quot;$&quot;* #,##0.00_);_(&quot;$&quot;* \(#,##0.00\);_(&quot;$&quot;* &quot;-&quot;??_);_(@_)">
                  <c:v>16281.780725177066</c:v>
                </c:pt>
                <c:pt idx="800" formatCode="_(&quot;$&quot;* #,##0.00_);_(&quot;$&quot;* \(#,##0.00\);_(&quot;$&quot;* &quot;-&quot;??_);_(@_)">
                  <c:v>16204.074129759932</c:v>
                </c:pt>
                <c:pt idx="801" formatCode="_(&quot;$&quot;* #,##0.00_);_(&quot;$&quot;* \(#,##0.00\);_(&quot;$&quot;* &quot;-&quot;??_);_(@_)">
                  <c:v>16207.395026279795</c:v>
                </c:pt>
                <c:pt idx="802" formatCode="_(&quot;$&quot;* #,##0.00_);_(&quot;$&quot;* \(#,##0.00\);_(&quot;$&quot;* &quot;-&quot;??_);_(@_)">
                  <c:v>16130.697790729582</c:v>
                </c:pt>
                <c:pt idx="803" formatCode="_(&quot;$&quot;* #,##0.00_);_(&quot;$&quot;* \(#,##0.00\);_(&quot;$&quot;* &quot;-&quot;??_);_(@_)">
                  <c:v>16117.855218777702</c:v>
                </c:pt>
                <c:pt idx="804" formatCode="_(&quot;$&quot;* #,##0.00_);_(&quot;$&quot;* \(#,##0.00\);_(&quot;$&quot;* &quot;-&quot;??_);_(@_)">
                  <c:v>16130.768009922087</c:v>
                </c:pt>
                <c:pt idx="805" formatCode="_(&quot;$&quot;* #,##0.00_);_(&quot;$&quot;* \(#,##0.00\);_(&quot;$&quot;* &quot;-&quot;??_);_(@_)">
                  <c:v>16117.943554619744</c:v>
                </c:pt>
                <c:pt idx="806" formatCode="_(&quot;$&quot;* #,##0.00_);_(&quot;$&quot;* \(#,##0.00\);_(&quot;$&quot;* &quot;-&quot;??_);_(@_)">
                  <c:v>16179.258757238738</c:v>
                </c:pt>
                <c:pt idx="807" formatCode="_(&quot;$&quot;* #,##0.00_);_(&quot;$&quot;* \(#,##0.00\);_(&quot;$&quot;* &quot;-&quot;??_);_(@_)">
                  <c:v>16105.39933696164</c:v>
                </c:pt>
                <c:pt idx="808" formatCode="_(&quot;$&quot;* #,##0.00_);_(&quot;$&quot;* \(#,##0.00\);_(&quot;$&quot;* &quot;-&quot;??_);_(@_)">
                  <c:v>16148.71058651754</c:v>
                </c:pt>
                <c:pt idx="809" formatCode="_(&quot;$&quot;* #,##0.00_);_(&quot;$&quot;* \(#,##0.00\);_(&quot;$&quot;* &quot;-&quot;??_);_(@_)">
                  <c:v>16388.030706208741</c:v>
                </c:pt>
                <c:pt idx="810" formatCode="_(&quot;$&quot;* #,##0.00_);_(&quot;$&quot;* \(#,##0.00\);_(&quot;$&quot;* &quot;-&quot;??_);_(@_)">
                  <c:v>16464.304457273098</c:v>
                </c:pt>
                <c:pt idx="811" formatCode="_(&quot;$&quot;* #,##0.00_);_(&quot;$&quot;* \(#,##0.00\);_(&quot;$&quot;* &quot;-&quot;??_);_(@_)">
                  <c:v>16398.514304722048</c:v>
                </c:pt>
                <c:pt idx="812" formatCode="_(&quot;$&quot;* #,##0.00_);_(&quot;$&quot;* \(#,##0.00\);_(&quot;$&quot;* &quot;-&quot;??_);_(@_)">
                  <c:v>16537.60030707829</c:v>
                </c:pt>
                <c:pt idx="813" formatCode="_(&quot;$&quot;* #,##0.00_);_(&quot;$&quot;* \(#,##0.00\);_(&quot;$&quot;* &quot;-&quot;??_);_(@_)">
                  <c:v>16698.52266801129</c:v>
                </c:pt>
                <c:pt idx="814" formatCode="_(&quot;$&quot;* #,##0.00_);_(&quot;$&quot;* \(#,##0.00\);_(&quot;$&quot;* &quot;-&quot;??_);_(@_)">
                  <c:v>16562.2802146469</c:v>
                </c:pt>
                <c:pt idx="815" formatCode="_(&quot;$&quot;* #,##0.00_);_(&quot;$&quot;* \(#,##0.00\);_(&quot;$&quot;* &quot;-&quot;??_);_(@_)">
                  <c:v>16679.736156533527</c:v>
                </c:pt>
                <c:pt idx="816" formatCode="_(&quot;$&quot;* #,##0.00_);_(&quot;$&quot;* \(#,##0.00\);_(&quot;$&quot;* &quot;-&quot;??_);_(@_)">
                  <c:v>16920.386783750509</c:v>
                </c:pt>
                <c:pt idx="817" formatCode="_(&quot;$&quot;* #,##0.00_);_(&quot;$&quot;* \(#,##0.00\);_(&quot;$&quot;* &quot;-&quot;??_);_(@_)">
                  <c:v>17321.88310926321</c:v>
                </c:pt>
                <c:pt idx="818" formatCode="_(&quot;$&quot;* #,##0.00_);_(&quot;$&quot;* \(#,##0.00\);_(&quot;$&quot;* &quot;-&quot;??_);_(@_)">
                  <c:v>17184.298880709761</c:v>
                </c:pt>
                <c:pt idx="819" formatCode="_(&quot;$&quot;* #,##0.00_);_(&quot;$&quot;* \(#,##0.00\);_(&quot;$&quot;* &quot;-&quot;??_);_(@_)">
                  <c:v>16823.553039376991</c:v>
                </c:pt>
                <c:pt idx="820" formatCode="_(&quot;$&quot;* #,##0.00_);_(&quot;$&quot;* \(#,##0.00\);_(&quot;$&quot;* &quot;-&quot;??_);_(@_)">
                  <c:v>16898.996491862046</c:v>
                </c:pt>
                <c:pt idx="821" formatCode="_(&quot;$&quot;* #,##0.00_);_(&quot;$&quot;* \(#,##0.00\);_(&quot;$&quot;* &quot;-&quot;??_);_(@_)">
                  <c:v>17078.454867879005</c:v>
                </c:pt>
                <c:pt idx="822" formatCode="_(&quot;$&quot;* #,##0.00_);_(&quot;$&quot;* \(#,##0.00\);_(&quot;$&quot;* &quot;-&quot;??_);_(@_)">
                  <c:v>17011.930291081804</c:v>
                </c:pt>
                <c:pt idx="823" formatCode="_(&quot;$&quot;* #,##0.00_);_(&quot;$&quot;* \(#,##0.00\);_(&quot;$&quot;* &quot;-&quot;??_);_(@_)">
                  <c:v>17140.895121120771</c:v>
                </c:pt>
                <c:pt idx="824" formatCode="_(&quot;$&quot;* #,##0.00_);_(&quot;$&quot;* \(#,##0.00\);_(&quot;$&quot;* &quot;-&quot;??_);_(@_)">
                  <c:v>17013.795665848484</c:v>
                </c:pt>
                <c:pt idx="825" formatCode="_(&quot;$&quot;* #,##0.00_);_(&quot;$&quot;* \(#,##0.00\);_(&quot;$&quot;* &quot;-&quot;??_);_(@_)">
                  <c:v>16963.152026671851</c:v>
                </c:pt>
                <c:pt idx="826" formatCode="_(&quot;$&quot;* #,##0.00_);_(&quot;$&quot;* \(#,##0.00\);_(&quot;$&quot;* &quot;-&quot;??_);_(@_)">
                  <c:v>17006.304431084562</c:v>
                </c:pt>
                <c:pt idx="827" formatCode="_(&quot;$&quot;* #,##0.00_);_(&quot;$&quot;* \(#,##0.00\);_(&quot;$&quot;* &quot;-&quot;??_);_(@_)">
                  <c:v>17092.452211811997</c:v>
                </c:pt>
                <c:pt idx="828" formatCode="_(&quot;$&quot;* #,##0.00_);_(&quot;$&quot;* \(#,##0.00\);_(&quot;$&quot;* &quot;-&quot;??_);_(@_)">
                  <c:v>17099.972761714609</c:v>
                </c:pt>
                <c:pt idx="829" formatCode="_(&quot;$&quot;* #,##0.00_);_(&quot;$&quot;* \(#,##0.00\);_(&quot;$&quot;* &quot;-&quot;??_);_(@_)">
                  <c:v>17078.709279503782</c:v>
                </c:pt>
                <c:pt idx="830" formatCode="_(&quot;$&quot;* #,##0.00_);_(&quot;$&quot;* \(#,##0.00\);_(&quot;$&quot;* &quot;-&quot;??_);_(@_)">
                  <c:v>17231.132484586324</c:v>
                </c:pt>
                <c:pt idx="831" formatCode="_(&quot;$&quot;* #,##0.00_);_(&quot;$&quot;* \(#,##0.00\);_(&quot;$&quot;* &quot;-&quot;??_);_(@_)">
                  <c:v>17208.92156102357</c:v>
                </c:pt>
                <c:pt idx="832" formatCode="_(&quot;$&quot;* #,##0.00_);_(&quot;$&quot;* \(#,##0.00\);_(&quot;$&quot;* &quot;-&quot;??_);_(@_)">
                  <c:v>17056.963851320048</c:v>
                </c:pt>
                <c:pt idx="833" formatCode="_(&quot;$&quot;* #,##0.00_);_(&quot;$&quot;* \(#,##0.00\);_(&quot;$&quot;* &quot;-&quot;??_);_(@_)">
                  <c:v>17189.02159827562</c:v>
                </c:pt>
                <c:pt idx="834" formatCode="_(&quot;$&quot;* #,##0.00_);_(&quot;$&quot;* \(#,##0.00\);_(&quot;$&quot;* &quot;-&quot;??_);_(@_)">
                  <c:v>18011.651720339079</c:v>
                </c:pt>
                <c:pt idx="835" formatCode="_(&quot;$&quot;* #,##0.00_);_(&quot;$&quot;* \(#,##0.00\);_(&quot;$&quot;* &quot;-&quot;??_);_(@_)">
                  <c:v>17115.957769663044</c:v>
                </c:pt>
                <c:pt idx="836" formatCode="_(&quot;$&quot;* #,##0.00_);_(&quot;$&quot;* \(#,##0.00\);_(&quot;$&quot;* &quot;-&quot;??_);_(@_)">
                  <c:v>17328.810608130574</c:v>
                </c:pt>
                <c:pt idx="837" formatCode="_(&quot;$&quot;* #,##0.00_);_(&quot;$&quot;* \(#,##0.00\);_(&quot;$&quot;* &quot;-&quot;??_);_(@_)">
                  <c:v>17555.208093499106</c:v>
                </c:pt>
                <c:pt idx="838" formatCode="_(&quot;$&quot;* #,##0.00_);_(&quot;$&quot;* \(#,##0.00\);_(&quot;$&quot;* &quot;-&quot;??_);_(@_)">
                  <c:v>17577.86941244256</c:v>
                </c:pt>
                <c:pt idx="839" formatCode="_(&quot;$&quot;* #,##0.00_);_(&quot;$&quot;* \(#,##0.00\);_(&quot;$&quot;* &quot;-&quot;??_);_(@_)">
                  <c:v>17675.599655101512</c:v>
                </c:pt>
                <c:pt idx="840" formatCode="_(&quot;$&quot;* #,##0.00_);_(&quot;$&quot;* \(#,##0.00\);_(&quot;$&quot;* &quot;-&quot;??_);_(@_)">
                  <c:v>18108.075324643207</c:v>
                </c:pt>
                <c:pt idx="841" formatCode="_(&quot;$&quot;* #,##0.00_);_(&quot;$&quot;* \(#,##0.00\);_(&quot;$&quot;* &quot;-&quot;??_);_(@_)">
                  <c:v>18402.405698156457</c:v>
                </c:pt>
                <c:pt idx="842" formatCode="_(&quot;$&quot;* #,##0.00_);_(&quot;$&quot;* \(#,##0.00\);_(&quot;$&quot;* &quot;-&quot;??_);_(@_)">
                  <c:v>18603.254992239181</c:v>
                </c:pt>
                <c:pt idx="843" formatCode="_(&quot;$&quot;* #,##0.00_);_(&quot;$&quot;* \(#,##0.00\);_(&quot;$&quot;* &quot;-&quot;??_);_(@_)">
                  <c:v>18547.862144741168</c:v>
                </c:pt>
                <c:pt idx="844" formatCode="_(&quot;$&quot;* #,##0.00_);_(&quot;$&quot;* \(#,##0.00\);_(&quot;$&quot;* &quot;-&quot;??_);_(@_)">
                  <c:v>18521.92489250423</c:v>
                </c:pt>
                <c:pt idx="845" formatCode="_(&quot;$&quot;* #,##0.00_);_(&quot;$&quot;* \(#,##0.00\);_(&quot;$&quot;* &quot;-&quot;??_);_(@_)">
                  <c:v>18535.573262516784</c:v>
                </c:pt>
                <c:pt idx="846" formatCode="_(&quot;$&quot;* #,##0.00_);_(&quot;$&quot;* \(#,##0.00\);_(&quot;$&quot;* &quot;-&quot;??_);_(@_)">
                  <c:v>18610.581011963015</c:v>
                </c:pt>
                <c:pt idx="847" formatCode="_(&quot;$&quot;* #,##0.00_);_(&quot;$&quot;* \(#,##0.00\);_(&quot;$&quot;* &quot;-&quot;??_);_(@_)">
                  <c:v>19028.323182613058</c:v>
                </c:pt>
                <c:pt idx="848" formatCode="_(&quot;$&quot;* #,##0.00_);_(&quot;$&quot;* \(#,##0.00\);_(&quot;$&quot;* &quot;-&quot;??_);_(@_)">
                  <c:v>19291.20501957618</c:v>
                </c:pt>
                <c:pt idx="849" formatCode="_(&quot;$&quot;* #,##0.00_);_(&quot;$&quot;* \(#,##0.00\);_(&quot;$&quot;* &quot;-&quot;??_);_(@_)">
                  <c:v>19290.113023732287</c:v>
                </c:pt>
                <c:pt idx="850" formatCode="_(&quot;$&quot;* #,##0.00_);_(&quot;$&quot;* \(#,##0.00\);_(&quot;$&quot;* &quot;-&quot;??_);_(@_)">
                  <c:v>19407.669934436839</c:v>
                </c:pt>
                <c:pt idx="851" formatCode="_(&quot;$&quot;* #,##0.00_);_(&quot;$&quot;* \(#,##0.00\);_(&quot;$&quot;* &quot;-&quot;??_);_(@_)">
                  <c:v>19364.35818644987</c:v>
                </c:pt>
                <c:pt idx="852" formatCode="_(&quot;$&quot;* #,##0.00_);_(&quot;$&quot;* \(#,##0.00\);_(&quot;$&quot;* &quot;-&quot;??_);_(@_)">
                  <c:v>19371.190738944984</c:v>
                </c:pt>
                <c:pt idx="853" formatCode="_(&quot;$&quot;* #,##0.00_);_(&quot;$&quot;* \(#,##0.00\);_(&quot;$&quot;* &quot;-&quot;??_);_(@_)">
                  <c:v>19510.417449044951</c:v>
                </c:pt>
                <c:pt idx="854" formatCode="_(&quot;$&quot;* #,##0.00_);_(&quot;$&quot;* \(#,##0.00\);_(&quot;$&quot;* &quot;-&quot;??_);_(@_)">
                  <c:v>19304.985225714161</c:v>
                </c:pt>
                <c:pt idx="855" formatCode="_(&quot;$&quot;* #,##0.00_);_(&quot;$&quot;* \(#,##0.00\);_(&quot;$&quot;* &quot;-&quot;??_);_(@_)">
                  <c:v>19387.365731937705</c:v>
                </c:pt>
                <c:pt idx="856" formatCode="_(&quot;$&quot;* #,##0.00_);_(&quot;$&quot;* \(#,##0.00\);_(&quot;$&quot;* &quot;-&quot;??_);_(@_)">
                  <c:v>19201.291866964741</c:v>
                </c:pt>
                <c:pt idx="857" formatCode="_(&quot;$&quot;* #,##0.00_);_(&quot;$&quot;* \(#,##0.00\);_(&quot;$&quot;* &quot;-&quot;??_);_(@_)">
                  <c:v>19232.490189655644</c:v>
                </c:pt>
                <c:pt idx="858" formatCode="_(&quot;$&quot;* #,##0.00_);_(&quot;$&quot;* \(#,##0.00\);_(&quot;$&quot;* &quot;-&quot;??_);_(@_)">
                  <c:v>19336.539627998074</c:v>
                </c:pt>
                <c:pt idx="859" formatCode="_(&quot;$&quot;* #,##0.00_);_(&quot;$&quot;* \(#,##0.00\);_(&quot;$&quot;* &quot;-&quot;??_);_(@_)">
                  <c:v>19340.905354063118</c:v>
                </c:pt>
                <c:pt idx="860" formatCode="_(&quot;$&quot;* #,##0.00_);_(&quot;$&quot;* \(#,##0.00\);_(&quot;$&quot;* &quot;-&quot;??_);_(@_)">
                  <c:v>19332.731232955317</c:v>
                </c:pt>
                <c:pt idx="861" formatCode="_(&quot;$&quot;* #,##0.00_);_(&quot;$&quot;* \(#,##0.00\);_(&quot;$&quot;* &quot;-&quot;??_);_(@_)">
                  <c:v>19288.953105678764</c:v>
                </c:pt>
                <c:pt idx="862" formatCode="_(&quot;$&quot;* #,##0.00_);_(&quot;$&quot;* \(#,##0.00\);_(&quot;$&quot;* &quot;-&quot;??_);_(@_)">
                  <c:v>19228.849521219388</c:v>
                </c:pt>
                <c:pt idx="863" formatCode="_(&quot;$&quot;* #,##0.00_);_(&quot;$&quot;* \(#,##0.00\);_(&quot;$&quot;* &quot;-&quot;??_);_(@_)">
                  <c:v>19539.380430195037</c:v>
                </c:pt>
                <c:pt idx="864" formatCode="_(&quot;$&quot;* #,##0.00_);_(&quot;$&quot;* \(#,##0.00\);_(&quot;$&quot;* &quot;-&quot;??_);_(@_)">
                  <c:v>19472.634975523448</c:v>
                </c:pt>
                <c:pt idx="865" formatCode="_(&quot;$&quot;* #,##0.00_);_(&quot;$&quot;* \(#,##0.00\);_(&quot;$&quot;* &quot;-&quot;??_);_(@_)">
                  <c:v>19444.961512277787</c:v>
                </c:pt>
                <c:pt idx="866" formatCode="_(&quot;$&quot;* #,##0.00_);_(&quot;$&quot;* \(#,##0.00\);_(&quot;$&quot;* &quot;-&quot;??_);_(@_)">
                  <c:v>19352.071962840997</c:v>
                </c:pt>
                <c:pt idx="867" formatCode="_(&quot;$&quot;* #,##0.00_);_(&quot;$&quot;* \(#,##0.00\);_(&quot;$&quot;* &quot;-&quot;??_);_(@_)">
                  <c:v>19373.909625305641</c:v>
                </c:pt>
                <c:pt idx="868" formatCode="_(&quot;$&quot;* #,##0.00_);_(&quot;$&quot;* \(#,##0.00\);_(&quot;$&quot;* &quot;-&quot;??_);_(@_)">
                  <c:v>19399.738049369033</c:v>
                </c:pt>
                <c:pt idx="869" formatCode="_(&quot;$&quot;* #,##0.00_);_(&quot;$&quot;* \(#,##0.00\);_(&quot;$&quot;* &quot;-&quot;??_);_(@_)">
                  <c:v>19463.921972242915</c:v>
                </c:pt>
                <c:pt idx="870" formatCode="_(&quot;$&quot;* #,##0.00_);_(&quot;$&quot;* \(#,##0.00\);_(&quot;$&quot;* &quot;-&quot;??_);_(@_)">
                  <c:v>19374.047548452101</c:v>
                </c:pt>
                <c:pt idx="871" formatCode="_(&quot;$&quot;* #,##0.00_);_(&quot;$&quot;* \(#,##0.00\);_(&quot;$&quot;* &quot;-&quot;??_);_(@_)">
                  <c:v>19548.568631868682</c:v>
                </c:pt>
                <c:pt idx="872" formatCode="_(&quot;$&quot;* #,##0.00_);_(&quot;$&quot;* \(#,##0.00\);_(&quot;$&quot;* &quot;-&quot;??_);_(@_)">
                  <c:v>19594.309054967602</c:v>
                </c:pt>
                <c:pt idx="873" formatCode="_(&quot;$&quot;* #,##0.00_);_(&quot;$&quot;* \(#,##0.00\);_(&quot;$&quot;* &quot;-&quot;??_);_(@_)">
                  <c:v>19584.308758958836</c:v>
                </c:pt>
                <c:pt idx="874" formatCode="_(&quot;$&quot;* #,##0.00_);_(&quot;$&quot;* \(#,##0.00\);_(&quot;$&quot;* &quot;-&quot;??_);_(@_)">
                  <c:v>19679.625685096929</c:v>
                </c:pt>
                <c:pt idx="875" formatCode="_(&quot;$&quot;* #,##0.00_);_(&quot;$&quot;* \(#,##0.00\);_(&quot;$&quot;* &quot;-&quot;??_);_(@_)">
                  <c:v>19745.250456197467</c:v>
                </c:pt>
                <c:pt idx="876" formatCode="_(&quot;$&quot;* #,##0.00_);_(&quot;$&quot;* \(#,##0.00\);_(&quot;$&quot;* &quot;-&quot;??_);_(@_)">
                  <c:v>19795.567187504224</c:v>
                </c:pt>
                <c:pt idx="877" formatCode="_(&quot;$&quot;* #,##0.00_);_(&quot;$&quot;* \(#,##0.00\);_(&quot;$&quot;* &quot;-&quot;??_);_(@_)">
                  <c:v>19894.169751800844</c:v>
                </c:pt>
                <c:pt idx="878" formatCode="_(&quot;$&quot;* #,##0.00_);_(&quot;$&quot;* \(#,##0.00\);_(&quot;$&quot;* &quot;-&quot;??_);_(@_)">
                  <c:v>19977.293139476638</c:v>
                </c:pt>
                <c:pt idx="879" formatCode="_(&quot;$&quot;* #,##0.00_);_(&quot;$&quot;* \(#,##0.00\);_(&quot;$&quot;* &quot;-&quot;??_);_(@_)">
                  <c:v>19987.634818360923</c:v>
                </c:pt>
                <c:pt idx="880" formatCode="_(&quot;$&quot;* #,##0.00_);_(&quot;$&quot;* \(#,##0.00\);_(&quot;$&quot;* &quot;-&quot;??_);_(@_)">
                  <c:v>20246.267810743087</c:v>
                </c:pt>
                <c:pt idx="881" formatCode="_(&quot;$&quot;* #,##0.00_);_(&quot;$&quot;* \(#,##0.00\);_(&quot;$&quot;* &quot;-&quot;??_);_(@_)">
                  <c:v>20253.935830437877</c:v>
                </c:pt>
                <c:pt idx="882" formatCode="_(&quot;$&quot;* #,##0.00_);_(&quot;$&quot;* \(#,##0.00\);_(&quot;$&quot;* &quot;-&quot;??_);_(@_)">
                  <c:v>20214.644758094706</c:v>
                </c:pt>
                <c:pt idx="883" formatCode="_(&quot;$&quot;* #,##0.00_);_(&quot;$&quot;* \(#,##0.00\);_(&quot;$&quot;* &quot;-&quot;??_);_(@_)">
                  <c:v>20140.801224113111</c:v>
                </c:pt>
                <c:pt idx="884" formatCode="_(&quot;$&quot;* #,##0.00_);_(&quot;$&quot;* \(#,##0.00\);_(&quot;$&quot;* &quot;-&quot;??_);_(@_)">
                  <c:v>20068.330137715373</c:v>
                </c:pt>
                <c:pt idx="885" formatCode="_(&quot;$&quot;* #,##0.00_);_(&quot;$&quot;* \(#,##0.00\);_(&quot;$&quot;* &quot;-&quot;??_);_(@_)">
                  <c:v>20243.933747610608</c:v>
                </c:pt>
                <c:pt idx="886" formatCode="_(&quot;$&quot;* #,##0.00_);_(&quot;$&quot;* \(#,##0.00\);_(&quot;$&quot;* &quot;-&quot;??_);_(@_)">
                  <c:v>20055.796099959287</c:v>
                </c:pt>
                <c:pt idx="887" formatCode="_(&quot;$&quot;* #,##0.00_);_(&quot;$&quot;* \(#,##0.00\);_(&quot;$&quot;* &quot;-&quot;??_);_(@_)">
                  <c:v>20250.984363825854</c:v>
                </c:pt>
                <c:pt idx="888" formatCode="_(&quot;$&quot;* #,##0.00_);_(&quot;$&quot;* \(#,##0.00\);_(&quot;$&quot;* &quot;-&quot;??_);_(@_)">
                  <c:v>20200.459748200694</c:v>
                </c:pt>
                <c:pt idx="889" formatCode="_(&quot;$&quot;* #,##0.00_);_(&quot;$&quot;* \(#,##0.00\);_(&quot;$&quot;* &quot;-&quot;??_);_(@_)">
                  <c:v>20135.731166820071</c:v>
                </c:pt>
                <c:pt idx="890" formatCode="_(&quot;$&quot;* #,##0.00_);_(&quot;$&quot;* \(#,##0.00\);_(&quot;$&quot;* &quot;-&quot;??_);_(@_)">
                  <c:v>20089.878292890284</c:v>
                </c:pt>
                <c:pt idx="891" formatCode="_(&quot;$&quot;* #,##0.00_);_(&quot;$&quot;* \(#,##0.00\);_(&quot;$&quot;* &quot;-&quot;??_);_(@_)">
                  <c:v>20126.049050026839</c:v>
                </c:pt>
                <c:pt idx="892" formatCode="_(&quot;$&quot;* #,##0.00_);_(&quot;$&quot;* \(#,##0.00\);_(&quot;$&quot;* &quot;-&quot;??_);_(@_)">
                  <c:v>20292.969716462609</c:v>
                </c:pt>
                <c:pt idx="893" formatCode="_(&quot;$&quot;* #,##0.00_);_(&quot;$&quot;* \(#,##0.00\);_(&quot;$&quot;* &quot;-&quot;??_);_(@_)">
                  <c:v>20375.665580310691</c:v>
                </c:pt>
                <c:pt idx="894" formatCode="_(&quot;$&quot;* #,##0.00_);_(&quot;$&quot;* \(#,##0.00\);_(&quot;$&quot;* &quot;-&quot;??_);_(@_)">
                  <c:v>20636.13249814753</c:v>
                </c:pt>
                <c:pt idx="895" formatCode="_(&quot;$&quot;* #,##0.00_);_(&quot;$&quot;* \(#,##0.00\);_(&quot;$&quot;* &quot;-&quot;??_);_(@_)">
                  <c:v>20687.919522539531</c:v>
                </c:pt>
                <c:pt idx="896" formatCode="_(&quot;$&quot;* #,##0.00_);_(&quot;$&quot;* \(#,##0.00\);_(&quot;$&quot;* &quot;-&quot;??_);_(@_)">
                  <c:v>20723.615211717486</c:v>
                </c:pt>
                <c:pt idx="897" formatCode="_(&quot;$&quot;* #,##0.00_);_(&quot;$&quot;* \(#,##0.00\);_(&quot;$&quot;* &quot;-&quot;??_);_(@_)">
                  <c:v>20693.872599886236</c:v>
                </c:pt>
                <c:pt idx="898" formatCode="_(&quot;$&quot;* #,##0.00_);_(&quot;$&quot;* \(#,##0.00\);_(&quot;$&quot;* &quot;-&quot;??_);_(@_)">
                  <c:v>20613.573726705294</c:v>
                </c:pt>
                <c:pt idx="899" formatCode="_(&quot;$&quot;* #,##0.00_);_(&quot;$&quot;* \(#,##0.00\);_(&quot;$&quot;* &quot;-&quot;??_);_(@_)">
                  <c:v>20772.671767934771</c:v>
                </c:pt>
                <c:pt idx="900" formatCode="_(&quot;$&quot;* #,##0.00_);_(&quot;$&quot;* \(#,##0.00\);_(&quot;$&quot;* &quot;-&quot;??_);_(@_)">
                  <c:v>20616.050382849131</c:v>
                </c:pt>
                <c:pt idx="901" formatCode="_(&quot;$&quot;* #,##0.00_);_(&quot;$&quot;* \(#,##0.00\);_(&quot;$&quot;* &quot;-&quot;??_);_(@_)">
                  <c:v>20625.284772299961</c:v>
                </c:pt>
                <c:pt idx="902" formatCode="_(&quot;$&quot;* #,##0.00_);_(&quot;$&quot;* \(#,##0.00\);_(&quot;$&quot;* &quot;-&quot;??_);_(@_)">
                  <c:v>20779.815530089436</c:v>
                </c:pt>
                <c:pt idx="903" formatCode="_(&quot;$&quot;* #,##0.00_);_(&quot;$&quot;* \(#,##0.00\);_(&quot;$&quot;* &quot;-&quot;??_);_(@_)">
                  <c:v>20572.284669334276</c:v>
                </c:pt>
                <c:pt idx="904" formatCode="_(&quot;$&quot;* #,##0.00_);_(&quot;$&quot;* \(#,##0.00\);_(&quot;$&quot;* &quot;-&quot;??_);_(@_)">
                  <c:v>20701.672591802551</c:v>
                </c:pt>
                <c:pt idx="905" formatCode="_(&quot;$&quot;* #,##0.00_);_(&quot;$&quot;* \(#,##0.00\);_(&quot;$&quot;* &quot;-&quot;??_);_(@_)">
                  <c:v>20749.130619493488</c:v>
                </c:pt>
                <c:pt idx="906" formatCode="_(&quot;$&quot;* #,##0.00_);_(&quot;$&quot;* \(#,##0.00\);_(&quot;$&quot;* &quot;-&quot;??_);_(@_)">
                  <c:v>20574.289018505879</c:v>
                </c:pt>
                <c:pt idx="907" formatCode="_(&quot;$&quot;* #,##0.00_);_(&quot;$&quot;* \(#,##0.00\);_(&quot;$&quot;* &quot;-&quot;??_);_(@_)">
                  <c:v>20618.355997368733</c:v>
                </c:pt>
                <c:pt idx="908" formatCode="_(&quot;$&quot;* #,##0.00_);_(&quot;$&quot;* \(#,##0.00\);_(&quot;$&quot;* &quot;-&quot;??_);_(@_)">
                  <c:v>20768.108045623099</c:v>
                </c:pt>
                <c:pt idx="909" formatCode="_(&quot;$&quot;* #,##0.00_);_(&quot;$&quot;* \(#,##0.00\);_(&quot;$&quot;* &quot;-&quot;??_);_(@_)">
                  <c:v>20921.399890936169</c:v>
                </c:pt>
                <c:pt idx="910" formatCode="_(&quot;$&quot;* #,##0.00_);_(&quot;$&quot;* \(#,##0.00\);_(&quot;$&quot;* &quot;-&quot;??_);_(@_)">
                  <c:v>20831.390508453267</c:v>
                </c:pt>
                <c:pt idx="911" formatCode="_(&quot;$&quot;* #,##0.00_);_(&quot;$&quot;* \(#,##0.00\);_(&quot;$&quot;* &quot;-&quot;??_);_(@_)">
                  <c:v>20874.915895189941</c:v>
                </c:pt>
                <c:pt idx="912" formatCode="_(&quot;$&quot;* #,##0.00_);_(&quot;$&quot;* \(#,##0.00\);_(&quot;$&quot;* &quot;-&quot;??_);_(@_)">
                  <c:v>21089.059602043639</c:v>
                </c:pt>
                <c:pt idx="913" formatCode="_(&quot;$&quot;* #,##0.00_);_(&quot;$&quot;* \(#,##0.00\);_(&quot;$&quot;* &quot;-&quot;??_);_(@_)">
                  <c:v>21194.3370857878</c:v>
                </c:pt>
                <c:pt idx="914" formatCode="_(&quot;$&quot;* #,##0.00_);_(&quot;$&quot;* \(#,##0.00\);_(&quot;$&quot;* &quot;-&quot;??_);_(@_)">
                  <c:v>21208.238526416113</c:v>
                </c:pt>
                <c:pt idx="915" formatCode="_(&quot;$&quot;* #,##0.00_);_(&quot;$&quot;* \(#,##0.00\);_(&quot;$&quot;* &quot;-&quot;??_);_(@_)">
                  <c:v>21273.537786123678</c:v>
                </c:pt>
                <c:pt idx="916" formatCode="_(&quot;$&quot;* #,##0.00_);_(&quot;$&quot;* \(#,##0.00\);_(&quot;$&quot;* &quot;-&quot;??_);_(@_)">
                  <c:v>21349.315661192984</c:v>
                </c:pt>
                <c:pt idx="917" formatCode="_(&quot;$&quot;* #,##0.00_);_(&quot;$&quot;* \(#,##0.00\);_(&quot;$&quot;* &quot;-&quot;??_);_(@_)">
                  <c:v>21609.434802355056</c:v>
                </c:pt>
                <c:pt idx="918" formatCode="_(&quot;$&quot;* #,##0.00_);_(&quot;$&quot;* \(#,##0.00\);_(&quot;$&quot;* &quot;-&quot;??_);_(@_)">
                  <c:v>22103.512651097928</c:v>
                </c:pt>
                <c:pt idx="919" formatCode="_(&quot;$&quot;* #,##0.00_);_(&quot;$&quot;* \(#,##0.00\);_(&quot;$&quot;* &quot;-&quot;??_);_(@_)">
                  <c:v>21905.004284475857</c:v>
                </c:pt>
                <c:pt idx="920" formatCode="_(&quot;$&quot;* #,##0.00_);_(&quot;$&quot;* \(#,##0.00\);_(&quot;$&quot;* &quot;-&quot;??_);_(@_)">
                  <c:v>22185.73723550294</c:v>
                </c:pt>
                <c:pt idx="921" formatCode="_(&quot;$&quot;* #,##0.00_);_(&quot;$&quot;* \(#,##0.00\);_(&quot;$&quot;* &quot;-&quot;??_);_(@_)">
                  <c:v>21589.004202440206</c:v>
                </c:pt>
                <c:pt idx="922" formatCode="_(&quot;$&quot;* #,##0.00_);_(&quot;$&quot;* \(#,##0.00\);_(&quot;$&quot;* &quot;-&quot;??_);_(@_)">
                  <c:v>22619.547767598557</c:v>
                </c:pt>
                <c:pt idx="923" formatCode="_(&quot;$&quot;* #,##0.00_);_(&quot;$&quot;* \(#,##0.00\);_(&quot;$&quot;* &quot;-&quot;??_);_(@_)">
                  <c:v>21965.808256944842</c:v>
                </c:pt>
                <c:pt idx="924" formatCode="_(&quot;$&quot;* #,##0.00_);_(&quot;$&quot;* \(#,##0.00\);_(&quot;$&quot;* &quot;-&quot;??_);_(@_)">
                  <c:v>21780.823736820999</c:v>
                </c:pt>
                <c:pt idx="925" formatCode="_(&quot;$&quot;* #,##0.00_);_(&quot;$&quot;* \(#,##0.00\);_(&quot;$&quot;* &quot;-&quot;??_);_(@_)">
                  <c:v>21828.100946423794</c:v>
                </c:pt>
                <c:pt idx="926" formatCode="_(&quot;$&quot;* #,##0.00_);_(&quot;$&quot;* \(#,##0.00\);_(&quot;$&quot;* &quot;-&quot;??_);_(@_)">
                  <c:v>21922.631484397614</c:v>
                </c:pt>
                <c:pt idx="927" formatCode="_(&quot;$&quot;* #,##0.00_);_(&quot;$&quot;* \(#,##0.00\);_(&quot;$&quot;* &quot;-&quot;??_);_(@_)">
                  <c:v>21705.57864398729</c:v>
                </c:pt>
                <c:pt idx="928" formatCode="_(&quot;$&quot;* #,##0.00_);_(&quot;$&quot;* \(#,##0.00\);_(&quot;$&quot;* &quot;-&quot;??_);_(@_)">
                  <c:v>21959.007990159214</c:v>
                </c:pt>
                <c:pt idx="929" formatCode="_(&quot;$&quot;* #,##0.00_);_(&quot;$&quot;* \(#,##0.00\);_(&quot;$&quot;* &quot;-&quot;??_);_(@_)">
                  <c:v>21561.137262448792</c:v>
                </c:pt>
                <c:pt idx="930" formatCode="_(&quot;$&quot;* #,##0.00_);_(&quot;$&quot;* \(#,##0.00\);_(&quot;$&quot;* &quot;-&quot;??_);_(@_)">
                  <c:v>21637.855754395794</c:v>
                </c:pt>
                <c:pt idx="931" formatCode="_(&quot;$&quot;* #,##0.00_);_(&quot;$&quot;* \(#,##0.00\);_(&quot;$&quot;* &quot;-&quot;??_);_(@_)">
                  <c:v>21809.044543462824</c:v>
                </c:pt>
                <c:pt idx="932" formatCode="_(&quot;$&quot;* #,##0.00_);_(&quot;$&quot;* \(#,##0.00\);_(&quot;$&quot;* &quot;-&quot;??_);_(@_)">
                  <c:v>21901.903194190429</c:v>
                </c:pt>
                <c:pt idx="933" formatCode="_(&quot;$&quot;* #,##0.00_);_(&quot;$&quot;* \(#,##0.00\);_(&quot;$&quot;* &quot;-&quot;??_);_(@_)">
                  <c:v>21940.735609820476</c:v>
                </c:pt>
                <c:pt idx="934" formatCode="_(&quot;$&quot;* #,##0.00_);_(&quot;$&quot;* \(#,##0.00\);_(&quot;$&quot;* &quot;-&quot;??_);_(@_)">
                  <c:v>22186.330372728309</c:v>
                </c:pt>
                <c:pt idx="935" formatCode="_(&quot;$&quot;* #,##0.00_);_(&quot;$&quot;* \(#,##0.00\);_(&quot;$&quot;* &quot;-&quot;??_);_(@_)">
                  <c:v>22204.955749884241</c:v>
                </c:pt>
                <c:pt idx="936" formatCode="_(&quot;$&quot;* #,##0.00_);_(&quot;$&quot;* \(#,##0.00\);_(&quot;$&quot;* &quot;-&quot;??_);_(@_)">
                  <c:v>22287.050354740266</c:v>
                </c:pt>
                <c:pt idx="937" formatCode="_(&quot;$&quot;* #,##0.00_);_(&quot;$&quot;* \(#,##0.00\);_(&quot;$&quot;* &quot;-&quot;??_);_(@_)">
                  <c:v>22449.508981943196</c:v>
                </c:pt>
                <c:pt idx="938" formatCode="_(&quot;$&quot;* #,##0.00_);_(&quot;$&quot;* \(#,##0.00\);_(&quot;$&quot;* &quot;-&quot;??_);_(@_)">
                  <c:v>22433.623196412456</c:v>
                </c:pt>
                <c:pt idx="939" formatCode="_(&quot;$&quot;* #,##0.00_);_(&quot;$&quot;* \(#,##0.00\);_(&quot;$&quot;* &quot;-&quot;??_);_(@_)">
                  <c:v>22747.98303146573</c:v>
                </c:pt>
                <c:pt idx="940" formatCode="_(&quot;$&quot;* #,##0.00_);_(&quot;$&quot;* \(#,##0.00\);_(&quot;$&quot;* &quot;-&quot;??_);_(@_)">
                  <c:v>22765.061753902366</c:v>
                </c:pt>
                <c:pt idx="941" formatCode="_(&quot;$&quot;* #,##0.00_);_(&quot;$&quot;* \(#,##0.00\);_(&quot;$&quot;* &quot;-&quot;??_);_(@_)">
                  <c:v>23052.486951417792</c:v>
                </c:pt>
                <c:pt idx="942" formatCode="_(&quot;$&quot;* #,##0.00_);_(&quot;$&quot;* \(#,##0.00\);_(&quot;$&quot;* &quot;-&quot;??_);_(@_)">
                  <c:v>23096.692348602584</c:v>
                </c:pt>
                <c:pt idx="943" formatCode="_(&quot;$&quot;* #,##0.00_);_(&quot;$&quot;* \(#,##0.00\);_(&quot;$&quot;* &quot;-&quot;??_);_(@_)">
                  <c:v>23383.602249007658</c:v>
                </c:pt>
                <c:pt idx="944" formatCode="_(&quot;$&quot;* #,##0.00_);_(&quot;$&quot;* \(#,##0.00\);_(&quot;$&quot;* &quot;-&quot;??_);_(@_)">
                  <c:v>23481.530671333865</c:v>
                </c:pt>
                <c:pt idx="945" formatCode="_(&quot;$&quot;* #,##0.00_);_(&quot;$&quot;* \(#,##0.00\);_(&quot;$&quot;* &quot;-&quot;??_);_(@_)">
                  <c:v>23591.35405770782</c:v>
                </c:pt>
                <c:pt idx="946" formatCode="_(&quot;$&quot;* #,##0.00_);_(&quot;$&quot;* \(#,##0.00\);_(&quot;$&quot;* &quot;-&quot;??_);_(@_)">
                  <c:v>23722.200645588258</c:v>
                </c:pt>
                <c:pt idx="947" formatCode="_(&quot;$&quot;* #,##0.00_);_(&quot;$&quot;* \(#,##0.00\);_(&quot;$&quot;* &quot;-&quot;??_);_(@_)">
                  <c:v>23683.011043534159</c:v>
                </c:pt>
                <c:pt idx="948" formatCode="_(&quot;$&quot;* #,##0.00_);_(&quot;$&quot;* \(#,##0.00\);_(&quot;$&quot;* &quot;-&quot;??_);_(@_)">
                  <c:v>23638.526085221576</c:v>
                </c:pt>
                <c:pt idx="949" formatCode="_(&quot;$&quot;* #,##0.00_);_(&quot;$&quot;* \(#,##0.00\);_(&quot;$&quot;* &quot;-&quot;??_);_(@_)">
                  <c:v>23803.338152481709</c:v>
                </c:pt>
                <c:pt idx="950" formatCode="_(&quot;$&quot;* #,##0.00_);_(&quot;$&quot;* \(#,##0.00\);_(&quot;$&quot;* &quot;-&quot;??_);_(@_)">
                  <c:v>23506.148234957076</c:v>
                </c:pt>
                <c:pt idx="951" formatCode="_(&quot;$&quot;* #,##0.00_);_(&quot;$&quot;* \(#,##0.00\);_(&quot;$&quot;* &quot;-&quot;??_);_(@_)">
                  <c:v>23533.317512428745</c:v>
                </c:pt>
                <c:pt idx="952" formatCode="_(&quot;$&quot;* #,##0.00_);_(&quot;$&quot;* \(#,##0.00\);_(&quot;$&quot;* &quot;-&quot;??_);_(@_)">
                  <c:v>23593.185202535511</c:v>
                </c:pt>
                <c:pt idx="953" formatCode="_(&quot;$&quot;* #,##0.00_);_(&quot;$&quot;* \(#,##0.00\);_(&quot;$&quot;* &quot;-&quot;??_);_(@_)">
                  <c:v>23504.785467768048</c:v>
                </c:pt>
                <c:pt idx="954" formatCode="_(&quot;$&quot;* #,##0.00_);_(&quot;$&quot;* \(#,##0.00\);_(&quot;$&quot;* &quot;-&quot;??_);_(@_)">
                  <c:v>23567.735312603632</c:v>
                </c:pt>
                <c:pt idx="955" formatCode="_(&quot;$&quot;* #,##0.00_);_(&quot;$&quot;* \(#,##0.00\);_(&quot;$&quot;* &quot;-&quot;??_);_(@_)">
                  <c:v>23490.522116798697</c:v>
                </c:pt>
                <c:pt idx="956" formatCode="_(&quot;$&quot;* #,##0.00_);_(&quot;$&quot;* \(#,##0.00\);_(&quot;$&quot;* &quot;-&quot;??_);_(@_)">
                  <c:v>23355.512325655345</c:v>
                </c:pt>
                <c:pt idx="957" formatCode="_(&quot;$&quot;* #,##0.00_);_(&quot;$&quot;* \(#,##0.00\);_(&quot;$&quot;* &quot;-&quot;??_);_(@_)">
                  <c:v>23459.960131479431</c:v>
                </c:pt>
                <c:pt idx="958" formatCode="_(&quot;$&quot;* #,##0.00_);_(&quot;$&quot;* \(#,##0.00\);_(&quot;$&quot;* &quot;-&quot;??_);_(@_)">
                  <c:v>23566.247773100335</c:v>
                </c:pt>
                <c:pt idx="959" formatCode="_(&quot;$&quot;* #,##0.00_);_(&quot;$&quot;* \(#,##0.00\);_(&quot;$&quot;* &quot;-&quot;??_);_(@_)">
                  <c:v>23735.24972731814</c:v>
                </c:pt>
                <c:pt idx="960" formatCode="_(&quot;$&quot;* #,##0.00_);_(&quot;$&quot;* \(#,##0.00\);_(&quot;$&quot;* &quot;-&quot;??_);_(@_)">
                  <c:v>23830.063053592603</c:v>
                </c:pt>
                <c:pt idx="961" formatCode="_(&quot;$&quot;* #,##0.00_);_(&quot;$&quot;* \(#,##0.00\);_(&quot;$&quot;* &quot;-&quot;??_);_(@_)">
                  <c:v>24236.199332113523</c:v>
                </c:pt>
                <c:pt idx="962" formatCode="_(&quot;$&quot;* #,##0.00_);_(&quot;$&quot;* \(#,##0.00\);_(&quot;$&quot;* &quot;-&quot;??_);_(@_)">
                  <c:v>24000.712426283248</c:v>
                </c:pt>
                <c:pt idx="963" formatCode="_(&quot;$&quot;* #,##0.00_);_(&quot;$&quot;* \(#,##0.00\);_(&quot;$&quot;* &quot;-&quot;??_);_(@_)">
                  <c:v>24092.043214505997</c:v>
                </c:pt>
                <c:pt idx="964" formatCode="_(&quot;$&quot;* #,##0.00_);_(&quot;$&quot;* \(#,##0.00\);_(&quot;$&quot;* &quot;-&quot;??_);_(@_)">
                  <c:v>24119.8986593029</c:v>
                </c:pt>
                <c:pt idx="965" formatCode="_(&quot;$&quot;* #,##0.00_);_(&quot;$&quot;* \(#,##0.00\);_(&quot;$&quot;* &quot;-&quot;??_);_(@_)">
                  <c:v>24003.579497594124</c:v>
                </c:pt>
                <c:pt idx="966" formatCode="_(&quot;$&quot;* #,##0.00_);_(&quot;$&quot;* \(#,##0.00\);_(&quot;$&quot;* &quot;-&quot;??_);_(@_)">
                  <c:v>23877.239252195319</c:v>
                </c:pt>
                <c:pt idx="967" formatCode="_(&quot;$&quot;* #,##0.00_);_(&quot;$&quot;* \(#,##0.00\);_(&quot;$&quot;* &quot;-&quot;??_);_(@_)">
                  <c:v>23952.321143586676</c:v>
                </c:pt>
                <c:pt idx="968" formatCode="_(&quot;$&quot;* #,##0.00_);_(&quot;$&quot;* \(#,##0.00\);_(&quot;$&quot;* &quot;-&quot;??_);_(@_)">
                  <c:v>24088.21997596346</c:v>
                </c:pt>
                <c:pt idx="969" formatCode="_(&quot;$&quot;* #,##0.00_);_(&quot;$&quot;* \(#,##0.00\);_(&quot;$&quot;* &quot;-&quot;??_);_(@_)">
                  <c:v>24076.685521326232</c:v>
                </c:pt>
                <c:pt idx="970" formatCode="_(&quot;$&quot;* #,##0.00_);_(&quot;$&quot;* \(#,##0.00\);_(&quot;$&quot;* &quot;-&quot;??_);_(@_)">
                  <c:v>24093.14805762385</c:v>
                </c:pt>
                <c:pt idx="971" formatCode="_(&quot;$&quot;* #,##0.00_);_(&quot;$&quot;* \(#,##0.00\);_(&quot;$&quot;* &quot;-&quot;??_);_(@_)">
                  <c:v>24121.4153117241</c:v>
                </c:pt>
                <c:pt idx="972" formatCode="_(&quot;$&quot;* #,##0.00_);_(&quot;$&quot;* \(#,##0.00\);_(&quot;$&quot;* &quot;-&quot;??_);_(@_)">
                  <c:v>24177.201001040597</c:v>
                </c:pt>
                <c:pt idx="973" formatCode="_(&quot;$&quot;* #,##0.00_);_(&quot;$&quot;* \(#,##0.00\);_(&quot;$&quot;* &quot;-&quot;??_);_(@_)">
                  <c:v>24271.225863806594</c:v>
                </c:pt>
                <c:pt idx="974" formatCode="_(&quot;$&quot;* #,##0.00_);_(&quot;$&quot;* \(#,##0.00\);_(&quot;$&quot;* &quot;-&quot;??_);_(@_)">
                  <c:v>24176.714843991853</c:v>
                </c:pt>
                <c:pt idx="975" formatCode="_(&quot;$&quot;* #,##0.00_);_(&quot;$&quot;* \(#,##0.00\);_(&quot;$&quot;* &quot;-&quot;??_);_(@_)">
                  <c:v>24383.829853738443</c:v>
                </c:pt>
                <c:pt idx="976" formatCode="_(&quot;$&quot;* #,##0.00_);_(&quot;$&quot;* \(#,##0.00\);_(&quot;$&quot;* &quot;-&quot;??_);_(@_)">
                  <c:v>24402.774020173769</c:v>
                </c:pt>
                <c:pt idx="977" formatCode="_(&quot;$&quot;* #,##0.00_);_(&quot;$&quot;* \(#,##0.00\);_(&quot;$&quot;* &quot;-&quot;??_);_(@_)">
                  <c:v>24854.158386765932</c:v>
                </c:pt>
                <c:pt idx="978" formatCode="_(&quot;$&quot;* #,##0.00_);_(&quot;$&quot;* \(#,##0.00\);_(&quot;$&quot;* &quot;-&quot;??_);_(@_)">
                  <c:v>24795.281251755288</c:v>
                </c:pt>
                <c:pt idx="979" formatCode="_(&quot;$&quot;* #,##0.00_);_(&quot;$&quot;* \(#,##0.00\);_(&quot;$&quot;* &quot;-&quot;??_);_(@_)">
                  <c:v>24752.650628756845</c:v>
                </c:pt>
                <c:pt idx="980" formatCode="_(&quot;$&quot;* #,##0.00_);_(&quot;$&quot;* \(#,##0.00\);_(&quot;$&quot;* &quot;-&quot;??_);_(@_)">
                  <c:v>24654.095925310223</c:v>
                </c:pt>
                <c:pt idx="981" formatCode="_(&quot;$&quot;* #,##0.00_);_(&quot;$&quot;* \(#,##0.00\);_(&quot;$&quot;* &quot;-&quot;??_);_(@_)">
                  <c:v>24807.596376710469</c:v>
                </c:pt>
                <c:pt idx="982" formatCode="_(&quot;$&quot;* #,##0.00_);_(&quot;$&quot;* \(#,##0.00\);_(&quot;$&quot;* &quot;-&quot;??_);_(@_)">
                  <c:v>24820.524147975499</c:v>
                </c:pt>
                <c:pt idx="983" formatCode="_(&quot;$&quot;* #,##0.00_);_(&quot;$&quot;* \(#,##0.00\);_(&quot;$&quot;* &quot;-&quot;??_);_(@_)">
                  <c:v>24876.55114060604</c:v>
                </c:pt>
                <c:pt idx="984" formatCode="_(&quot;$&quot;* #,##0.00_);_(&quot;$&quot;* \(#,##0.00\);_(&quot;$&quot;* &quot;-&quot;??_);_(@_)">
                  <c:v>24757.983922877153</c:v>
                </c:pt>
                <c:pt idx="985" formatCode="_(&quot;$&quot;* #,##0.00_);_(&quot;$&quot;* \(#,##0.00\);_(&quot;$&quot;* &quot;-&quot;??_);_(@_)">
                  <c:v>24772.729812904829</c:v>
                </c:pt>
                <c:pt idx="986" formatCode="_(&quot;$&quot;* #,##0.00_);_(&quot;$&quot;* \(#,##0.00\);_(&quot;$&quot;* &quot;-&quot;??_);_(@_)">
                  <c:v>24719.006790305906</c:v>
                </c:pt>
                <c:pt idx="987" formatCode="_(&quot;$&quot;* #,##0.00_);_(&quot;$&quot;* \(#,##0.00\);_(&quot;$&quot;* &quot;-&quot;??_);_(@_)">
                  <c:v>24744.00910144392</c:v>
                </c:pt>
                <c:pt idx="988" formatCode="_(&quot;$&quot;* #,##0.00_);_(&quot;$&quot;* \(#,##0.00\);_(&quot;$&quot;* &quot;-&quot;??_);_(@_)">
                  <c:v>25325.462273861289</c:v>
                </c:pt>
                <c:pt idx="989" formatCode="_(&quot;$&quot;* #,##0.00_);_(&quot;$&quot;* \(#,##0.00\);_(&quot;$&quot;* &quot;-&quot;??_);_(@_)">
                  <c:v>25785.367934238649</c:v>
                </c:pt>
                <c:pt idx="990" formatCode="_(&quot;$&quot;* #,##0.00_);_(&quot;$&quot;* \(#,##0.00\);_(&quot;$&quot;* &quot;-&quot;??_);_(@_)">
                  <c:v>25493.796577947796</c:v>
                </c:pt>
                <c:pt idx="991" formatCode="_(&quot;$&quot;* #,##0.00_);_(&quot;$&quot;* \(#,##0.00\);_(&quot;$&quot;* &quot;-&quot;??_);_(@_)">
                  <c:v>25708.57973109619</c:v>
                </c:pt>
                <c:pt idx="992" formatCode="_(&quot;$&quot;* #,##0.00_);_(&quot;$&quot;* \(#,##0.00\);_(&quot;$&quot;* &quot;-&quot;??_);_(@_)">
                  <c:v>25654.416414737749</c:v>
                </c:pt>
                <c:pt idx="993" formatCode="_(&quot;$&quot;* #,##0.00_);_(&quot;$&quot;* \(#,##0.00\);_(&quot;$&quot;* &quot;-&quot;??_);_(@_)">
                  <c:v>25698.61435041016</c:v>
                </c:pt>
                <c:pt idx="994" formatCode="_(&quot;$&quot;* #,##0.00_);_(&quot;$&quot;* \(#,##0.00\);_(&quot;$&quot;* &quot;-&quot;??_);_(@_)">
                  <c:v>25715.106477607376</c:v>
                </c:pt>
                <c:pt idx="995" formatCode="_(&quot;$&quot;* #,##0.00_);_(&quot;$&quot;* \(#,##0.00\);_(&quot;$&quot;* &quot;-&quot;??_);_(@_)">
                  <c:v>25551.379994487681</c:v>
                </c:pt>
                <c:pt idx="996" formatCode="_(&quot;$&quot;* #,##0.00_);_(&quot;$&quot;* \(#,##0.00\);_(&quot;$&quot;* &quot;-&quot;??_);_(@_)">
                  <c:v>25445.991929770549</c:v>
                </c:pt>
                <c:pt idx="997" formatCode="_(&quot;$&quot;* #,##0.00_);_(&quot;$&quot;* \(#,##0.00\);_(&quot;$&quot;* &quot;-&quot;??_);_(@_)">
                  <c:v>25617.514793555747</c:v>
                </c:pt>
                <c:pt idx="998" formatCode="_(&quot;$&quot;* #,##0.00_);_(&quot;$&quot;* \(#,##0.00\);_(&quot;$&quot;* &quot;-&quot;??_);_(@_)">
                  <c:v>25513.239692794541</c:v>
                </c:pt>
                <c:pt idx="999" formatCode="_(&quot;$&quot;* #,##0.00_);_(&quot;$&quot;* \(#,##0.00\);_(&quot;$&quot;* &quot;-&quot;??_);_(@_)">
                  <c:v>25567.649152935195</c:v>
                </c:pt>
                <c:pt idx="1000" formatCode="_(&quot;$&quot;* #,##0.00_);_(&quot;$&quot;* \(#,##0.00\);_(&quot;$&quot;* &quot;-&quot;??_);_(@_)">
                  <c:v>25779.375891200529</c:v>
                </c:pt>
                <c:pt idx="1001" formatCode="_(&quot;$&quot;* #,##0.00_);_(&quot;$&quot;* \(#,##0.00\);_(&quot;$&quot;* &quot;-&quot;??_);_(@_)">
                  <c:v>25924.805543505085</c:v>
                </c:pt>
                <c:pt idx="1002" formatCode="_(&quot;$&quot;* #,##0.00_);_(&quot;$&quot;* \(#,##0.00\);_(&quot;$&quot;* &quot;-&quot;??_);_(@_)">
                  <c:v>25999.905428205671</c:v>
                </c:pt>
                <c:pt idx="1003" formatCode="_(&quot;$&quot;* #,##0.00_);_(&quot;$&quot;* \(#,##0.00\);_(&quot;$&quot;* &quot;-&quot;??_);_(@_)">
                  <c:v>26225.112773601628</c:v>
                </c:pt>
                <c:pt idx="1004" formatCode="_(&quot;$&quot;* #,##0.00_);_(&quot;$&quot;* \(#,##0.00\);_(&quot;$&quot;* &quot;-&quot;??_);_(@_)">
                  <c:v>26228.801213589508</c:v>
                </c:pt>
                <c:pt idx="1005" formatCode="_(&quot;$&quot;* #,##0.00_);_(&quot;$&quot;* \(#,##0.00\);_(&quot;$&quot;* &quot;-&quot;??_);_(@_)">
                  <c:v>26073.5596456641</c:v>
                </c:pt>
                <c:pt idx="1006" formatCode="_(&quot;$&quot;* #,##0.00_);_(&quot;$&quot;* \(#,##0.00\);_(&quot;$&quot;* &quot;-&quot;??_);_(@_)">
                  <c:v>26218.166852380647</c:v>
                </c:pt>
                <c:pt idx="1007" formatCode="_(&quot;$&quot;* #,##0.00_);_(&quot;$&quot;* \(#,##0.00\);_(&quot;$&quot;* &quot;-&quot;??_);_(@_)">
                  <c:v>26200.095996417847</c:v>
                </c:pt>
                <c:pt idx="1008" formatCode="_(&quot;$&quot;* #,##0.00_);_(&quot;$&quot;* \(#,##0.00\);_(&quot;$&quot;* &quot;-&quot;??_);_(@_)">
                  <c:v>26242.292768623523</c:v>
                </c:pt>
                <c:pt idx="1009" formatCode="_(&quot;$&quot;* #,##0.00_);_(&quot;$&quot;* \(#,##0.00\);_(&quot;$&quot;* &quot;-&quot;??_);_(@_)">
                  <c:v>26088.089973742884</c:v>
                </c:pt>
                <c:pt idx="1010" formatCode="_(&quot;$&quot;* #,##0.00_);_(&quot;$&quot;* \(#,##0.00\);_(&quot;$&quot;* &quot;-&quot;??_);_(@_)">
                  <c:v>26107.209415870311</c:v>
                </c:pt>
                <c:pt idx="1011" formatCode="_(&quot;$&quot;* #,##0.00_);_(&quot;$&quot;* \(#,##0.00\);_(&quot;$&quot;* &quot;-&quot;??_);_(@_)">
                  <c:v>25978.366229223058</c:v>
                </c:pt>
                <c:pt idx="1012" formatCode="_(&quot;$&quot;* #,##0.00_);_(&quot;$&quot;* \(#,##0.00\);_(&quot;$&quot;* &quot;-&quot;??_);_(@_)">
                  <c:v>25951.857448412666</c:v>
                </c:pt>
                <c:pt idx="1013" formatCode="_(&quot;$&quot;* #,##0.00_);_(&quot;$&quot;* \(#,##0.00\);_(&quot;$&quot;* &quot;-&quot;??_);_(@_)">
                  <c:v>25970.565916733427</c:v>
                </c:pt>
                <c:pt idx="1014" formatCode="_(&quot;$&quot;* #,##0.00_);_(&quot;$&quot;* \(#,##0.00\);_(&quot;$&quot;* &quot;-&quot;??_);_(@_)">
                  <c:v>26109.346261003571</c:v>
                </c:pt>
                <c:pt idx="1015" formatCode="_(&quot;$&quot;* #,##0.00_);_(&quot;$&quot;* \(#,##0.00\);_(&quot;$&quot;* &quot;-&quot;??_);_(@_)">
                  <c:v>26175.060126212607</c:v>
                </c:pt>
                <c:pt idx="1016" formatCode="_(&quot;$&quot;* #,##0.00_);_(&quot;$&quot;* \(#,##0.00\);_(&quot;$&quot;* &quot;-&quot;??_);_(@_)">
                  <c:v>26222.659080989804</c:v>
                </c:pt>
                <c:pt idx="1017" formatCode="_(&quot;$&quot;* #,##0.00_);_(&quot;$&quot;* \(#,##0.00\);_(&quot;$&quot;* &quot;-&quot;??_);_(@_)">
                  <c:v>26396.931004497266</c:v>
                </c:pt>
                <c:pt idx="1018" formatCode="_(&quot;$&quot;* #,##0.00_);_(&quot;$&quot;* \(#,##0.00\);_(&quot;$&quot;* &quot;-&quot;??_);_(@_)">
                  <c:v>26815.135470220132</c:v>
                </c:pt>
                <c:pt idx="1019" formatCode="_(&quot;$&quot;* #,##0.00_);_(&quot;$&quot;* \(#,##0.00\);_(&quot;$&quot;* &quot;-&quot;??_);_(@_)">
                  <c:v>26868.406621913069</c:v>
                </c:pt>
                <c:pt idx="1020" formatCode="_(&quot;$&quot;* #,##0.00_);_(&quot;$&quot;* \(#,##0.00\);_(&quot;$&quot;* &quot;-&quot;??_);_(@_)">
                  <c:v>26954.991154819956</c:v>
                </c:pt>
                <c:pt idx="1021" formatCode="_(&quot;$&quot;* #,##0.00_);_(&quot;$&quot;* \(#,##0.00\);_(&quot;$&quot;* &quot;-&quot;??_);_(@_)">
                  <c:v>27063.177064631051</c:v>
                </c:pt>
                <c:pt idx="1022" formatCode="_(&quot;$&quot;* #,##0.00_);_(&quot;$&quot;* \(#,##0.00\);_(&quot;$&quot;* &quot;-&quot;??_);_(@_)">
                  <c:v>26985.370479961308</c:v>
                </c:pt>
                <c:pt idx="1023" formatCode="_(&quot;$&quot;* #,##0.00_);_(&quot;$&quot;* \(#,##0.00\);_(&quot;$&quot;* &quot;-&quot;??_);_(@_)">
                  <c:v>27157.137046356696</c:v>
                </c:pt>
                <c:pt idx="1024" formatCode="_(&quot;$&quot;* #,##0.00_);_(&quot;$&quot;* \(#,##0.00\);_(&quot;$&quot;* &quot;-&quot;??_);_(@_)">
                  <c:v>27302.851805563972</c:v>
                </c:pt>
                <c:pt idx="1025" formatCode="_(&quot;$&quot;* #,##0.00_);_(&quot;$&quot;* \(#,##0.00\);_(&quot;$&quot;* &quot;-&quot;??_);_(@_)">
                  <c:v>27165.961246100564</c:v>
                </c:pt>
                <c:pt idx="1026" formatCode="_(&quot;$&quot;* #,##0.00_);_(&quot;$&quot;* \(#,##0.00\);_(&quot;$&quot;* &quot;-&quot;??_);_(@_)">
                  <c:v>27267.216683591789</c:v>
                </c:pt>
                <c:pt idx="1027" formatCode="_(&quot;$&quot;* #,##0.00_);_(&quot;$&quot;* \(#,##0.00\);_(&quot;$&quot;* &quot;-&quot;??_);_(@_)">
                  <c:v>27499.532998994171</c:v>
                </c:pt>
                <c:pt idx="1028" formatCode="_(&quot;$&quot;* #,##0.00_);_(&quot;$&quot;* \(#,##0.00\);_(&quot;$&quot;* &quot;-&quot;??_);_(@_)">
                  <c:v>27361.848077434039</c:v>
                </c:pt>
                <c:pt idx="1029" formatCode="_(&quot;$&quot;* #,##0.00_);_(&quot;$&quot;* \(#,##0.00\);_(&quot;$&quot;* &quot;-&quot;??_);_(@_)">
                  <c:v>27410.110957827095</c:v>
                </c:pt>
                <c:pt idx="1030" formatCode="_(&quot;$&quot;* #,##0.00_);_(&quot;$&quot;* \(#,##0.00\);_(&quot;$&quot;* &quot;-&quot;??_);_(@_)">
                  <c:v>27366.223802160628</c:v>
                </c:pt>
                <c:pt idx="1031" formatCode="_(&quot;$&quot;* #,##0.00_);_(&quot;$&quot;* \(#,##0.00\);_(&quot;$&quot;* &quot;-&quot;??_);_(@_)">
                  <c:v>27606.997921239628</c:v>
                </c:pt>
                <c:pt idx="1032" formatCode="_(&quot;$&quot;* #,##0.00_);_(&quot;$&quot;* \(#,##0.00\);_(&quot;$&quot;* &quot;-&quot;??_);_(@_)">
                  <c:v>27526.298459084192</c:v>
                </c:pt>
                <c:pt idx="1033" formatCode="_(&quot;$&quot;* #,##0.00_);_(&quot;$&quot;* \(#,##0.00\);_(&quot;$&quot;* &quot;-&quot;??_);_(@_)">
                  <c:v>27524.702059345698</c:v>
                </c:pt>
                <c:pt idx="1034" formatCode="_(&quot;$&quot;* #,##0.00_);_(&quot;$&quot;* \(#,##0.00\);_(&quot;$&quot;* &quot;-&quot;??_);_(@_)">
                  <c:v>27678.613990273312</c:v>
                </c:pt>
                <c:pt idx="1035" formatCode="_(&quot;$&quot;* #,##0.00_);_(&quot;$&quot;* \(#,##0.00\);_(&quot;$&quot;* &quot;-&quot;??_);_(@_)">
                  <c:v>27533.391000456573</c:v>
                </c:pt>
                <c:pt idx="1036" formatCode="_(&quot;$&quot;* #,##0.00_);_(&quot;$&quot;* \(#,##0.00\);_(&quot;$&quot;* &quot;-&quot;??_);_(@_)">
                  <c:v>27727.90923710417</c:v>
                </c:pt>
                <c:pt idx="1037" formatCode="_(&quot;$&quot;* #,##0.00_);_(&quot;$&quot;* \(#,##0.00\);_(&quot;$&quot;* &quot;-&quot;??_);_(@_)">
                  <c:v>27628.935417218916</c:v>
                </c:pt>
                <c:pt idx="1038" formatCode="_(&quot;$&quot;* #,##0.00_);_(&quot;$&quot;* \(#,##0.00\);_(&quot;$&quot;* &quot;-&quot;??_);_(@_)">
                  <c:v>27625.070700329576</c:v>
                </c:pt>
                <c:pt idx="1039" formatCode="_(&quot;$&quot;* #,##0.00_);_(&quot;$&quot;* \(#,##0.00\);_(&quot;$&quot;* &quot;-&quot;??_);_(@_)">
                  <c:v>27792.40642838884</c:v>
                </c:pt>
                <c:pt idx="1040" formatCode="_(&quot;$&quot;* #,##0.00_);_(&quot;$&quot;* \(#,##0.00\);_(&quot;$&quot;* &quot;-&quot;??_);_(@_)">
                  <c:v>27859.296289811198</c:v>
                </c:pt>
                <c:pt idx="1041" formatCode="_(&quot;$&quot;* #,##0.00_);_(&quot;$&quot;* \(#,##0.00\);_(&quot;$&quot;* &quot;-&quot;??_);_(@_)">
                  <c:v>27722.834134148703</c:v>
                </c:pt>
                <c:pt idx="1042" formatCode="_(&quot;$&quot;* #,##0.00_);_(&quot;$&quot;* \(#,##0.00\);_(&quot;$&quot;* &quot;-&quot;??_);_(@_)">
                  <c:v>27812.399739982888</c:v>
                </c:pt>
                <c:pt idx="1043" formatCode="_(&quot;$&quot;* #,##0.00_);_(&quot;$&quot;* \(#,##0.00\);_(&quot;$&quot;* &quot;-&quot;??_);_(@_)">
                  <c:v>27808.807527629764</c:v>
                </c:pt>
                <c:pt idx="1044" formatCode="_(&quot;$&quot;* #,##0.00_);_(&quot;$&quot;* \(#,##0.00\);_(&quot;$&quot;* &quot;-&quot;??_);_(@_)">
                  <c:v>27682.830855693548</c:v>
                </c:pt>
                <c:pt idx="1045" formatCode="_(&quot;$&quot;* #,##0.00_);_(&quot;$&quot;* \(#,##0.00\);_(&quot;$&quot;* &quot;-&quot;??_);_(@_)">
                  <c:v>27969.905980917916</c:v>
                </c:pt>
                <c:pt idx="1046" formatCode="_(&quot;$&quot;* #,##0.00_);_(&quot;$&quot;* \(#,##0.00\);_(&quot;$&quot;* &quot;-&quot;??_);_(@_)">
                  <c:v>27614.015943206388</c:v>
                </c:pt>
                <c:pt idx="1047" formatCode="_(&quot;$&quot;* #,##0.00_);_(&quot;$&quot;* \(#,##0.00\);_(&quot;$&quot;* &quot;-&quot;??_);_(@_)">
                  <c:v>27723.867824744906</c:v>
                </c:pt>
                <c:pt idx="1048" formatCode="_(&quot;$&quot;* #,##0.00_);_(&quot;$&quot;* \(#,##0.00\);_(&quot;$&quot;* &quot;-&quot;??_);_(@_)">
                  <c:v>27741.469835860204</c:v>
                </c:pt>
                <c:pt idx="1049" formatCode="_(&quot;$&quot;* #,##0.00_);_(&quot;$&quot;* \(#,##0.00\);_(&quot;$&quot;* &quot;-&quot;??_);_(@_)">
                  <c:v>27563.565016089524</c:v>
                </c:pt>
                <c:pt idx="1050" formatCode="_(&quot;$&quot;* #,##0.00_);_(&quot;$&quot;* \(#,##0.00\);_(&quot;$&quot;* &quot;-&quot;??_);_(@_)">
                  <c:v>27914.093595937378</c:v>
                </c:pt>
                <c:pt idx="1051" formatCode="_(&quot;$&quot;* #,##0.00_);_(&quot;$&quot;* \(#,##0.00\);_(&quot;$&quot;* &quot;-&quot;??_);_(@_)">
                  <c:v>27997.594046410668</c:v>
                </c:pt>
                <c:pt idx="1052" formatCode="_(&quot;$&quot;* #,##0.00_);_(&quot;$&quot;* \(#,##0.00\);_(&quot;$&quot;* &quot;-&quot;??_);_(@_)">
                  <c:v>27925.088480368096</c:v>
                </c:pt>
                <c:pt idx="1053" formatCode="_(&quot;$&quot;* #,##0.00_);_(&quot;$&quot;* \(#,##0.00\);_(&quot;$&quot;* &quot;-&quot;??_);_(@_)">
                  <c:v>27886.376163843302</c:v>
                </c:pt>
                <c:pt idx="1054" formatCode="_(&quot;$&quot;* #,##0.00_);_(&quot;$&quot;* \(#,##0.00\);_(&quot;$&quot;* &quot;-&quot;??_);_(@_)">
                  <c:v>27848.685563364379</c:v>
                </c:pt>
                <c:pt idx="1055" formatCode="_(&quot;$&quot;* #,##0.00_);_(&quot;$&quot;* \(#,##0.00\);_(&quot;$&quot;* &quot;-&quot;??_);_(@_)">
                  <c:v>27962.743320892678</c:v>
                </c:pt>
                <c:pt idx="1056" formatCode="_(&quot;$&quot;* #,##0.00_);_(&quot;$&quot;* \(#,##0.00\);_(&quot;$&quot;* &quot;-&quot;??_);_(@_)">
                  <c:v>27826.651963173528</c:v>
                </c:pt>
                <c:pt idx="1057" formatCode="_(&quot;$&quot;* #,##0.00_);_(&quot;$&quot;* \(#,##0.00\);_(&quot;$&quot;* &quot;-&quot;??_);_(@_)">
                  <c:v>27761.667515232133</c:v>
                </c:pt>
                <c:pt idx="1058" formatCode="_(&quot;$&quot;* #,##0.00_);_(&quot;$&quot;* \(#,##0.00\);_(&quot;$&quot;* &quot;-&quot;??_);_(@_)">
                  <c:v>27955.934873425758</c:v>
                </c:pt>
                <c:pt idx="1059" formatCode="_(&quot;$&quot;* #,##0.00_);_(&quot;$&quot;* \(#,##0.00\);_(&quot;$&quot;* &quot;-&quot;??_);_(@_)">
                  <c:v>28090.408733281369</c:v>
                </c:pt>
                <c:pt idx="1060" formatCode="_(&quot;$&quot;* #,##0.00_);_(&quot;$&quot;* \(#,##0.00\);_(&quot;$&quot;* &quot;-&quot;??_);_(@_)">
                  <c:v>28027.486172875604</c:v>
                </c:pt>
                <c:pt idx="1061" formatCode="_(&quot;$&quot;* #,##0.00_);_(&quot;$&quot;* \(#,##0.00\);_(&quot;$&quot;* &quot;-&quot;??_);_(@_)">
                  <c:v>28057.124525690411</c:v>
                </c:pt>
                <c:pt idx="1062" formatCode="_(&quot;$&quot;* #,##0.00_);_(&quot;$&quot;* \(#,##0.00\);_(&quot;$&quot;* &quot;-&quot;??_);_(@_)">
                  <c:v>28240.951257207977</c:v>
                </c:pt>
                <c:pt idx="1063" formatCode="_(&quot;$&quot;* #,##0.00_);_(&quot;$&quot;* \(#,##0.00\);_(&quot;$&quot;* &quot;-&quot;??_);_(@_)">
                  <c:v>28153.0266172392</c:v>
                </c:pt>
                <c:pt idx="1064" formatCode="_(&quot;$&quot;* #,##0.00_);_(&quot;$&quot;* \(#,##0.00\);_(&quot;$&quot;* &quot;-&quot;??_);_(@_)">
                  <c:v>28332.939637838499</c:v>
                </c:pt>
                <c:pt idx="1065" formatCode="_(&quot;$&quot;* #,##0.00_);_(&quot;$&quot;* \(#,##0.00\);_(&quot;$&quot;* &quot;-&quot;??_);_(@_)">
                  <c:v>28167.34911596289</c:v>
                </c:pt>
                <c:pt idx="1066" formatCode="_(&quot;$&quot;* #,##0.00_);_(&quot;$&quot;* \(#,##0.00\);_(&quot;$&quot;* &quot;-&quot;??_);_(@_)">
                  <c:v>28083.660217093216</c:v>
                </c:pt>
                <c:pt idx="1067" formatCode="_(&quot;$&quot;* #,##0.00_);_(&quot;$&quot;* \(#,##0.00\);_(&quot;$&quot;* &quot;-&quot;??_);_(@_)">
                  <c:v>28036.549121938086</c:v>
                </c:pt>
                <c:pt idx="1068" formatCode="_(&quot;$&quot;* #,##0.00_);_(&quot;$&quot;* \(#,##0.00\);_(&quot;$&quot;* &quot;-&quot;??_);_(@_)">
                  <c:v>28023.397563551716</c:v>
                </c:pt>
                <c:pt idx="1069" formatCode="_(&quot;$&quot;* #,##0.00_);_(&quot;$&quot;* \(#,##0.00\);_(&quot;$&quot;* &quot;-&quot;??_);_(@_)">
                  <c:v>28040.432979837362</c:v>
                </c:pt>
                <c:pt idx="1070" formatCode="_(&quot;$&quot;* #,##0.00_);_(&quot;$&quot;* \(#,##0.00\);_(&quot;$&quot;* &quot;-&quot;??_);_(@_)">
                  <c:v>28189.750831601094</c:v>
                </c:pt>
                <c:pt idx="1071" formatCode="_(&quot;$&quot;* #,##0.00_);_(&quot;$&quot;* \(#,##0.00\);_(&quot;$&quot;* &quot;-&quot;??_);_(@_)">
                  <c:v>28175.730589187908</c:v>
                </c:pt>
                <c:pt idx="1072" formatCode="_(&quot;$&quot;* #,##0.00_);_(&quot;$&quot;* \(#,##0.00\);_(&quot;$&quot;* &quot;-&quot;??_);_(@_)">
                  <c:v>28087.621475808042</c:v>
                </c:pt>
                <c:pt idx="1073" formatCode="_(&quot;$&quot;* #,##0.00_);_(&quot;$&quot;* \(#,##0.00\);_(&quot;$&quot;* &quot;-&quot;??_);_(@_)">
                  <c:v>28135.548046889417</c:v>
                </c:pt>
                <c:pt idx="1074" formatCode="_(&quot;$&quot;* #,##0.00_);_(&quot;$&quot;* \(#,##0.00\);_(&quot;$&quot;* &quot;-&quot;??_);_(@_)">
                  <c:v>28128.860928353246</c:v>
                </c:pt>
                <c:pt idx="1075" formatCode="_(&quot;$&quot;* #,##0.00_);_(&quot;$&quot;* \(#,##0.00\);_(&quot;$&quot;* &quot;-&quot;??_);_(@_)">
                  <c:v>28032.24954599671</c:v>
                </c:pt>
                <c:pt idx="1076" formatCode="_(&quot;$&quot;* #,##0.00_);_(&quot;$&quot;* \(#,##0.00\);_(&quot;$&quot;* &quot;-&quot;??_);_(@_)">
                  <c:v>28029.283780073423</c:v>
                </c:pt>
                <c:pt idx="1077" formatCode="_(&quot;$&quot;* #,##0.00_);_(&quot;$&quot;* \(#,##0.00\);_(&quot;$&quot;* &quot;-&quot;??_);_(@_)">
                  <c:v>28070.353165606608</c:v>
                </c:pt>
                <c:pt idx="1078" formatCode="_(&quot;$&quot;* #,##0.00_);_(&quot;$&quot;* \(#,##0.00\);_(&quot;$&quot;* &quot;-&quot;??_);_(@_)">
                  <c:v>27843.892927513971</c:v>
                </c:pt>
                <c:pt idx="1079" formatCode="_(&quot;$&quot;* #,##0.00_);_(&quot;$&quot;* \(#,##0.00\);_(&quot;$&quot;* &quot;-&quot;??_);_(@_)">
                  <c:v>27956.216666767952</c:v>
                </c:pt>
                <c:pt idx="1080" formatCode="_(&quot;$&quot;* #,##0.00_);_(&quot;$&quot;* \(#,##0.00\);_(&quot;$&quot;* &quot;-&quot;??_);_(@_)">
                  <c:v>28212.174695208279</c:v>
                </c:pt>
                <c:pt idx="1081" formatCode="_(&quot;$&quot;* #,##0.00_);_(&quot;$&quot;* \(#,##0.00\);_(&quot;$&quot;* &quot;-&quot;??_);_(@_)">
                  <c:v>28053.891750565665</c:v>
                </c:pt>
                <c:pt idx="1082" formatCode="_(&quot;$&quot;* #,##0.00_);_(&quot;$&quot;* \(#,##0.00\);_(&quot;$&quot;* &quot;-&quot;??_);_(@_)">
                  <c:v>28080.780092652691</c:v>
                </c:pt>
                <c:pt idx="1083" formatCode="_(&quot;$&quot;* #,##0.00_);_(&quot;$&quot;* \(#,##0.00\);_(&quot;$&quot;* &quot;-&quot;??_);_(@_)">
                  <c:v>27855.279183529216</c:v>
                </c:pt>
                <c:pt idx="1084" formatCode="_(&quot;$&quot;* #,##0.00_);_(&quot;$&quot;* \(#,##0.00\);_(&quot;$&quot;* &quot;-&quot;??_);_(@_)">
                  <c:v>27716.182334756166</c:v>
                </c:pt>
                <c:pt idx="1085" formatCode="_(&quot;$&quot;* #,##0.00_);_(&quot;$&quot;* \(#,##0.00\);_(&quot;$&quot;* &quot;-&quot;??_);_(@_)">
                  <c:v>27854.307565655708</c:v>
                </c:pt>
                <c:pt idx="1086" formatCode="_(&quot;$&quot;* #,##0.00_);_(&quot;$&quot;* \(#,##0.00\);_(&quot;$&quot;* &quot;-&quot;??_);_(@_)">
                  <c:v>27912.904186198248</c:v>
                </c:pt>
                <c:pt idx="1087" formatCode="_(&quot;$&quot;* #,##0.00_);_(&quot;$&quot;* \(#,##0.00\);_(&quot;$&quot;* &quot;-&quot;??_);_(@_)">
                  <c:v>27646.884864366657</c:v>
                </c:pt>
                <c:pt idx="1088" formatCode="_(&quot;$&quot;* #,##0.00_);_(&quot;$&quot;* \(#,##0.00\);_(&quot;$&quot;* &quot;-&quot;??_);_(@_)">
                  <c:v>27717.601907940858</c:v>
                </c:pt>
                <c:pt idx="1089" formatCode="_(&quot;$&quot;* #,##0.00_);_(&quot;$&quot;* \(#,##0.00\);_(&quot;$&quot;* &quot;-&quot;??_);_(@_)">
                  <c:v>27711.377092287486</c:v>
                </c:pt>
                <c:pt idx="1090" formatCode="_(&quot;$&quot;* #,##0.00_);_(&quot;$&quot;* \(#,##0.00\);_(&quot;$&quot;* &quot;-&quot;??_);_(@_)">
                  <c:v>27499.017501724637</c:v>
                </c:pt>
                <c:pt idx="1091" formatCode="_(&quot;$&quot;* #,##0.00_);_(&quot;$&quot;* \(#,##0.00\);_(&quot;$&quot;* &quot;-&quot;??_);_(@_)">
                  <c:v>27599.165817487963</c:v>
                </c:pt>
                <c:pt idx="1092" formatCode="_(&quot;$&quot;* #,##0.00_);_(&quot;$&quot;* \(#,##0.00\);_(&quot;$&quot;* &quot;-&quot;??_);_(@_)">
                  <c:v>27607.1098423195</c:v>
                </c:pt>
                <c:pt idx="1093" formatCode="_(&quot;$&quot;* #,##0.00_);_(&quot;$&quot;* \(#,##0.00\);_(&quot;$&quot;* &quot;-&quot;??_);_(@_)">
                  <c:v>27740.711401377641</c:v>
                </c:pt>
                <c:pt idx="1094" formatCode="_(&quot;$&quot;* #,##0.00_);_(&quot;$&quot;* \(#,##0.00\);_(&quot;$&quot;* &quot;-&quot;??_);_(@_)">
                  <c:v>27620.306543760656</c:v>
                </c:pt>
                <c:pt idx="1095" formatCode="_(&quot;$&quot;* #,##0.00_);_(&quot;$&quot;* \(#,##0.00\);_(&quot;$&quot;* &quot;-&quot;??_);_(@_)">
                  <c:v>27681.17371920505</c:v>
                </c:pt>
                <c:pt idx="1096" formatCode="_(&quot;$&quot;* #,##0.00_);_(&quot;$&quot;* \(#,##0.00\);_(&quot;$&quot;* &quot;-&quot;??_);_(@_)">
                  <c:v>27930.862554270803</c:v>
                </c:pt>
                <c:pt idx="1097" formatCode="_(&quot;$&quot;* #,##0.00_);_(&quot;$&quot;* \(#,##0.00\);_(&quot;$&quot;* &quot;-&quot;??_);_(@_)">
                  <c:v>27534.146777509341</c:v>
                </c:pt>
                <c:pt idx="1098" formatCode="_(&quot;$&quot;* #,##0.00_);_(&quot;$&quot;* \(#,##0.00\);_(&quot;$&quot;* &quot;-&quot;??_);_(@_)">
                  <c:v>27497.466459532843</c:v>
                </c:pt>
                <c:pt idx="1099" formatCode="_(&quot;$&quot;* #,##0.00_);_(&quot;$&quot;* \(#,##0.00\);_(&quot;$&quot;* &quot;-&quot;??_);_(@_)">
                  <c:v>27575.887031658214</c:v>
                </c:pt>
                <c:pt idx="1100" formatCode="_(&quot;$&quot;* #,##0.00_);_(&quot;$&quot;* \(#,##0.00\);_(&quot;$&quot;* &quot;-&quot;??_);_(@_)">
                  <c:v>27411.349630927456</c:v>
                </c:pt>
                <c:pt idx="1101" formatCode="_(&quot;$&quot;* #,##0.00_);_(&quot;$&quot;* \(#,##0.00\);_(&quot;$&quot;* &quot;-&quot;??_);_(@_)">
                  <c:v>27543.719198691972</c:v>
                </c:pt>
                <c:pt idx="1102" formatCode="_(&quot;$&quot;* #,##0.00_);_(&quot;$&quot;* \(#,##0.00\);_(&quot;$&quot;* &quot;-&quot;??_);_(@_)">
                  <c:v>27558.686425836124</c:v>
                </c:pt>
                <c:pt idx="1103" formatCode="_(&quot;$&quot;* #,##0.00_);_(&quot;$&quot;* \(#,##0.00\);_(&quot;$&quot;* &quot;-&quot;??_);_(@_)">
                  <c:v>27613.902478194508</c:v>
                </c:pt>
                <c:pt idx="1104" formatCode="_(&quot;$&quot;* #,##0.00_);_(&quot;$&quot;* \(#,##0.00\);_(&quot;$&quot;* &quot;-&quot;??_);_(@_)">
                  <c:v>27740.603451169511</c:v>
                </c:pt>
                <c:pt idx="1105" formatCode="_(&quot;$&quot;* #,##0.00_);_(&quot;$&quot;* \(#,##0.00\);_(&quot;$&quot;* &quot;-&quot;??_);_(@_)">
                  <c:v>27780.450028757099</c:v>
                </c:pt>
                <c:pt idx="1106" formatCode="_(&quot;$&quot;* #,##0.00_);_(&quot;$&quot;* \(#,##0.00\);_(&quot;$&quot;* &quot;-&quot;??_);_(@_)">
                  <c:v>27597.905123537337</c:v>
                </c:pt>
                <c:pt idx="1107" formatCode="_(&quot;$&quot;* #,##0.00_);_(&quot;$&quot;* \(#,##0.00\);_(&quot;$&quot;* &quot;-&quot;??_);_(@_)">
                  <c:v>27569.043199650183</c:v>
                </c:pt>
                <c:pt idx="1108" formatCode="_(&quot;$&quot;* #,##0.00_);_(&quot;$&quot;* \(#,##0.00\);_(&quot;$&quot;* &quot;-&quot;??_);_(@_)">
                  <c:v>27657.521113251489</c:v>
                </c:pt>
                <c:pt idx="1109" formatCode="_(&quot;$&quot;* #,##0.00_);_(&quot;$&quot;* \(#,##0.00\);_(&quot;$&quot;* &quot;-&quot;??_);_(@_)">
                  <c:v>27537.37625474752</c:v>
                </c:pt>
                <c:pt idx="1110" formatCode="_(&quot;$&quot;* #,##0.00_);_(&quot;$&quot;* \(#,##0.00\);_(&quot;$&quot;* &quot;-&quot;??_);_(@_)">
                  <c:v>27470.224975467499</c:v>
                </c:pt>
                <c:pt idx="1111" formatCode="_(&quot;$&quot;* #,##0.00_);_(&quot;$&quot;* \(#,##0.00\);_(&quot;$&quot;* &quot;-&quot;??_);_(@_)">
                  <c:v>27535.075846176631</c:v>
                </c:pt>
                <c:pt idx="1112" formatCode="_(&quot;$&quot;* #,##0.00_);_(&quot;$&quot;* \(#,##0.00\);_(&quot;$&quot;* &quot;-&quot;??_);_(@_)">
                  <c:v>27553.178088566528</c:v>
                </c:pt>
                <c:pt idx="1113" formatCode="_(&quot;$&quot;* #,##0.00_);_(&quot;$&quot;* \(#,##0.00\);_(&quot;$&quot;* &quot;-&quot;??_);_(@_)">
                  <c:v>27321.668991737974</c:v>
                </c:pt>
                <c:pt idx="1114" formatCode="_(&quot;$&quot;* #,##0.00_);_(&quot;$&quot;* \(#,##0.00\);_(&quot;$&quot;* &quot;-&quot;??_);_(@_)">
                  <c:v>27487.218011317618</c:v>
                </c:pt>
                <c:pt idx="1115" formatCode="_(&quot;$&quot;* #,##0.00_);_(&quot;$&quot;* \(#,##0.00\);_(&quot;$&quot;* &quot;-&quot;??_);_(@_)">
                  <c:v>27586.715691804351</c:v>
                </c:pt>
                <c:pt idx="1116" formatCode="_(&quot;$&quot;* #,##0.00_);_(&quot;$&quot;* \(#,##0.00\);_(&quot;$&quot;* &quot;-&quot;??_);_(@_)">
                  <c:v>27731.617285846383</c:v>
                </c:pt>
                <c:pt idx="1117" formatCode="_(&quot;$&quot;* #,##0.00_);_(&quot;$&quot;* \(#,##0.00\);_(&quot;$&quot;* &quot;-&quot;??_);_(@_)">
                  <c:v>27667.372724490247</c:v>
                </c:pt>
                <c:pt idx="1118" formatCode="_(&quot;$&quot;* #,##0.00_);_(&quot;$&quot;* \(#,##0.00\);_(&quot;$&quot;* &quot;-&quot;??_);_(@_)">
                  <c:v>27629.400615024217</c:v>
                </c:pt>
                <c:pt idx="1119" formatCode="_(&quot;$&quot;* #,##0.00_);_(&quot;$&quot;* \(#,##0.00\);_(&quot;$&quot;* &quot;-&quot;??_);_(@_)">
                  <c:v>27835.316811536715</c:v>
                </c:pt>
                <c:pt idx="1120" formatCode="_(&quot;$&quot;* #,##0.00_);_(&quot;$&quot;* \(#,##0.00\);_(&quot;$&quot;* &quot;-&quot;??_);_(@_)">
                  <c:v>27902.780529006348</c:v>
                </c:pt>
                <c:pt idx="1121" formatCode="_(&quot;$&quot;* #,##0.00_);_(&quot;$&quot;* \(#,##0.00\);_(&quot;$&quot;* &quot;-&quot;??_);_(@_)">
                  <c:v>27923.659797898305</c:v>
                </c:pt>
                <c:pt idx="1122" formatCode="_(&quot;$&quot;* #,##0.00_);_(&quot;$&quot;* \(#,##0.00\);_(&quot;$&quot;* &quot;-&quot;??_);_(@_)">
                  <c:v>27926.350065871462</c:v>
                </c:pt>
                <c:pt idx="1123" formatCode="_(&quot;$&quot;* #,##0.00_);_(&quot;$&quot;* \(#,##0.00\);_(&quot;$&quot;* &quot;-&quot;??_);_(@_)">
                  <c:v>28093.256007259224</c:v>
                </c:pt>
                <c:pt idx="1124" formatCode="_(&quot;$&quot;* #,##0.00_);_(&quot;$&quot;* \(#,##0.00\);_(&quot;$&quot;* &quot;-&quot;??_);_(@_)">
                  <c:v>28106.247183937845</c:v>
                </c:pt>
                <c:pt idx="1125" formatCode="_(&quot;$&quot;* #,##0.00_);_(&quot;$&quot;* \(#,##0.00\);_(&quot;$&quot;* &quot;-&quot;??_);_(@_)">
                  <c:v>28100.926961133886</c:v>
                </c:pt>
                <c:pt idx="1126" formatCode="_(&quot;$&quot;* #,##0.00_);_(&quot;$&quot;* \(#,##0.00\);_(&quot;$&quot;* &quot;-&quot;??_);_(@_)">
                  <c:v>28386.319561394932</c:v>
                </c:pt>
                <c:pt idx="1127" formatCode="_(&quot;$&quot;* #,##0.00_);_(&quot;$&quot;* \(#,##0.00\);_(&quot;$&quot;* &quot;-&quot;??_);_(@_)">
                  <c:v>28046.862775402875</c:v>
                </c:pt>
                <c:pt idx="1128" formatCode="_(&quot;$&quot;* #,##0.00_);_(&quot;$&quot;* \(#,##0.00\);_(&quot;$&quot;* &quot;-&quot;??_);_(@_)">
                  <c:v>28248.069835389455</c:v>
                </c:pt>
                <c:pt idx="1129" formatCode="_(&quot;$&quot;* #,##0.00_);_(&quot;$&quot;* \(#,##0.00\);_(&quot;$&quot;* &quot;-&quot;??_);_(@_)">
                  <c:v>28380.712243827933</c:v>
                </c:pt>
                <c:pt idx="1130" formatCode="_(&quot;$&quot;* #,##0.00_);_(&quot;$&quot;* \(#,##0.00\);_(&quot;$&quot;* &quot;-&quot;??_);_(@_)">
                  <c:v>27969.70819813446</c:v>
                </c:pt>
                <c:pt idx="1131" formatCode="_(&quot;$&quot;* #,##0.00_);_(&quot;$&quot;* \(#,##0.00\);_(&quot;$&quot;* &quot;-&quot;??_);_(@_)">
                  <c:v>27956.332173865925</c:v>
                </c:pt>
                <c:pt idx="1132" formatCode="_(&quot;$&quot;* #,##0.00_);_(&quot;$&quot;* \(#,##0.00\);_(&quot;$&quot;* &quot;-&quot;??_);_(@_)">
                  <c:v>27783.997803011815</c:v>
                </c:pt>
                <c:pt idx="1133" formatCode="_(&quot;$&quot;* #,##0.00_);_(&quot;$&quot;* \(#,##0.00\);_(&quot;$&quot;* &quot;-&quot;??_);_(@_)">
                  <c:v>27871.93795991749</c:v>
                </c:pt>
                <c:pt idx="1134" formatCode="_(&quot;$&quot;* #,##0.00_);_(&quot;$&quot;* \(#,##0.00\);_(&quot;$&quot;* &quot;-&quot;??_);_(@_)">
                  <c:v>28090.116193051883</c:v>
                </c:pt>
                <c:pt idx="1135" formatCode="_(&quot;$&quot;* #,##0.00_);_(&quot;$&quot;* \(#,##0.00\);_(&quot;$&quot;* &quot;-&quot;??_);_(@_)">
                  <c:v>27880.819038101199</c:v>
                </c:pt>
                <c:pt idx="1136" formatCode="_(&quot;$&quot;* #,##0.00_);_(&quot;$&quot;* \(#,##0.00\);_(&quot;$&quot;* &quot;-&quot;??_);_(@_)">
                  <c:v>28020.350455183874</c:v>
                </c:pt>
                <c:pt idx="1137" formatCode="_(&quot;$&quot;* #,##0.00_);_(&quot;$&quot;* \(#,##0.00\);_(&quot;$&quot;* &quot;-&quot;??_);_(@_)">
                  <c:v>28098.832338115484</c:v>
                </c:pt>
                <c:pt idx="1138" formatCode="_(&quot;$&quot;* #,##0.00_);_(&quot;$&quot;* \(#,##0.00\);_(&quot;$&quot;* &quot;-&quot;??_);_(@_)">
                  <c:v>28257.296451904127</c:v>
                </c:pt>
                <c:pt idx="1139" formatCode="_(&quot;$&quot;* #,##0.00_);_(&quot;$&quot;* \(#,##0.00\);_(&quot;$&quot;* &quot;-&quot;??_);_(@_)">
                  <c:v>28148.869840255618</c:v>
                </c:pt>
                <c:pt idx="1140" formatCode="_(&quot;$&quot;* #,##0.00_);_(&quot;$&quot;* \(#,##0.00\);_(&quot;$&quot;* &quot;-&quot;??_);_(@_)">
                  <c:v>27828.037356724217</c:v>
                </c:pt>
                <c:pt idx="1141" formatCode="_(&quot;$&quot;* #,##0.00_);_(&quot;$&quot;* \(#,##0.00\);_(&quot;$&quot;* &quot;-&quot;??_);_(@_)">
                  <c:v>27833.058419777364</c:v>
                </c:pt>
                <c:pt idx="1142" formatCode="_(&quot;$&quot;* #,##0.00_);_(&quot;$&quot;* \(#,##0.00\);_(&quot;$&quot;* &quot;-&quot;??_);_(@_)">
                  <c:v>28124.402901609887</c:v>
                </c:pt>
                <c:pt idx="1143" formatCode="_(&quot;$&quot;* #,##0.00_);_(&quot;$&quot;* \(#,##0.00\);_(&quot;$&quot;* &quot;-&quot;??_);_(@_)">
                  <c:v>28271.38136214525</c:v>
                </c:pt>
                <c:pt idx="1144" formatCode="_(&quot;$&quot;* #,##0.00_);_(&quot;$&quot;* \(#,##0.00\);_(&quot;$&quot;* &quot;-&quot;??_);_(@_)">
                  <c:v>28682.080520870575</c:v>
                </c:pt>
                <c:pt idx="1145" formatCode="_(&quot;$&quot;* #,##0.00_);_(&quot;$&quot;* \(#,##0.00\);_(&quot;$&quot;* &quot;-&quot;??_);_(@_)">
                  <c:v>28256.420267941867</c:v>
                </c:pt>
                <c:pt idx="1146" formatCode="_(&quot;$&quot;* #,##0.00_);_(&quot;$&quot;* \(#,##0.00\);_(&quot;$&quot;* &quot;-&quot;??_);_(@_)">
                  <c:v>28353.202799661503</c:v>
                </c:pt>
                <c:pt idx="1147" formatCode="_(&quot;$&quot;* #,##0.00_);_(&quot;$&quot;* \(#,##0.00\);_(&quot;$&quot;* &quot;-&quot;??_);_(@_)">
                  <c:v>28300.933875552782</c:v>
                </c:pt>
                <c:pt idx="1148" formatCode="_(&quot;$&quot;* #,##0.00_);_(&quot;$&quot;* \(#,##0.00\);_(&quot;$&quot;* &quot;-&quot;??_);_(@_)">
                  <c:v>28163.145155114176</c:v>
                </c:pt>
                <c:pt idx="1149" formatCode="_(&quot;$&quot;* #,##0.00_);_(&quot;$&quot;* \(#,##0.00\);_(&quot;$&quot;* &quot;-&quot;??_);_(@_)">
                  <c:v>28364.072302300658</c:v>
                </c:pt>
                <c:pt idx="1150" formatCode="_(&quot;$&quot;* #,##0.00_);_(&quot;$&quot;* \(#,##0.00\);_(&quot;$&quot;* &quot;-&quot;??_);_(@_)">
                  <c:v>28523.461567951435</c:v>
                </c:pt>
                <c:pt idx="1151" formatCode="_(&quot;$&quot;* #,##0.00_);_(&quot;$&quot;* \(#,##0.00\);_(&quot;$&quot;* &quot;-&quot;??_);_(@_)">
                  <c:v>28630.104300772742</c:v>
                </c:pt>
                <c:pt idx="1152" formatCode="_(&quot;$&quot;* #,##0.00_);_(&quot;$&quot;* \(#,##0.00\);_(&quot;$&quot;* &quot;-&quot;??_);_(@_)">
                  <c:v>28161.160838272961</c:v>
                </c:pt>
                <c:pt idx="1153" formatCode="_(&quot;$&quot;* #,##0.00_);_(&quot;$&quot;* \(#,##0.00\);_(&quot;$&quot;* &quot;-&quot;??_);_(@_)">
                  <c:v>28502.067234048845</c:v>
                </c:pt>
                <c:pt idx="1154" formatCode="_(&quot;$&quot;* #,##0.00_);_(&quot;$&quot;* \(#,##0.00\);_(&quot;$&quot;* &quot;-&quot;??_);_(@_)">
                  <c:v>28559.143890757154</c:v>
                </c:pt>
                <c:pt idx="1155" formatCode="_(&quot;$&quot;* #,##0.00_);_(&quot;$&quot;* \(#,##0.00\);_(&quot;$&quot;* &quot;-&quot;??_);_(@_)">
                  <c:v>28455.042650077798</c:v>
                </c:pt>
                <c:pt idx="1156" formatCode="_(&quot;$&quot;* #,##0.00_);_(&quot;$&quot;* \(#,##0.00\);_(&quot;$&quot;* &quot;-&quot;??_);_(@_)">
                  <c:v>28571.242981337517</c:v>
                </c:pt>
                <c:pt idx="1157" formatCode="_(&quot;$&quot;* #,##0.00_);_(&quot;$&quot;* \(#,##0.00\);_(&quot;$&quot;* &quot;-&quot;??_);_(@_)">
                  <c:v>28595.860119212208</c:v>
                </c:pt>
                <c:pt idx="1158" formatCode="_(&quot;$&quot;* #,##0.00_);_(&quot;$&quot;* \(#,##0.00\);_(&quot;$&quot;* &quot;-&quot;??_);_(@_)">
                  <c:v>28635.674404795667</c:v>
                </c:pt>
                <c:pt idx="1159" formatCode="_(&quot;$&quot;* #,##0.00_);_(&quot;$&quot;* \(#,##0.00\);_(&quot;$&quot;* &quot;-&quot;??_);_(@_)">
                  <c:v>28514.345123807696</c:v>
                </c:pt>
                <c:pt idx="1160" formatCode="_(&quot;$&quot;* #,##0.00_);_(&quot;$&quot;* \(#,##0.00\);_(&quot;$&quot;* &quot;-&quot;??_);_(@_)">
                  <c:v>28729.400119339738</c:v>
                </c:pt>
                <c:pt idx="1161" formatCode="_(&quot;$&quot;* #,##0.00_);_(&quot;$&quot;* \(#,##0.00\);_(&quot;$&quot;* &quot;-&quot;??_);_(@_)">
                  <c:v>28806.776802209955</c:v>
                </c:pt>
                <c:pt idx="1162" formatCode="_(&quot;$&quot;* #,##0.00_);_(&quot;$&quot;* \(#,##0.00\);_(&quot;$&quot;* &quot;-&quot;??_);_(@_)">
                  <c:v>28786.294640474858</c:v>
                </c:pt>
                <c:pt idx="1163" formatCode="_(&quot;$&quot;* #,##0.00_);_(&quot;$&quot;* \(#,##0.00\);_(&quot;$&quot;* &quot;-&quot;??_);_(@_)">
                  <c:v>29420.887053399787</c:v>
                </c:pt>
                <c:pt idx="1164" formatCode="_(&quot;$&quot;* #,##0.00_);_(&quot;$&quot;* \(#,##0.00\);_(&quot;$&quot;* &quot;-&quot;??_);_(@_)">
                  <c:v>28602.330349818982</c:v>
                </c:pt>
                <c:pt idx="1165" formatCode="_(&quot;$&quot;* #,##0.00_);_(&quot;$&quot;* \(#,##0.00\);_(&quot;$&quot;* &quot;-&quot;??_);_(@_)">
                  <c:v>28479.69767559211</c:v>
                </c:pt>
                <c:pt idx="1166" formatCode="_(&quot;$&quot;* #,##0.00_);_(&quot;$&quot;* \(#,##0.00\);_(&quot;$&quot;* &quot;-&quot;??_);_(@_)">
                  <c:v>28453.56041885139</c:v>
                </c:pt>
                <c:pt idx="1167" formatCode="_(&quot;$&quot;* #,##0.00_);_(&quot;$&quot;* \(#,##0.00\);_(&quot;$&quot;* &quot;-&quot;??_);_(@_)">
                  <c:v>28596.625581144948</c:v>
                </c:pt>
                <c:pt idx="1168" formatCode="_(&quot;$&quot;* #,##0.00_);_(&quot;$&quot;* \(#,##0.00\);_(&quot;$&quot;* &quot;-&quot;??_);_(@_)">
                  <c:v>28730.498317550846</c:v>
                </c:pt>
                <c:pt idx="1169" formatCode="_(&quot;$&quot;* #,##0.00_);_(&quot;$&quot;* \(#,##0.00\);_(&quot;$&quot;* &quot;-&quot;??_);_(@_)">
                  <c:v>28633.040164077669</c:v>
                </c:pt>
                <c:pt idx="1170" formatCode="_(&quot;$&quot;* #,##0.00_);_(&quot;$&quot;* \(#,##0.00\);_(&quot;$&quot;* &quot;-&quot;??_);_(@_)">
                  <c:v>28651.705494188853</c:v>
                </c:pt>
                <c:pt idx="1171" formatCode="_(&quot;$&quot;* #,##0.00_);_(&quot;$&quot;* \(#,##0.00\);_(&quot;$&quot;* &quot;-&quot;??_);_(@_)">
                  <c:v>28685.512769879748</c:v>
                </c:pt>
                <c:pt idx="1172" formatCode="_(&quot;$&quot;* #,##0.00_);_(&quot;$&quot;* \(#,##0.00\);_(&quot;$&quot;* &quot;-&quot;??_);_(@_)">
                  <c:v>28770.251482292915</c:v>
                </c:pt>
                <c:pt idx="1173" formatCode="_(&quot;$&quot;* #,##0.00_);_(&quot;$&quot;* \(#,##0.00\);_(&quot;$&quot;* &quot;-&quot;??_);_(@_)">
                  <c:v>28222.771203566866</c:v>
                </c:pt>
                <c:pt idx="1174" formatCode="_(&quot;$&quot;* #,##0.00_);_(&quot;$&quot;* \(#,##0.00\);_(&quot;$&quot;* &quot;-&quot;??_);_(@_)">
                  <c:v>28356.26147920427</c:v>
                </c:pt>
                <c:pt idx="1175" formatCode="_(&quot;$&quot;* #,##0.00_);_(&quot;$&quot;* \(#,##0.00\);_(&quot;$&quot;* &quot;-&quot;??_);_(@_)">
                  <c:v>28628.512487070388</c:v>
                </c:pt>
                <c:pt idx="1176" formatCode="_(&quot;$&quot;* #,##0.00_);_(&quot;$&quot;* \(#,##0.00\);_(&quot;$&quot;* &quot;-&quot;??_);_(@_)">
                  <c:v>28314.457175843851</c:v>
                </c:pt>
                <c:pt idx="1177" formatCode="_(&quot;$&quot;* #,##0.00_);_(&quot;$&quot;* \(#,##0.00\);_(&quot;$&quot;* &quot;-&quot;??_);_(@_)">
                  <c:v>28718.355746621735</c:v>
                </c:pt>
                <c:pt idx="1178" formatCode="_(&quot;$&quot;* #,##0.00_);_(&quot;$&quot;* \(#,##0.00\);_(&quot;$&quot;* &quot;-&quot;??_);_(@_)">
                  <c:v>28599.073846937288</c:v>
                </c:pt>
                <c:pt idx="1179" formatCode="_(&quot;$&quot;* #,##0.00_);_(&quot;$&quot;* \(#,##0.00\);_(&quot;$&quot;* &quot;-&quot;??_);_(@_)">
                  <c:v>28663.562646950937</c:v>
                </c:pt>
                <c:pt idx="1180" formatCode="_(&quot;$&quot;* #,##0.00_);_(&quot;$&quot;* \(#,##0.00\);_(&quot;$&quot;* &quot;-&quot;??_);_(@_)">
                  <c:v>28469.755832590774</c:v>
                </c:pt>
                <c:pt idx="1181" formatCode="_(&quot;$&quot;* #,##0.00_);_(&quot;$&quot;* \(#,##0.00\);_(&quot;$&quot;* &quot;-&quot;??_);_(@_)">
                  <c:v>28264.088831278343</c:v>
                </c:pt>
                <c:pt idx="1182" formatCode="_(&quot;$&quot;* #,##0.00_);_(&quot;$&quot;* \(#,##0.00\);_(&quot;$&quot;* &quot;-&quot;??_);_(@_)">
                  <c:v>28563.512510361405</c:v>
                </c:pt>
                <c:pt idx="1183" formatCode="_(&quot;$&quot;* #,##0.00_);_(&quot;$&quot;* \(#,##0.00\);_(&quot;$&quot;* &quot;-&quot;??_);_(@_)">
                  <c:v>28419.047926680312</c:v>
                </c:pt>
                <c:pt idx="1184" formatCode="_(&quot;$&quot;* #,##0.00_);_(&quot;$&quot;* \(#,##0.00\);_(&quot;$&quot;* &quot;-&quot;??_);_(@_)">
                  <c:v>28295.667562815324</c:v>
                </c:pt>
                <c:pt idx="1185" formatCode="_(&quot;$&quot;* #,##0.00_);_(&quot;$&quot;* \(#,##0.00\);_(&quot;$&quot;* &quot;-&quot;??_);_(@_)">
                  <c:v>28691.73970272097</c:v>
                </c:pt>
                <c:pt idx="1186" formatCode="_(&quot;$&quot;* #,##0.00_);_(&quot;$&quot;* \(#,##0.00\);_(&quot;$&quot;* &quot;-&quot;??_);_(@_)">
                  <c:v>28774.653409005012</c:v>
                </c:pt>
                <c:pt idx="1187" formatCode="_(&quot;$&quot;* #,##0.00_);_(&quot;$&quot;* \(#,##0.00\);_(&quot;$&quot;* &quot;-&quot;??_);_(@_)">
                  <c:v>28733.961354837884</c:v>
                </c:pt>
                <c:pt idx="1188" formatCode="_(&quot;$&quot;* #,##0.00_);_(&quot;$&quot;* \(#,##0.00\);_(&quot;$&quot;* &quot;-&quot;??_);_(@_)">
                  <c:v>29100.827518022983</c:v>
                </c:pt>
                <c:pt idx="1189" formatCode="_(&quot;$&quot;* #,##0.00_);_(&quot;$&quot;* \(#,##0.00\);_(&quot;$&quot;* &quot;-&quot;??_);_(@_)">
                  <c:v>28781.255285744002</c:v>
                </c:pt>
                <c:pt idx="1190" formatCode="_(&quot;$&quot;* #,##0.00_);_(&quot;$&quot;* \(#,##0.00\);_(&quot;$&quot;* &quot;-&quot;??_);_(@_)">
                  <c:v>29150.260676322425</c:v>
                </c:pt>
                <c:pt idx="1191" formatCode="_(&quot;$&quot;* #,##0.00_);_(&quot;$&quot;* \(#,##0.00\);_(&quot;$&quot;* &quot;-&quot;??_);_(@_)">
                  <c:v>28891.495980143314</c:v>
                </c:pt>
                <c:pt idx="1192" formatCode="_(&quot;$&quot;* #,##0.00_);_(&quot;$&quot;* \(#,##0.00\);_(&quot;$&quot;* &quot;-&quot;??_);_(@_)">
                  <c:v>28774.121991329957</c:v>
                </c:pt>
                <c:pt idx="1193" formatCode="_(&quot;$&quot;* #,##0.00_);_(&quot;$&quot;* \(#,##0.00\);_(&quot;$&quot;* &quot;-&quot;??_);_(@_)">
                  <c:v>28977.678781249298</c:v>
                </c:pt>
                <c:pt idx="1194" formatCode="_(&quot;$&quot;* #,##0.00_);_(&quot;$&quot;* \(#,##0.00\);_(&quot;$&quot;* &quot;-&quot;??_);_(@_)">
                  <c:v>28825.736007742424</c:v>
                </c:pt>
                <c:pt idx="1195" formatCode="_(&quot;$&quot;* #,##0.00_);_(&quot;$&quot;* \(#,##0.00\);_(&quot;$&quot;* &quot;-&quot;??_);_(@_)">
                  <c:v>29071.472511462078</c:v>
                </c:pt>
                <c:pt idx="1196" formatCode="_(&quot;$&quot;* #,##0.00_);_(&quot;$&quot;* \(#,##0.00\);_(&quot;$&quot;* &quot;-&quot;??_);_(@_)">
                  <c:v>29043.756887533167</c:v>
                </c:pt>
                <c:pt idx="1197" formatCode="_(&quot;$&quot;* #,##0.00_);_(&quot;$&quot;* \(#,##0.00\);_(&quot;$&quot;* &quot;-&quot;??_);_(@_)">
                  <c:v>29316.398928688202</c:v>
                </c:pt>
                <c:pt idx="1198" formatCode="_(&quot;$&quot;* #,##0.00_);_(&quot;$&quot;* \(#,##0.00\);_(&quot;$&quot;* &quot;-&quot;??_);_(@_)">
                  <c:v>29324.210232541474</c:v>
                </c:pt>
                <c:pt idx="1199" formatCode="_(&quot;$&quot;* #,##0.00_);_(&quot;$&quot;* \(#,##0.00\);_(&quot;$&quot;* &quot;-&quot;??_);_(@_)">
                  <c:v>29108.399075192287</c:v>
                </c:pt>
                <c:pt idx="1200" formatCode="_(&quot;$&quot;* #,##0.00_);_(&quot;$&quot;* \(#,##0.00\);_(&quot;$&quot;* &quot;-&quot;??_);_(@_)">
                  <c:v>29265.592856080271</c:v>
                </c:pt>
                <c:pt idx="1201" formatCode="_(&quot;$&quot;* #,##0.00_);_(&quot;$&quot;* \(#,##0.00\);_(&quot;$&quot;* &quot;-&quot;??_);_(@_)">
                  <c:v>29167.727915455092</c:v>
                </c:pt>
                <c:pt idx="1202" formatCode="_(&quot;$&quot;* #,##0.00_);_(&quot;$&quot;* \(#,##0.00\);_(&quot;$&quot;* &quot;-&quot;??_);_(@_)">
                  <c:v>29232.534117836003</c:v>
                </c:pt>
                <c:pt idx="1203" formatCode="_(&quot;$&quot;* #,##0.00_);_(&quot;$&quot;* \(#,##0.00\);_(&quot;$&quot;* &quot;-&quot;??_);_(@_)">
                  <c:v>29475.361106924473</c:v>
                </c:pt>
                <c:pt idx="1204" formatCode="_(&quot;$&quot;* #,##0.00_);_(&quot;$&quot;* \(#,##0.00\);_(&quot;$&quot;* &quot;-&quot;??_);_(@_)">
                  <c:v>29358.839337221769</c:v>
                </c:pt>
                <c:pt idx="1205" formatCode="_(&quot;$&quot;* #,##0.00_);_(&quot;$&quot;* \(#,##0.00\);_(&quot;$&quot;* &quot;-&quot;??_);_(@_)">
                  <c:v>28993.055316536214</c:v>
                </c:pt>
                <c:pt idx="1206" formatCode="_(&quot;$&quot;* #,##0.00_);_(&quot;$&quot;* \(#,##0.00\);_(&quot;$&quot;* &quot;-&quot;??_);_(@_)">
                  <c:v>28864.522752666151</c:v>
                </c:pt>
                <c:pt idx="1207" formatCode="_(&quot;$&quot;* #,##0.00_);_(&quot;$&quot;* \(#,##0.00\);_(&quot;$&quot;* &quot;-&quot;??_);_(@_)">
                  <c:v>29250.024030193996</c:v>
                </c:pt>
                <c:pt idx="1208" formatCode="_(&quot;$&quot;* #,##0.00_);_(&quot;$&quot;* \(#,##0.00\);_(&quot;$&quot;* &quot;-&quot;??_);_(@_)">
                  <c:v>29088.547372916415</c:v>
                </c:pt>
                <c:pt idx="1209" formatCode="_(&quot;$&quot;* #,##0.00_);_(&quot;$&quot;* \(#,##0.00\);_(&quot;$&quot;* &quot;-&quot;??_);_(@_)">
                  <c:v>29275.88494481333</c:v>
                </c:pt>
                <c:pt idx="1210" formatCode="_(&quot;$&quot;* #,##0.00_);_(&quot;$&quot;* \(#,##0.00\);_(&quot;$&quot;* &quot;-&quot;??_);_(@_)">
                  <c:v>29174.669390229665</c:v>
                </c:pt>
                <c:pt idx="1211" formatCode="_(&quot;$&quot;* #,##0.00_);_(&quot;$&quot;* \(#,##0.00\);_(&quot;$&quot;* &quot;-&quot;??_);_(@_)">
                  <c:v>29020.617571192914</c:v>
                </c:pt>
                <c:pt idx="1212" formatCode="_(&quot;$&quot;* #,##0.00_);_(&quot;$&quot;* \(#,##0.00\);_(&quot;$&quot;* &quot;-&quot;??_);_(@_)">
                  <c:v>29217.006037894815</c:v>
                </c:pt>
                <c:pt idx="1213" formatCode="_(&quot;$&quot;* #,##0.00_);_(&quot;$&quot;* \(#,##0.00\);_(&quot;$&quot;* &quot;-&quot;??_);_(@_)">
                  <c:v>29306.469100894366</c:v>
                </c:pt>
                <c:pt idx="1214" formatCode="_(&quot;$&quot;* #,##0.00_);_(&quot;$&quot;* \(#,##0.00\);_(&quot;$&quot;* &quot;-&quot;??_);_(@_)">
                  <c:v>29016.803177614474</c:v>
                </c:pt>
                <c:pt idx="1215" formatCode="_(&quot;$&quot;* #,##0.00_);_(&quot;$&quot;* \(#,##0.00\);_(&quot;$&quot;* &quot;-&quot;??_);_(@_)">
                  <c:v>29080.378848152341</c:v>
                </c:pt>
                <c:pt idx="1216" formatCode="_(&quot;$&quot;* #,##0.00_);_(&quot;$&quot;* \(#,##0.00\);_(&quot;$&quot;* &quot;-&quot;??_);_(@_)">
                  <c:v>29241.633717631903</c:v>
                </c:pt>
                <c:pt idx="1217" formatCode="_(&quot;$&quot;* #,##0.00_);_(&quot;$&quot;* \(#,##0.00\);_(&quot;$&quot;* &quot;-&quot;??_);_(@_)">
                  <c:v>29401.967278068445</c:v>
                </c:pt>
                <c:pt idx="1218" formatCode="_(&quot;$&quot;* #,##0.00_);_(&quot;$&quot;* \(#,##0.00\);_(&quot;$&quot;* &quot;-&quot;??_);_(@_)">
                  <c:v>29325.191594101681</c:v>
                </c:pt>
                <c:pt idx="1219" formatCode="_(&quot;$&quot;* #,##0.00_);_(&quot;$&quot;* \(#,##0.00\);_(&quot;$&quot;* &quot;-&quot;??_);_(@_)">
                  <c:v>29441.452557239958</c:v>
                </c:pt>
                <c:pt idx="1220" formatCode="_(&quot;$&quot;* #,##0.00_);_(&quot;$&quot;* \(#,##0.00\);_(&quot;$&quot;* &quot;-&quot;??_);_(@_)">
                  <c:v>29532.931975209816</c:v>
                </c:pt>
                <c:pt idx="1221" formatCode="_(&quot;$&quot;* #,##0.00_);_(&quot;$&quot;* \(#,##0.00\);_(&quot;$&quot;* &quot;-&quot;??_);_(@_)">
                  <c:v>29693.720180658816</c:v>
                </c:pt>
                <c:pt idx="1222" formatCode="_(&quot;$&quot;* #,##0.00_);_(&quot;$&quot;* \(#,##0.00\);_(&quot;$&quot;* &quot;-&quot;??_);_(@_)">
                  <c:v>29720.627546081148</c:v>
                </c:pt>
                <c:pt idx="1223" formatCode="_(&quot;$&quot;* #,##0.00_);_(&quot;$&quot;* \(#,##0.00\);_(&quot;$&quot;* &quot;-&quot;??_);_(@_)">
                  <c:v>29687.447734109945</c:v>
                </c:pt>
                <c:pt idx="1224" formatCode="_(&quot;$&quot;* #,##0.00_);_(&quot;$&quot;* \(#,##0.00\);_(&quot;$&quot;* &quot;-&quot;??_);_(@_)">
                  <c:v>29721.546052849139</c:v>
                </c:pt>
                <c:pt idx="1225" formatCode="_(&quot;$&quot;* #,##0.00_);_(&quot;$&quot;* \(#,##0.00\);_(&quot;$&quot;* &quot;-&quot;??_);_(@_)">
                  <c:v>29757.900130997245</c:v>
                </c:pt>
                <c:pt idx="1226" formatCode="_(&quot;$&quot;* #,##0.00_);_(&quot;$&quot;* \(#,##0.00\);_(&quot;$&quot;* &quot;-&quot;??_);_(@_)">
                  <c:v>29886.757747862117</c:v>
                </c:pt>
                <c:pt idx="1227" formatCode="_(&quot;$&quot;* #,##0.00_);_(&quot;$&quot;* \(#,##0.00\);_(&quot;$&quot;* &quot;-&quot;??_);_(@_)">
                  <c:v>30021.877980486417</c:v>
                </c:pt>
                <c:pt idx="1228" formatCode="_(&quot;$&quot;* #,##0.00_);_(&quot;$&quot;* \(#,##0.00\);_(&quot;$&quot;* &quot;-&quot;??_);_(@_)">
                  <c:v>29951.510806823222</c:v>
                </c:pt>
                <c:pt idx="1229" formatCode="_(&quot;$&quot;* #,##0.00_);_(&quot;$&quot;* \(#,##0.00\);_(&quot;$&quot;* &quot;-&quot;??_);_(@_)">
                  <c:v>29665.647365807479</c:v>
                </c:pt>
                <c:pt idx="1230" formatCode="_(&quot;$&quot;* #,##0.00_);_(&quot;$&quot;* \(#,##0.00\);_(&quot;$&quot;* &quot;-&quot;??_);_(@_)">
                  <c:v>29402.705397485035</c:v>
                </c:pt>
                <c:pt idx="1231" formatCode="_(&quot;$&quot;* #,##0.00_);_(&quot;$&quot;* \(#,##0.00\);_(&quot;$&quot;* &quot;-&quot;??_);_(@_)">
                  <c:v>29208.693093140755</c:v>
                </c:pt>
                <c:pt idx="1232" formatCode="_(&quot;$&quot;* #,##0.00_);_(&quot;$&quot;* \(#,##0.00\);_(&quot;$&quot;* &quot;-&quot;??_);_(@_)">
                  <c:v>29109.030531679611</c:v>
                </c:pt>
                <c:pt idx="1233" formatCode="_(&quot;$&quot;* #,##0.00_);_(&quot;$&quot;* \(#,##0.00\);_(&quot;$&quot;* &quot;-&quot;??_);_(@_)">
                  <c:v>29446.224271823401</c:v>
                </c:pt>
                <c:pt idx="1234" formatCode="_(&quot;$&quot;* #,##0.00_);_(&quot;$&quot;* \(#,##0.00\);_(&quot;$&quot;* &quot;-&quot;??_);_(@_)">
                  <c:v>29266.193550328251</c:v>
                </c:pt>
                <c:pt idx="1235" formatCode="_(&quot;$&quot;* #,##0.00_);_(&quot;$&quot;* \(#,##0.00\);_(&quot;$&quot;* &quot;-&quot;??_);_(@_)">
                  <c:v>29271.511884540872</c:v>
                </c:pt>
                <c:pt idx="1236" formatCode="_(&quot;$&quot;* #,##0.00_);_(&quot;$&quot;* \(#,##0.00\);_(&quot;$&quot;* &quot;-&quot;??_);_(@_)">
                  <c:v>29165.176492538463</c:v>
                </c:pt>
                <c:pt idx="1237" formatCode="_(&quot;$&quot;* #,##0.00_);_(&quot;$&quot;* \(#,##0.00\);_(&quot;$&quot;* &quot;-&quot;??_);_(@_)">
                  <c:v>29204.335114554986</c:v>
                </c:pt>
                <c:pt idx="1238" formatCode="_(&quot;$&quot;* #,##0.00_);_(&quot;$&quot;* \(#,##0.00\);_(&quot;$&quot;* &quot;-&quot;??_);_(@_)">
                  <c:v>29157.428543224378</c:v>
                </c:pt>
                <c:pt idx="1239" formatCode="_(&quot;$&quot;* #,##0.00_);_(&quot;$&quot;* \(#,##0.00\);_(&quot;$&quot;* &quot;-&quot;??_);_(@_)">
                  <c:v>29285.860718521115</c:v>
                </c:pt>
                <c:pt idx="1240" formatCode="_(&quot;$&quot;* #,##0.00_);_(&quot;$&quot;* \(#,##0.00\);_(&quot;$&quot;* &quot;-&quot;??_);_(@_)">
                  <c:v>29329.968762750374</c:v>
                </c:pt>
                <c:pt idx="1241" formatCode="_(&quot;$&quot;* #,##0.00_);_(&quot;$&quot;* \(#,##0.00\);_(&quot;$&quot;* &quot;-&quot;??_);_(@_)">
                  <c:v>29735.861129248431</c:v>
                </c:pt>
                <c:pt idx="1242" formatCode="_(&quot;$&quot;* #,##0.00_);_(&quot;$&quot;* \(#,##0.00\);_(&quot;$&quot;* &quot;-&quot;??_);_(@_)">
                  <c:v>29256.975299439</c:v>
                </c:pt>
                <c:pt idx="1243" formatCode="_(&quot;$&quot;* #,##0.00_);_(&quot;$&quot;* \(#,##0.00\);_(&quot;$&quot;* &quot;-&quot;??_);_(@_)">
                  <c:v>29531.49201309184</c:v>
                </c:pt>
                <c:pt idx="1244" formatCode="_(&quot;$&quot;* #,##0.00_);_(&quot;$&quot;* \(#,##0.00\);_(&quot;$&quot;* &quot;-&quot;??_);_(@_)">
                  <c:v>29314.517641650142</c:v>
                </c:pt>
                <c:pt idx="1245" formatCode="_(&quot;$&quot;* #,##0.00_);_(&quot;$&quot;* \(#,##0.00\);_(&quot;$&quot;* &quot;-&quot;??_);_(@_)">
                  <c:v>29179.948387490818</c:v>
                </c:pt>
                <c:pt idx="1246" formatCode="_(&quot;$&quot;* #,##0.00_);_(&quot;$&quot;* \(#,##0.00\);_(&quot;$&quot;* &quot;-&quot;??_);_(@_)">
                  <c:v>28803.5221186749</c:v>
                </c:pt>
                <c:pt idx="1247" formatCode="_(&quot;$&quot;* #,##0.00_);_(&quot;$&quot;* \(#,##0.00\);_(&quot;$&quot;* &quot;-&quot;??_);_(@_)">
                  <c:v>28768.72386060908</c:v>
                </c:pt>
                <c:pt idx="1248" formatCode="_(&quot;$&quot;* #,##0.00_);_(&quot;$&quot;* \(#,##0.00\);_(&quot;$&quot;* &quot;-&quot;??_);_(@_)">
                  <c:v>28991.447197210931</c:v>
                </c:pt>
                <c:pt idx="1249" formatCode="_(&quot;$&quot;* #,##0.00_);_(&quot;$&quot;* \(#,##0.00\);_(&quot;$&quot;* &quot;-&quot;??_);_(@_)">
                  <c:v>29478.460412770422</c:v>
                </c:pt>
                <c:pt idx="1250" formatCode="_(&quot;$&quot;* #,##0.00_);_(&quot;$&quot;* \(#,##0.00\);_(&quot;$&quot;* &quot;-&quot;??_);_(@_)">
                  <c:v>29715.135530788226</c:v>
                </c:pt>
                <c:pt idx="1251" formatCode="_(&quot;$&quot;* #,##0.00_);_(&quot;$&quot;* \(#,##0.00\);_(&quot;$&quot;* &quot;-&quot;??_);_(@_)">
                  <c:v>29953.490812486445</c:v>
                </c:pt>
                <c:pt idx="1252" formatCode="_(&quot;$&quot;* #,##0.00_);_(&quot;$&quot;* \(#,##0.00\);_(&quot;$&quot;* &quot;-&quot;??_);_(@_)">
                  <c:v>30032.75998679741</c:v>
                </c:pt>
                <c:pt idx="1253" formatCode="_(&quot;$&quot;* #,##0.00_);_(&quot;$&quot;* \(#,##0.00\);_(&quot;$&quot;* &quot;-&quot;??_);_(@_)">
                  <c:v>30105.474617182816</c:v>
                </c:pt>
                <c:pt idx="1254" formatCode="_(&quot;$&quot;* #,##0.00_);_(&quot;$&quot;* \(#,##0.00\);_(&quot;$&quot;* &quot;-&quot;??_);_(@_)">
                  <c:v>30165.566748607893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C4-4E17-8396-4845B188F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7956847"/>
        <c:axId val="1145506831"/>
      </c:lineChart>
      <c:dateAx>
        <c:axId val="113795684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506831"/>
        <c:crosses val="autoZero"/>
        <c:auto val="1"/>
        <c:lblOffset val="100"/>
        <c:baseTimeUnit val="days"/>
      </c:dateAx>
      <c:valAx>
        <c:axId val="114550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95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407670</xdr:colOff>
      <xdr:row>2</xdr:row>
      <xdr:rowOff>80010</xdr:rowOff>
    </xdr:from>
    <xdr:to>
      <xdr:col>45</xdr:col>
      <xdr:colOff>449580</xdr:colOff>
      <xdr:row>25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5B16E-6B44-7D1A-50EB-7FA9928E6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2C0EE-55EE-48F0-8470-EF2E7E6344AE}">
  <dimension ref="A1:AF1257"/>
  <sheetViews>
    <sheetView tabSelected="1" workbookViewId="0">
      <pane xSplit="1" ySplit="2" topLeftCell="E1238" activePane="bottomRight" state="frozen"/>
      <selection pane="topRight" activeCell="B1" sqref="B1"/>
      <selection pane="bottomLeft" activeCell="A3" sqref="A3"/>
      <selection pane="bottomRight" activeCell="R1141" sqref="R1141"/>
    </sheetView>
  </sheetViews>
  <sheetFormatPr defaultRowHeight="14.4" x14ac:dyDescent="0.3"/>
  <cols>
    <col min="1" max="1" width="10.33203125" bestFit="1" customWidth="1"/>
    <col min="2" max="3" width="8.6640625" style="2" bestFit="1" customWidth="1"/>
    <col min="4" max="4" width="7.44140625" bestFit="1" customWidth="1"/>
    <col min="5" max="5" width="7.33203125" bestFit="1" customWidth="1"/>
    <col min="6" max="7" width="9.21875" bestFit="1" customWidth="1"/>
    <col min="8" max="11" width="10.77734375" bestFit="1" customWidth="1"/>
    <col min="12" max="12" width="9.77734375" bestFit="1" customWidth="1"/>
    <col min="13" max="15" width="8.6640625" bestFit="1" customWidth="1"/>
    <col min="16" max="16" width="9.6640625" bestFit="1" customWidth="1"/>
    <col min="17" max="20" width="6.88671875" style="4" bestFit="1" customWidth="1"/>
    <col min="21" max="22" width="11.77734375" bestFit="1" customWidth="1"/>
    <col min="23" max="24" width="11.21875" bestFit="1" customWidth="1"/>
    <col min="25" max="26" width="11.77734375" bestFit="1" customWidth="1"/>
    <col min="27" max="28" width="11.21875" bestFit="1" customWidth="1"/>
    <col min="30" max="30" width="7.6640625" bestFit="1" customWidth="1"/>
    <col min="31" max="31" width="12" bestFit="1" customWidth="1"/>
    <col min="32" max="32" width="6.6640625" bestFit="1" customWidth="1"/>
  </cols>
  <sheetData>
    <row r="1" spans="1:32" x14ac:dyDescent="0.3">
      <c r="D1" s="2"/>
      <c r="F1" s="10">
        <v>100000</v>
      </c>
      <c r="G1" s="10"/>
      <c r="H1" s="11" t="s">
        <v>7</v>
      </c>
      <c r="I1" s="11"/>
      <c r="J1" s="11" t="s">
        <v>10</v>
      </c>
      <c r="K1" s="11"/>
      <c r="M1" s="11" t="s">
        <v>8</v>
      </c>
      <c r="N1" s="11"/>
      <c r="O1" s="11"/>
      <c r="P1" s="11"/>
      <c r="Q1" s="11" t="s">
        <v>9</v>
      </c>
      <c r="R1" s="11"/>
      <c r="S1" s="11"/>
      <c r="T1" s="11"/>
      <c r="U1" s="9">
        <f>SUM(U12:U1257)</f>
        <v>-49548.774959360671</v>
      </c>
      <c r="V1" s="9">
        <f t="shared" ref="V1:X1" si="0">SUM(V12:V1257)</f>
        <v>-47805.39802612082</v>
      </c>
      <c r="W1" s="9">
        <f t="shared" si="0"/>
        <v>67535.289834865762</v>
      </c>
      <c r="X1" s="9">
        <f t="shared" si="0"/>
        <v>30165.566748607893</v>
      </c>
      <c r="Y1" s="11" t="s">
        <v>12</v>
      </c>
      <c r="Z1" s="11"/>
      <c r="AA1" s="11"/>
      <c r="AB1" s="11"/>
    </row>
    <row r="2" spans="1:32" s="8" customFormat="1" x14ac:dyDescent="0.3">
      <c r="A2" s="5" t="s">
        <v>0</v>
      </c>
      <c r="B2" s="6" t="s">
        <v>17</v>
      </c>
      <c r="C2" s="6" t="s">
        <v>18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1</v>
      </c>
      <c r="I2" s="7" t="s">
        <v>2</v>
      </c>
      <c r="J2" s="7" t="s">
        <v>14</v>
      </c>
      <c r="K2" s="7" t="s">
        <v>15</v>
      </c>
      <c r="L2" s="13" t="str">
        <f>_xlfn.CONCAT(C2,"/",B2)</f>
        <v>ICVT/CWB</v>
      </c>
      <c r="M2" s="13">
        <v>10</v>
      </c>
      <c r="N2" s="13">
        <v>20</v>
      </c>
      <c r="O2" s="13">
        <v>50</v>
      </c>
      <c r="P2" s="13">
        <v>200</v>
      </c>
      <c r="Q2" s="7">
        <f>M2</f>
        <v>10</v>
      </c>
      <c r="R2" s="7">
        <f t="shared" ref="R2:X2" si="1">N2</f>
        <v>20</v>
      </c>
      <c r="S2" s="7">
        <f t="shared" si="1"/>
        <v>50</v>
      </c>
      <c r="T2" s="7">
        <f t="shared" si="1"/>
        <v>200</v>
      </c>
      <c r="U2" s="7">
        <f t="shared" si="1"/>
        <v>10</v>
      </c>
      <c r="V2" s="7">
        <f t="shared" si="1"/>
        <v>20</v>
      </c>
      <c r="W2" s="7">
        <f t="shared" si="1"/>
        <v>50</v>
      </c>
      <c r="X2" s="7">
        <f t="shared" si="1"/>
        <v>200</v>
      </c>
      <c r="Y2" s="7">
        <f t="shared" ref="Y2" si="2">U2</f>
        <v>10</v>
      </c>
      <c r="Z2" s="7">
        <f t="shared" ref="Z2" si="3">V2</f>
        <v>20</v>
      </c>
      <c r="AA2" s="7">
        <f t="shared" ref="AA2" si="4">W2</f>
        <v>50</v>
      </c>
      <c r="AB2" s="7">
        <f t="shared" ref="AB2" si="5">X2</f>
        <v>200</v>
      </c>
    </row>
    <row r="3" spans="1:32" x14ac:dyDescent="0.3">
      <c r="A3" s="1">
        <v>44417</v>
      </c>
      <c r="B3" s="2">
        <v>86.22</v>
      </c>
      <c r="C3" s="2">
        <v>100.58</v>
      </c>
      <c r="D3" s="4" t="s">
        <v>11</v>
      </c>
      <c r="E3" s="4" t="s">
        <v>11</v>
      </c>
      <c r="F3" s="3">
        <f>F$1/B3</f>
        <v>1159.823706796567</v>
      </c>
      <c r="G3" s="3">
        <f>F$1/C3</f>
        <v>994.23344601312385</v>
      </c>
      <c r="H3" s="4" t="s">
        <v>11</v>
      </c>
      <c r="I3" s="4" t="s">
        <v>11</v>
      </c>
      <c r="J3" s="4" t="s">
        <v>11</v>
      </c>
      <c r="K3" s="4" t="s">
        <v>11</v>
      </c>
      <c r="L3" s="14">
        <f>C3/B3</f>
        <v>1.166550684295987</v>
      </c>
      <c r="M3" s="15" t="s">
        <v>11</v>
      </c>
      <c r="N3" s="15" t="s">
        <v>11</v>
      </c>
      <c r="O3" s="15" t="s">
        <v>11</v>
      </c>
      <c r="P3" s="15" t="s">
        <v>11</v>
      </c>
      <c r="Q3" s="12" t="s">
        <v>11</v>
      </c>
      <c r="R3" s="12" t="s">
        <v>11</v>
      </c>
      <c r="S3" s="12" t="s">
        <v>11</v>
      </c>
      <c r="T3" s="12" t="s">
        <v>11</v>
      </c>
      <c r="U3" s="12" t="s">
        <v>11</v>
      </c>
      <c r="V3" s="12" t="s">
        <v>11</v>
      </c>
      <c r="W3" s="12" t="s">
        <v>11</v>
      </c>
      <c r="X3" s="12" t="s">
        <v>11</v>
      </c>
      <c r="Y3" s="12" t="s">
        <v>11</v>
      </c>
      <c r="Z3" s="12" t="s">
        <v>11</v>
      </c>
      <c r="AA3" s="12" t="s">
        <v>11</v>
      </c>
      <c r="AB3" s="12" t="s">
        <v>11</v>
      </c>
    </row>
    <row r="4" spans="1:32" x14ac:dyDescent="0.3">
      <c r="A4" s="1">
        <v>44418</v>
      </c>
      <c r="B4" s="2">
        <v>86.06</v>
      </c>
      <c r="C4" s="2">
        <v>100.11</v>
      </c>
      <c r="D4" s="9">
        <f>B4-B3</f>
        <v>-0.15999999999999659</v>
      </c>
      <c r="E4" s="9">
        <f>C4-C3</f>
        <v>-0.46999999999999886</v>
      </c>
      <c r="F4" s="3">
        <f>F$1/B4</f>
        <v>1161.9800139437602</v>
      </c>
      <c r="G4" s="3">
        <f>F$1/C4</f>
        <v>998.90120867046255</v>
      </c>
      <c r="H4" s="2">
        <f>D4*F3</f>
        <v>-185.57179308744676</v>
      </c>
      <c r="I4" s="2">
        <f>E4*G3</f>
        <v>-467.28971962616708</v>
      </c>
      <c r="J4" s="2">
        <f>I4-H4</f>
        <v>-281.71792653872035</v>
      </c>
      <c r="K4" s="2">
        <f>H4-I4</f>
        <v>281.71792653872035</v>
      </c>
      <c r="L4" s="14">
        <f>C4/B4</f>
        <v>1.1632581919590983</v>
      </c>
      <c r="M4" s="15" t="s">
        <v>11</v>
      </c>
      <c r="N4" s="15" t="s">
        <v>11</v>
      </c>
      <c r="O4" s="15" t="s">
        <v>11</v>
      </c>
      <c r="P4" s="15" t="s">
        <v>11</v>
      </c>
      <c r="Q4" s="12" t="s">
        <v>11</v>
      </c>
      <c r="R4" s="12" t="s">
        <v>11</v>
      </c>
      <c r="S4" s="12" t="s">
        <v>11</v>
      </c>
      <c r="T4" s="12" t="s">
        <v>11</v>
      </c>
      <c r="U4" s="12" t="s">
        <v>11</v>
      </c>
      <c r="V4" s="12" t="s">
        <v>11</v>
      </c>
      <c r="W4" s="12" t="s">
        <v>11</v>
      </c>
      <c r="X4" s="12" t="s">
        <v>11</v>
      </c>
      <c r="Y4" s="12" t="s">
        <v>11</v>
      </c>
      <c r="Z4" s="12" t="s">
        <v>11</v>
      </c>
      <c r="AA4" s="12" t="s">
        <v>11</v>
      </c>
      <c r="AB4" s="12" t="s">
        <v>11</v>
      </c>
    </row>
    <row r="5" spans="1:32" x14ac:dyDescent="0.3">
      <c r="A5" s="1">
        <v>44419</v>
      </c>
      <c r="B5" s="2">
        <v>86.06</v>
      </c>
      <c r="C5" s="2">
        <v>100.21</v>
      </c>
      <c r="D5" s="9">
        <f>B5-B4</f>
        <v>0</v>
      </c>
      <c r="E5" s="9">
        <f>C5-C4</f>
        <v>9.9999999999994316E-2</v>
      </c>
      <c r="F5" s="3">
        <f>F$1/B5</f>
        <v>1161.9800139437602</v>
      </c>
      <c r="G5" s="3">
        <f>F$1/C5</f>
        <v>997.90440075840741</v>
      </c>
      <c r="H5" s="2">
        <f>D5*F4</f>
        <v>0</v>
      </c>
      <c r="I5" s="2">
        <f>E5*G4</f>
        <v>99.890120867040579</v>
      </c>
      <c r="J5" s="2">
        <f>I5-H5</f>
        <v>99.890120867040579</v>
      </c>
      <c r="K5" s="2">
        <f t="shared" ref="K5:K68" si="6">H5-I5</f>
        <v>-99.890120867040579</v>
      </c>
      <c r="L5" s="14">
        <f>C5/B5</f>
        <v>1.164420171973042</v>
      </c>
      <c r="M5" s="15" t="s">
        <v>11</v>
      </c>
      <c r="N5" s="15" t="s">
        <v>11</v>
      </c>
      <c r="O5" s="15" t="s">
        <v>11</v>
      </c>
      <c r="P5" s="15" t="s">
        <v>11</v>
      </c>
      <c r="Q5" s="12" t="s">
        <v>11</v>
      </c>
      <c r="R5" s="12" t="s">
        <v>11</v>
      </c>
      <c r="S5" s="12" t="s">
        <v>11</v>
      </c>
      <c r="T5" s="12" t="s">
        <v>11</v>
      </c>
      <c r="U5" s="12" t="s">
        <v>11</v>
      </c>
      <c r="V5" s="12" t="s">
        <v>11</v>
      </c>
      <c r="W5" s="12" t="s">
        <v>11</v>
      </c>
      <c r="X5" s="12" t="s">
        <v>11</v>
      </c>
      <c r="Y5" s="12" t="s">
        <v>11</v>
      </c>
      <c r="Z5" s="12" t="s">
        <v>11</v>
      </c>
      <c r="AA5" s="12" t="s">
        <v>11</v>
      </c>
      <c r="AB5" s="12" t="s">
        <v>11</v>
      </c>
    </row>
    <row r="6" spans="1:32" x14ac:dyDescent="0.3">
      <c r="A6" s="1">
        <v>44420</v>
      </c>
      <c r="B6" s="2">
        <v>86.04</v>
      </c>
      <c r="C6" s="2">
        <v>100.08</v>
      </c>
      <c r="D6" s="9">
        <f>B6-B5</f>
        <v>-1.9999999999996021E-2</v>
      </c>
      <c r="E6" s="9">
        <f>C6-C5</f>
        <v>-0.12999999999999545</v>
      </c>
      <c r="F6" s="3">
        <f>F$1/B6</f>
        <v>1162.2501162250114</v>
      </c>
      <c r="G6" s="3">
        <f>F$1/C6</f>
        <v>999.20063948840925</v>
      </c>
      <c r="H6" s="2">
        <f>D6*F5</f>
        <v>-23.239600278870583</v>
      </c>
      <c r="I6" s="2">
        <f>E6*G5</f>
        <v>-129.72757209858841</v>
      </c>
      <c r="J6" s="2">
        <f>I6-H6</f>
        <v>-106.48797181971783</v>
      </c>
      <c r="K6" s="2">
        <f t="shared" si="6"/>
        <v>106.48797181971783</v>
      </c>
      <c r="L6" s="14">
        <f>C6/B6</f>
        <v>1.1631799163179914</v>
      </c>
      <c r="M6" s="15" t="s">
        <v>11</v>
      </c>
      <c r="N6" s="15" t="s">
        <v>11</v>
      </c>
      <c r="O6" s="15" t="s">
        <v>11</v>
      </c>
      <c r="P6" s="15" t="s">
        <v>11</v>
      </c>
      <c r="Q6" s="12" t="s">
        <v>11</v>
      </c>
      <c r="R6" s="12" t="s">
        <v>11</v>
      </c>
      <c r="S6" s="12" t="s">
        <v>11</v>
      </c>
      <c r="T6" s="12" t="s">
        <v>11</v>
      </c>
      <c r="U6" s="12" t="s">
        <v>11</v>
      </c>
      <c r="V6" s="12" t="s">
        <v>11</v>
      </c>
      <c r="W6" s="12" t="s">
        <v>11</v>
      </c>
      <c r="X6" s="12" t="s">
        <v>11</v>
      </c>
      <c r="Y6" s="12" t="s">
        <v>11</v>
      </c>
      <c r="Z6" s="12" t="s">
        <v>11</v>
      </c>
      <c r="AA6" s="12" t="s">
        <v>11</v>
      </c>
      <c r="AB6" s="12" t="s">
        <v>11</v>
      </c>
    </row>
    <row r="7" spans="1:32" x14ac:dyDescent="0.3">
      <c r="A7" s="1">
        <v>44421</v>
      </c>
      <c r="B7" s="2">
        <v>85.64</v>
      </c>
      <c r="C7" s="2">
        <v>99.66</v>
      </c>
      <c r="D7" s="9">
        <f>B7-B6</f>
        <v>-0.40000000000000568</v>
      </c>
      <c r="E7" s="9">
        <f>C7-C6</f>
        <v>-0.42000000000000171</v>
      </c>
      <c r="F7" s="3">
        <f>F$1/B7</f>
        <v>1167.6786548341897</v>
      </c>
      <c r="G7" s="3">
        <f>F$1/C7</f>
        <v>1003.4115994380895</v>
      </c>
      <c r="H7" s="2">
        <f>D7*F6</f>
        <v>-464.90004649001116</v>
      </c>
      <c r="I7" s="2">
        <f>E7*G6</f>
        <v>-419.66426858513358</v>
      </c>
      <c r="J7" s="2">
        <f>I7-H7</f>
        <v>45.23577790487758</v>
      </c>
      <c r="K7" s="2">
        <f t="shared" si="6"/>
        <v>-45.23577790487758</v>
      </c>
      <c r="L7" s="14">
        <f>C7/B7</f>
        <v>1.1637085474077533</v>
      </c>
      <c r="M7" s="15" t="s">
        <v>11</v>
      </c>
      <c r="N7" s="15" t="s">
        <v>11</v>
      </c>
      <c r="O7" s="15" t="s">
        <v>11</v>
      </c>
      <c r="P7" s="15" t="s">
        <v>11</v>
      </c>
      <c r="Q7" s="12" t="s">
        <v>11</v>
      </c>
      <c r="R7" s="12" t="s">
        <v>11</v>
      </c>
      <c r="S7" s="12" t="s">
        <v>11</v>
      </c>
      <c r="T7" s="12" t="s">
        <v>11</v>
      </c>
      <c r="U7" s="12" t="s">
        <v>11</v>
      </c>
      <c r="V7" s="12" t="s">
        <v>11</v>
      </c>
      <c r="W7" s="12" t="s">
        <v>11</v>
      </c>
      <c r="X7" s="12" t="s">
        <v>11</v>
      </c>
      <c r="Y7" s="12" t="s">
        <v>11</v>
      </c>
      <c r="Z7" s="12" t="s">
        <v>11</v>
      </c>
      <c r="AA7" s="12" t="s">
        <v>11</v>
      </c>
      <c r="AB7" s="12" t="s">
        <v>11</v>
      </c>
    </row>
    <row r="8" spans="1:32" x14ac:dyDescent="0.3">
      <c r="A8" s="1">
        <v>44424</v>
      </c>
      <c r="B8" s="2">
        <v>85.1</v>
      </c>
      <c r="C8" s="2">
        <v>98.61</v>
      </c>
      <c r="D8" s="9">
        <f>B8-B7</f>
        <v>-0.54000000000000625</v>
      </c>
      <c r="E8" s="9">
        <f>C8-C7</f>
        <v>-1.0499999999999972</v>
      </c>
      <c r="F8" s="3">
        <f>F$1/B8</f>
        <v>1175.0881316098707</v>
      </c>
      <c r="G8" s="3">
        <f>F$1/C8</f>
        <v>1014.0959334753068</v>
      </c>
      <c r="H8" s="2">
        <f>D8*F7</f>
        <v>-630.54647361046977</v>
      </c>
      <c r="I8" s="2">
        <f>E8*G7</f>
        <v>-1053.5821794099911</v>
      </c>
      <c r="J8" s="2">
        <f>I8-H8</f>
        <v>-423.03570579952134</v>
      </c>
      <c r="K8" s="2">
        <f t="shared" si="6"/>
        <v>423.03570579952134</v>
      </c>
      <c r="L8" s="14">
        <f>C8/B8</f>
        <v>1.1587544065804936</v>
      </c>
      <c r="M8" s="15" t="s">
        <v>11</v>
      </c>
      <c r="N8" s="15" t="s">
        <v>11</v>
      </c>
      <c r="O8" s="15" t="s">
        <v>11</v>
      </c>
      <c r="P8" s="15" t="s">
        <v>11</v>
      </c>
      <c r="Q8" s="12" t="s">
        <v>11</v>
      </c>
      <c r="R8" s="12" t="s">
        <v>11</v>
      </c>
      <c r="S8" s="12" t="s">
        <v>11</v>
      </c>
      <c r="T8" s="12" t="s">
        <v>11</v>
      </c>
      <c r="U8" s="12" t="s">
        <v>11</v>
      </c>
      <c r="V8" s="12" t="s">
        <v>11</v>
      </c>
      <c r="W8" s="12" t="s">
        <v>11</v>
      </c>
      <c r="X8" s="12" t="s">
        <v>11</v>
      </c>
      <c r="Y8" s="12" t="s">
        <v>11</v>
      </c>
      <c r="Z8" s="12" t="s">
        <v>11</v>
      </c>
      <c r="AA8" s="12" t="s">
        <v>11</v>
      </c>
      <c r="AB8" s="12" t="s">
        <v>11</v>
      </c>
    </row>
    <row r="9" spans="1:32" x14ac:dyDescent="0.3">
      <c r="A9" s="1">
        <v>44425</v>
      </c>
      <c r="B9" s="2">
        <v>84.51</v>
      </c>
      <c r="C9" s="2">
        <v>98.1</v>
      </c>
      <c r="D9" s="9">
        <f>B9-B8</f>
        <v>-0.5899999999999892</v>
      </c>
      <c r="E9" s="9">
        <f>C9-C8</f>
        <v>-0.51000000000000512</v>
      </c>
      <c r="F9" s="3">
        <f>F$1/B9</f>
        <v>1183.2919181161992</v>
      </c>
      <c r="G9" s="3">
        <f>F$1/C9</f>
        <v>1019.3679918450562</v>
      </c>
      <c r="H9" s="2">
        <f>D9*F8</f>
        <v>-693.30199764981103</v>
      </c>
      <c r="I9" s="2">
        <f>E9*G8</f>
        <v>-517.18892607241162</v>
      </c>
      <c r="J9" s="2">
        <f>I9-H9</f>
        <v>176.11307157739941</v>
      </c>
      <c r="K9" s="2">
        <f t="shared" si="6"/>
        <v>-176.11307157739941</v>
      </c>
      <c r="L9" s="14">
        <f>C9/B9</f>
        <v>1.1608093716719914</v>
      </c>
      <c r="M9" s="15" t="s">
        <v>11</v>
      </c>
      <c r="N9" s="15" t="s">
        <v>11</v>
      </c>
      <c r="O9" s="15" t="s">
        <v>11</v>
      </c>
      <c r="P9" s="15" t="s">
        <v>11</v>
      </c>
      <c r="Q9" s="12" t="s">
        <v>11</v>
      </c>
      <c r="R9" s="12" t="s">
        <v>11</v>
      </c>
      <c r="S9" s="12" t="s">
        <v>11</v>
      </c>
      <c r="T9" s="12" t="s">
        <v>11</v>
      </c>
      <c r="U9" s="12" t="s">
        <v>11</v>
      </c>
      <c r="V9" s="12" t="s">
        <v>11</v>
      </c>
      <c r="W9" s="12" t="s">
        <v>11</v>
      </c>
      <c r="X9" s="12" t="s">
        <v>11</v>
      </c>
      <c r="Y9" s="12" t="s">
        <v>11</v>
      </c>
      <c r="Z9" s="12" t="s">
        <v>11</v>
      </c>
      <c r="AA9" s="12" t="s">
        <v>11</v>
      </c>
      <c r="AB9" s="12" t="s">
        <v>11</v>
      </c>
    </row>
    <row r="10" spans="1:32" x14ac:dyDescent="0.3">
      <c r="A10" s="1">
        <v>44426</v>
      </c>
      <c r="B10" s="2">
        <v>84.34</v>
      </c>
      <c r="C10" s="2">
        <v>97.8</v>
      </c>
      <c r="D10" s="9">
        <f>B10-B9</f>
        <v>-0.17000000000000171</v>
      </c>
      <c r="E10" s="9">
        <f>C10-C9</f>
        <v>-0.29999999999999716</v>
      </c>
      <c r="F10" s="3">
        <f>F$1/B10</f>
        <v>1185.6770215793217</v>
      </c>
      <c r="G10" s="3">
        <f>F$1/C10</f>
        <v>1022.4948875255624</v>
      </c>
      <c r="H10" s="2">
        <f>D10*F9</f>
        <v>-201.1596260797559</v>
      </c>
      <c r="I10" s="2">
        <f>E10*G9</f>
        <v>-305.81039755351395</v>
      </c>
      <c r="J10" s="2">
        <f>I10-H10</f>
        <v>-104.65077147375806</v>
      </c>
      <c r="K10" s="2">
        <f t="shared" si="6"/>
        <v>104.65077147375806</v>
      </c>
      <c r="L10" s="14">
        <f>C10/B10</f>
        <v>1.1595921271045766</v>
      </c>
      <c r="M10" s="15" t="s">
        <v>11</v>
      </c>
      <c r="N10" s="15" t="s">
        <v>11</v>
      </c>
      <c r="O10" s="15" t="s">
        <v>11</v>
      </c>
      <c r="P10" s="15" t="s">
        <v>11</v>
      </c>
      <c r="Q10" s="12" t="s">
        <v>11</v>
      </c>
      <c r="R10" s="12" t="s">
        <v>11</v>
      </c>
      <c r="S10" s="12" t="s">
        <v>11</v>
      </c>
      <c r="T10" s="12" t="s">
        <v>11</v>
      </c>
      <c r="U10" s="12" t="s">
        <v>11</v>
      </c>
      <c r="V10" s="12" t="s">
        <v>11</v>
      </c>
      <c r="W10" s="12" t="s">
        <v>11</v>
      </c>
      <c r="X10" s="12" t="s">
        <v>11</v>
      </c>
      <c r="Y10" s="12" t="s">
        <v>11</v>
      </c>
      <c r="Z10" s="12" t="s">
        <v>11</v>
      </c>
      <c r="AA10" s="12" t="s">
        <v>11</v>
      </c>
      <c r="AB10" s="12" t="s">
        <v>11</v>
      </c>
    </row>
    <row r="11" spans="1:32" x14ac:dyDescent="0.3">
      <c r="A11" s="1">
        <v>44427</v>
      </c>
      <c r="B11" s="2">
        <v>83.94</v>
      </c>
      <c r="C11" s="2">
        <v>97.21</v>
      </c>
      <c r="D11" s="9">
        <f>B11-B10</f>
        <v>-0.40000000000000568</v>
      </c>
      <c r="E11" s="9">
        <f>C11-C10</f>
        <v>-0.59000000000000341</v>
      </c>
      <c r="F11" s="3">
        <f>F$1/B11</f>
        <v>1191.3271384322136</v>
      </c>
      <c r="G11" s="3">
        <f>F$1/C11</f>
        <v>1028.7007509515483</v>
      </c>
      <c r="H11" s="2">
        <f>D11*F10</f>
        <v>-474.27080863173541</v>
      </c>
      <c r="I11" s="2">
        <f>E11*G10</f>
        <v>-603.2719836400853</v>
      </c>
      <c r="J11" s="2">
        <f>I11-H11</f>
        <v>-129.00117500834989</v>
      </c>
      <c r="K11" s="2">
        <f t="shared" si="6"/>
        <v>129.00117500834989</v>
      </c>
      <c r="L11" s="14">
        <f>C11/B11</f>
        <v>1.1580891112699547</v>
      </c>
      <c r="M11" s="15" t="s">
        <v>11</v>
      </c>
      <c r="N11" s="15" t="s">
        <v>11</v>
      </c>
      <c r="O11" s="15" t="s">
        <v>11</v>
      </c>
      <c r="P11" s="15" t="s">
        <v>11</v>
      </c>
      <c r="Q11" s="12" t="s">
        <v>11</v>
      </c>
      <c r="R11" s="12" t="s">
        <v>11</v>
      </c>
      <c r="S11" s="12" t="s">
        <v>11</v>
      </c>
      <c r="T11" s="12" t="s">
        <v>11</v>
      </c>
      <c r="U11" s="12" t="s">
        <v>11</v>
      </c>
      <c r="V11" s="12" t="s">
        <v>11</v>
      </c>
      <c r="W11" s="12" t="s">
        <v>11</v>
      </c>
      <c r="X11" s="12" t="s">
        <v>11</v>
      </c>
      <c r="Y11" s="12" t="s">
        <v>11</v>
      </c>
      <c r="Z11" s="12" t="s">
        <v>11</v>
      </c>
      <c r="AA11" s="12" t="s">
        <v>11</v>
      </c>
      <c r="AB11" s="12" t="s">
        <v>11</v>
      </c>
    </row>
    <row r="12" spans="1:32" x14ac:dyDescent="0.3">
      <c r="A12" s="1">
        <v>44428</v>
      </c>
      <c r="B12" s="2">
        <v>84.61</v>
      </c>
      <c r="C12" s="2">
        <v>98</v>
      </c>
      <c r="D12" s="9">
        <f>B12-B11</f>
        <v>0.67000000000000171</v>
      </c>
      <c r="E12" s="9">
        <f>C12-C11</f>
        <v>0.79000000000000625</v>
      </c>
      <c r="F12" s="3">
        <f>F$1/B12</f>
        <v>1181.8933932159318</v>
      </c>
      <c r="G12" s="3">
        <f>F$1/C12</f>
        <v>1020.4081632653061</v>
      </c>
      <c r="H12" s="2">
        <f>D12*F11</f>
        <v>798.18918274958514</v>
      </c>
      <c r="I12" s="2">
        <f>E12*G11</f>
        <v>812.67359325172959</v>
      </c>
      <c r="J12" s="2">
        <f>I12-H12</f>
        <v>14.484410502144442</v>
      </c>
      <c r="K12" s="2">
        <f t="shared" si="6"/>
        <v>-14.484410502144442</v>
      </c>
      <c r="L12" s="14">
        <f>C12/B12</f>
        <v>1.1582555253516134</v>
      </c>
      <c r="M12" s="14">
        <f>AVERAGE(L3:L12)</f>
        <v>1.1616618053932501</v>
      </c>
      <c r="N12" s="15" t="s">
        <v>11</v>
      </c>
      <c r="O12" s="15" t="s">
        <v>11</v>
      </c>
      <c r="P12" s="15" t="s">
        <v>11</v>
      </c>
      <c r="Q12" s="12" t="s">
        <v>11</v>
      </c>
      <c r="R12" s="12" t="s">
        <v>11</v>
      </c>
      <c r="S12" s="12" t="s">
        <v>11</v>
      </c>
      <c r="T12" s="12" t="s">
        <v>11</v>
      </c>
      <c r="U12" s="12" t="s">
        <v>11</v>
      </c>
      <c r="V12" s="12" t="s">
        <v>11</v>
      </c>
      <c r="W12" s="12" t="s">
        <v>11</v>
      </c>
      <c r="X12" s="12" t="s">
        <v>11</v>
      </c>
      <c r="Y12" s="2">
        <v>0</v>
      </c>
      <c r="Z12" s="12" t="s">
        <v>11</v>
      </c>
      <c r="AA12" s="12" t="s">
        <v>11</v>
      </c>
      <c r="AB12" s="12" t="s">
        <v>11</v>
      </c>
      <c r="AD12" s="12" t="s">
        <v>16</v>
      </c>
      <c r="AE12" s="9">
        <f>AVERAGE(W53:W1257)</f>
        <v>56.045883680386524</v>
      </c>
      <c r="AF12" s="9">
        <f>AE12*16/AE13</f>
        <v>3.2648022350340531</v>
      </c>
    </row>
    <row r="13" spans="1:32" x14ac:dyDescent="0.3">
      <c r="A13" s="1">
        <v>44431</v>
      </c>
      <c r="B13" s="2">
        <v>85.49</v>
      </c>
      <c r="C13" s="2">
        <v>99.28</v>
      </c>
      <c r="D13" s="9">
        <f>B13-B12</f>
        <v>0.87999999999999545</v>
      </c>
      <c r="E13" s="9">
        <f>C13-C12</f>
        <v>1.2800000000000011</v>
      </c>
      <c r="F13" s="3">
        <f>F$1/B13</f>
        <v>1169.7274535033339</v>
      </c>
      <c r="G13" s="3">
        <f>F$1/C13</f>
        <v>1007.2522159548751</v>
      </c>
      <c r="H13" s="2">
        <f>D13*F12</f>
        <v>1040.0661860300147</v>
      </c>
      <c r="I13" s="2">
        <f>E13*G12</f>
        <v>1306.1224489795929</v>
      </c>
      <c r="J13" s="2">
        <f>I13-H13</f>
        <v>266.05626294957824</v>
      </c>
      <c r="K13" s="2">
        <f t="shared" si="6"/>
        <v>-266.05626294957824</v>
      </c>
      <c r="L13" s="14">
        <f>C13/B13</f>
        <v>1.1613054158381098</v>
      </c>
      <c r="M13" s="14">
        <f t="shared" ref="M13:M76" si="7">AVERAGE(L4:L13)</f>
        <v>1.1611372785474625</v>
      </c>
      <c r="N13" s="15" t="s">
        <v>11</v>
      </c>
      <c r="O13" s="15" t="s">
        <v>11</v>
      </c>
      <c r="P13" s="15" t="s">
        <v>11</v>
      </c>
      <c r="Q13" s="4" t="str">
        <f>IF($L12&gt;M12,"OVER","UNDER")</f>
        <v>UNDER</v>
      </c>
      <c r="R13" s="12" t="s">
        <v>11</v>
      </c>
      <c r="S13" s="12" t="s">
        <v>11</v>
      </c>
      <c r="T13" s="12" t="s">
        <v>11</v>
      </c>
      <c r="U13" s="2">
        <f>IF(Q13="OVER",J13,K13)</f>
        <v>-266.05626294957824</v>
      </c>
      <c r="V13" s="12" t="s">
        <v>11</v>
      </c>
      <c r="W13" s="12" t="s">
        <v>11</v>
      </c>
      <c r="X13" s="12" t="s">
        <v>11</v>
      </c>
      <c r="Y13" s="9">
        <f t="shared" ref="Y13:AA76" si="8">Y12+U13</f>
        <v>-266.05626294957824</v>
      </c>
      <c r="Z13" s="12" t="s">
        <v>11</v>
      </c>
      <c r="AA13" s="12" t="s">
        <v>11</v>
      </c>
      <c r="AB13" s="12" t="s">
        <v>11</v>
      </c>
      <c r="AD13" s="12" t="s">
        <v>13</v>
      </c>
      <c r="AE13">
        <f>STDEV(W53:W1257)</f>
        <v>274.66721544829841</v>
      </c>
    </row>
    <row r="14" spans="1:32" x14ac:dyDescent="0.3">
      <c r="A14" s="1">
        <v>44432</v>
      </c>
      <c r="B14" s="2">
        <v>86.36</v>
      </c>
      <c r="C14" s="2">
        <v>100.47</v>
      </c>
      <c r="D14" s="9">
        <f>B14-B13</f>
        <v>0.87000000000000455</v>
      </c>
      <c r="E14" s="9">
        <f>C14-C13</f>
        <v>1.1899999999999977</v>
      </c>
      <c r="F14" s="3">
        <f>F$1/B14</f>
        <v>1157.9434923575729</v>
      </c>
      <c r="G14" s="3">
        <f>F$1/C14</f>
        <v>995.32198666268539</v>
      </c>
      <c r="H14" s="2">
        <f>D14*F13</f>
        <v>1017.6628845479058</v>
      </c>
      <c r="I14" s="2">
        <f>E14*G13</f>
        <v>1198.630136986299</v>
      </c>
      <c r="J14" s="2">
        <f>I14-H14</f>
        <v>180.96725243839319</v>
      </c>
      <c r="K14" s="2">
        <f t="shared" si="6"/>
        <v>-180.96725243839319</v>
      </c>
      <c r="L14" s="14">
        <f>C14/B14</f>
        <v>1.1633858267716535</v>
      </c>
      <c r="M14" s="14">
        <f t="shared" si="7"/>
        <v>1.161150042028718</v>
      </c>
      <c r="N14" s="15" t="s">
        <v>11</v>
      </c>
      <c r="O14" s="15" t="s">
        <v>11</v>
      </c>
      <c r="P14" s="15" t="s">
        <v>11</v>
      </c>
      <c r="Q14" s="4" t="str">
        <f t="shared" ref="Q14:S77" si="9">IF($L13&gt;M13,"OVER","UNDER")</f>
        <v>OVER</v>
      </c>
      <c r="R14" s="12" t="s">
        <v>11</v>
      </c>
      <c r="S14" s="12" t="s">
        <v>11</v>
      </c>
      <c r="T14" s="12" t="s">
        <v>11</v>
      </c>
      <c r="U14" s="2">
        <f>IF(Q14="OVER",J14,K14)</f>
        <v>180.96725243839319</v>
      </c>
      <c r="V14" s="12" t="s">
        <v>11</v>
      </c>
      <c r="W14" s="12" t="s">
        <v>11</v>
      </c>
      <c r="X14" s="12" t="s">
        <v>11</v>
      </c>
      <c r="Y14" s="9">
        <f t="shared" si="8"/>
        <v>-85.089010511185052</v>
      </c>
      <c r="Z14" s="12" t="s">
        <v>11</v>
      </c>
      <c r="AA14" s="12" t="s">
        <v>11</v>
      </c>
      <c r="AB14" s="12" t="s">
        <v>11</v>
      </c>
    </row>
    <row r="15" spans="1:32" x14ac:dyDescent="0.3">
      <c r="A15" s="1">
        <v>44433</v>
      </c>
      <c r="B15" s="2">
        <v>86.79</v>
      </c>
      <c r="C15" s="2">
        <v>101.03</v>
      </c>
      <c r="D15" s="9">
        <f>B15-B14</f>
        <v>0.43000000000000682</v>
      </c>
      <c r="E15" s="9">
        <f>C15-C14</f>
        <v>0.56000000000000227</v>
      </c>
      <c r="F15" s="3">
        <f>F$1/B15</f>
        <v>1152.2064754003916</v>
      </c>
      <c r="G15" s="3">
        <f>F$1/C15</f>
        <v>989.80500841334253</v>
      </c>
      <c r="H15" s="2">
        <f>D15*F14</f>
        <v>497.91570171376429</v>
      </c>
      <c r="I15" s="2">
        <f>E15*G14</f>
        <v>557.38031253110603</v>
      </c>
      <c r="J15" s="2">
        <f>I15-H15</f>
        <v>59.464610817341736</v>
      </c>
      <c r="K15" s="2">
        <f t="shared" si="6"/>
        <v>-59.464610817341736</v>
      </c>
      <c r="L15" s="14">
        <f>C15/B15</f>
        <v>1.1640742020970156</v>
      </c>
      <c r="M15" s="14">
        <f t="shared" si="7"/>
        <v>1.1611154450411152</v>
      </c>
      <c r="N15" s="15" t="s">
        <v>11</v>
      </c>
      <c r="O15" s="15" t="s">
        <v>11</v>
      </c>
      <c r="P15" s="15" t="s">
        <v>11</v>
      </c>
      <c r="Q15" s="4" t="str">
        <f t="shared" si="9"/>
        <v>OVER</v>
      </c>
      <c r="R15" s="12" t="s">
        <v>11</v>
      </c>
      <c r="S15" s="12" t="s">
        <v>11</v>
      </c>
      <c r="T15" s="12" t="s">
        <v>11</v>
      </c>
      <c r="U15" s="2">
        <f>IF(Q15="OVER",J15,K15)</f>
        <v>59.464610817341736</v>
      </c>
      <c r="V15" s="12" t="s">
        <v>11</v>
      </c>
      <c r="W15" s="12" t="s">
        <v>11</v>
      </c>
      <c r="X15" s="12" t="s">
        <v>11</v>
      </c>
      <c r="Y15" s="9">
        <f t="shared" si="8"/>
        <v>-25.624399693843316</v>
      </c>
      <c r="Z15" s="12" t="s">
        <v>11</v>
      </c>
      <c r="AA15" s="12" t="s">
        <v>11</v>
      </c>
      <c r="AB15" s="12" t="s">
        <v>11</v>
      </c>
    </row>
    <row r="16" spans="1:32" x14ac:dyDescent="0.3">
      <c r="A16" s="1">
        <v>44434</v>
      </c>
      <c r="B16" s="2">
        <v>86.42</v>
      </c>
      <c r="C16" s="2">
        <v>100.49</v>
      </c>
      <c r="D16" s="9">
        <f>B16-B15</f>
        <v>-0.37000000000000455</v>
      </c>
      <c r="E16" s="9">
        <f>C16-C15</f>
        <v>-0.54000000000000625</v>
      </c>
      <c r="F16" s="3">
        <f>F$1/B16</f>
        <v>1157.1395510298541</v>
      </c>
      <c r="G16" s="3">
        <f>F$1/C16</f>
        <v>995.12389292466912</v>
      </c>
      <c r="H16" s="2">
        <f>D16*F15</f>
        <v>-426.31639589815012</v>
      </c>
      <c r="I16" s="2">
        <f>E16*G15</f>
        <v>-534.49470454321113</v>
      </c>
      <c r="J16" s="2">
        <f>I16-H16</f>
        <v>-108.17830864506101</v>
      </c>
      <c r="K16" s="2">
        <f t="shared" si="6"/>
        <v>108.17830864506101</v>
      </c>
      <c r="L16" s="14">
        <f>C16/B16</f>
        <v>1.1628095348299003</v>
      </c>
      <c r="M16" s="14">
        <f t="shared" si="7"/>
        <v>1.1610784068923063</v>
      </c>
      <c r="N16" s="15" t="s">
        <v>11</v>
      </c>
      <c r="O16" s="15" t="s">
        <v>11</v>
      </c>
      <c r="P16" s="15" t="s">
        <v>11</v>
      </c>
      <c r="Q16" s="4" t="str">
        <f t="shared" si="9"/>
        <v>OVER</v>
      </c>
      <c r="R16" s="12" t="s">
        <v>11</v>
      </c>
      <c r="S16" s="12" t="s">
        <v>11</v>
      </c>
      <c r="T16" s="12" t="s">
        <v>11</v>
      </c>
      <c r="U16" s="2">
        <f>IF(Q16="OVER",J16,K16)</f>
        <v>-108.17830864506101</v>
      </c>
      <c r="V16" s="12" t="s">
        <v>11</v>
      </c>
      <c r="W16" s="12" t="s">
        <v>11</v>
      </c>
      <c r="X16" s="12" t="s">
        <v>11</v>
      </c>
      <c r="Y16" s="9">
        <f t="shared" si="8"/>
        <v>-133.80270833890432</v>
      </c>
      <c r="Z16" s="12" t="s">
        <v>11</v>
      </c>
      <c r="AA16" s="12" t="s">
        <v>11</v>
      </c>
      <c r="AB16" s="12" t="s">
        <v>11</v>
      </c>
    </row>
    <row r="17" spans="1:28" x14ac:dyDescent="0.3">
      <c r="A17" s="1">
        <v>44435</v>
      </c>
      <c r="B17" s="2">
        <v>87.3</v>
      </c>
      <c r="C17" s="2">
        <v>101.67</v>
      </c>
      <c r="D17" s="9">
        <f>B17-B16</f>
        <v>0.87999999999999545</v>
      </c>
      <c r="E17" s="9">
        <f>C17-C16</f>
        <v>1.1800000000000068</v>
      </c>
      <c r="F17" s="3">
        <f>F$1/B17</f>
        <v>1145.475372279496</v>
      </c>
      <c r="G17" s="3">
        <f>F$1/C17</f>
        <v>983.57430903904788</v>
      </c>
      <c r="H17" s="2">
        <f>D17*F16</f>
        <v>1018.2828049062664</v>
      </c>
      <c r="I17" s="2">
        <f>E17*G16</f>
        <v>1174.2461936511163</v>
      </c>
      <c r="J17" s="2">
        <f>I17-H17</f>
        <v>155.96338874484991</v>
      </c>
      <c r="K17" s="2">
        <f t="shared" si="6"/>
        <v>-155.96338874484991</v>
      </c>
      <c r="L17" s="14">
        <f>C17/B17</f>
        <v>1.1646048109965637</v>
      </c>
      <c r="M17" s="14">
        <f t="shared" si="7"/>
        <v>1.1611680332511871</v>
      </c>
      <c r="N17" s="15" t="s">
        <v>11</v>
      </c>
      <c r="O17" s="15" t="s">
        <v>11</v>
      </c>
      <c r="P17" s="15" t="s">
        <v>11</v>
      </c>
      <c r="Q17" s="4" t="str">
        <f t="shared" si="9"/>
        <v>OVER</v>
      </c>
      <c r="R17" s="12" t="s">
        <v>11</v>
      </c>
      <c r="S17" s="12" t="s">
        <v>11</v>
      </c>
      <c r="T17" s="12" t="s">
        <v>11</v>
      </c>
      <c r="U17" s="2">
        <f>IF(Q17="OVER",J17,K17)</f>
        <v>155.96338874484991</v>
      </c>
      <c r="V17" s="12" t="s">
        <v>11</v>
      </c>
      <c r="W17" s="12" t="s">
        <v>11</v>
      </c>
      <c r="X17" s="12" t="s">
        <v>11</v>
      </c>
      <c r="Y17" s="9">
        <f t="shared" si="8"/>
        <v>22.160680405945584</v>
      </c>
      <c r="Z17" s="12" t="s">
        <v>11</v>
      </c>
      <c r="AA17" s="12" t="s">
        <v>11</v>
      </c>
      <c r="AB17" s="12" t="s">
        <v>11</v>
      </c>
    </row>
    <row r="18" spans="1:28" x14ac:dyDescent="0.3">
      <c r="A18" s="1">
        <v>44438</v>
      </c>
      <c r="B18" s="2">
        <v>87.27</v>
      </c>
      <c r="C18" s="2">
        <v>101.85</v>
      </c>
      <c r="D18" s="9">
        <f>B18-B17</f>
        <v>-3.0000000000001137E-2</v>
      </c>
      <c r="E18" s="9">
        <f>C18-C17</f>
        <v>0.17999999999999261</v>
      </c>
      <c r="F18" s="3">
        <f>F$1/B18</f>
        <v>1145.8691417440129</v>
      </c>
      <c r="G18" s="3">
        <f>F$1/C18</f>
        <v>981.83603338242517</v>
      </c>
      <c r="H18" s="2">
        <f>D18*F17</f>
        <v>-34.364261168386186</v>
      </c>
      <c r="I18" s="2">
        <f>E18*G17</f>
        <v>177.04337562702136</v>
      </c>
      <c r="J18" s="2">
        <f>I18-H18</f>
        <v>211.40763679540754</v>
      </c>
      <c r="K18" s="2">
        <f t="shared" si="6"/>
        <v>-211.40763679540754</v>
      </c>
      <c r="L18" s="14">
        <f>C18/B18</f>
        <v>1.167067720866277</v>
      </c>
      <c r="M18" s="14">
        <f t="shared" si="7"/>
        <v>1.1619993646797655</v>
      </c>
      <c r="N18" s="15" t="s">
        <v>11</v>
      </c>
      <c r="O18" s="15" t="s">
        <v>11</v>
      </c>
      <c r="P18" s="15" t="s">
        <v>11</v>
      </c>
      <c r="Q18" s="4" t="str">
        <f t="shared" si="9"/>
        <v>OVER</v>
      </c>
      <c r="R18" s="12" t="s">
        <v>11</v>
      </c>
      <c r="S18" s="12" t="s">
        <v>11</v>
      </c>
      <c r="T18" s="12" t="s">
        <v>11</v>
      </c>
      <c r="U18" s="2">
        <f>IF(Q18="OVER",J18,K18)</f>
        <v>211.40763679540754</v>
      </c>
      <c r="V18" s="12" t="s">
        <v>11</v>
      </c>
      <c r="W18" s="12" t="s">
        <v>11</v>
      </c>
      <c r="X18" s="12" t="s">
        <v>11</v>
      </c>
      <c r="Y18" s="9">
        <f t="shared" si="8"/>
        <v>233.56831720135312</v>
      </c>
      <c r="Z18" s="12" t="s">
        <v>11</v>
      </c>
      <c r="AA18" s="12" t="s">
        <v>11</v>
      </c>
      <c r="AB18" s="12" t="s">
        <v>11</v>
      </c>
    </row>
    <row r="19" spans="1:28" x14ac:dyDescent="0.3">
      <c r="A19" s="1">
        <v>44439</v>
      </c>
      <c r="B19" s="2">
        <v>87.38</v>
      </c>
      <c r="C19" s="2">
        <v>101.91</v>
      </c>
      <c r="D19" s="9">
        <f>B19-B18</f>
        <v>0.10999999999999943</v>
      </c>
      <c r="E19" s="9">
        <f>C19-C18</f>
        <v>6.0000000000002274E-2</v>
      </c>
      <c r="F19" s="3">
        <f>F$1/B19</f>
        <v>1144.4266422522317</v>
      </c>
      <c r="G19" s="3">
        <f>F$1/C19</f>
        <v>981.25797272102841</v>
      </c>
      <c r="H19" s="2">
        <f>D19*F18</f>
        <v>126.04560559184077</v>
      </c>
      <c r="I19" s="2">
        <f>E19*G18</f>
        <v>58.910162002947743</v>
      </c>
      <c r="J19" s="2">
        <f>I19-H19</f>
        <v>-67.135443588893025</v>
      </c>
      <c r="K19" s="2">
        <f t="shared" si="6"/>
        <v>67.135443588893025</v>
      </c>
      <c r="L19" s="14">
        <f>C19/B19</f>
        <v>1.1662851911192493</v>
      </c>
      <c r="M19" s="14">
        <f t="shared" si="7"/>
        <v>1.1625469466244911</v>
      </c>
      <c r="N19" s="15" t="s">
        <v>11</v>
      </c>
      <c r="O19" s="15" t="s">
        <v>11</v>
      </c>
      <c r="P19" s="15" t="s">
        <v>11</v>
      </c>
      <c r="Q19" s="4" t="str">
        <f t="shared" si="9"/>
        <v>OVER</v>
      </c>
      <c r="R19" s="12" t="s">
        <v>11</v>
      </c>
      <c r="S19" s="12" t="s">
        <v>11</v>
      </c>
      <c r="T19" s="12" t="s">
        <v>11</v>
      </c>
      <c r="U19" s="2">
        <f>IF(Q19="OVER",J19,K19)</f>
        <v>-67.135443588893025</v>
      </c>
      <c r="V19" s="12" t="s">
        <v>11</v>
      </c>
      <c r="W19" s="12" t="s">
        <v>11</v>
      </c>
      <c r="X19" s="12" t="s">
        <v>11</v>
      </c>
      <c r="Y19" s="9">
        <f t="shared" si="8"/>
        <v>166.4328736124601</v>
      </c>
      <c r="Z19" s="12" t="s">
        <v>11</v>
      </c>
      <c r="AA19" s="12" t="s">
        <v>11</v>
      </c>
      <c r="AB19" s="12" t="s">
        <v>11</v>
      </c>
    </row>
    <row r="20" spans="1:28" x14ac:dyDescent="0.3">
      <c r="A20" s="1">
        <v>44440</v>
      </c>
      <c r="B20" s="2">
        <v>87.82</v>
      </c>
      <c r="C20" s="2">
        <v>102.63</v>
      </c>
      <c r="D20" s="9">
        <f>B20-B19</f>
        <v>0.43999999999999773</v>
      </c>
      <c r="E20" s="9">
        <f>C20-C19</f>
        <v>0.71999999999999886</v>
      </c>
      <c r="F20" s="3">
        <f>F$1/B20</f>
        <v>1138.6927806877704</v>
      </c>
      <c r="G20" s="3">
        <f>F$1/C20</f>
        <v>974.3739647276625</v>
      </c>
      <c r="H20" s="2">
        <f>D20*F19</f>
        <v>503.54772259097933</v>
      </c>
      <c r="I20" s="2">
        <f>E20*G19</f>
        <v>706.50574035913939</v>
      </c>
      <c r="J20" s="2">
        <f>I20-H20</f>
        <v>202.95801776816006</v>
      </c>
      <c r="K20" s="2">
        <f t="shared" si="6"/>
        <v>-202.95801776816006</v>
      </c>
      <c r="L20" s="14">
        <f>C20/B20</f>
        <v>1.1686404008198588</v>
      </c>
      <c r="M20" s="14">
        <f t="shared" si="7"/>
        <v>1.1634517739960195</v>
      </c>
      <c r="N20" s="15" t="s">
        <v>11</v>
      </c>
      <c r="O20" s="15" t="s">
        <v>11</v>
      </c>
      <c r="P20" s="15" t="s">
        <v>11</v>
      </c>
      <c r="Q20" s="4" t="str">
        <f t="shared" si="9"/>
        <v>OVER</v>
      </c>
      <c r="R20" s="12" t="s">
        <v>11</v>
      </c>
      <c r="S20" s="12" t="s">
        <v>11</v>
      </c>
      <c r="T20" s="12" t="s">
        <v>11</v>
      </c>
      <c r="U20" s="2">
        <f>IF(Q20="OVER",J20,K20)</f>
        <v>202.95801776816006</v>
      </c>
      <c r="V20" s="12" t="s">
        <v>11</v>
      </c>
      <c r="W20" s="12" t="s">
        <v>11</v>
      </c>
      <c r="X20" s="12" t="s">
        <v>11</v>
      </c>
      <c r="Y20" s="9">
        <f t="shared" si="8"/>
        <v>369.39089138062013</v>
      </c>
      <c r="Z20" s="12" t="s">
        <v>11</v>
      </c>
      <c r="AA20" s="12" t="s">
        <v>11</v>
      </c>
      <c r="AB20" s="12" t="s">
        <v>11</v>
      </c>
    </row>
    <row r="21" spans="1:28" x14ac:dyDescent="0.3">
      <c r="A21" s="1">
        <v>44441</v>
      </c>
      <c r="B21" s="2">
        <v>88.11</v>
      </c>
      <c r="C21" s="2">
        <v>102.95</v>
      </c>
      <c r="D21" s="9">
        <f>B21-B20</f>
        <v>0.29000000000000625</v>
      </c>
      <c r="E21" s="9">
        <f>C21-C20</f>
        <v>0.32000000000000739</v>
      </c>
      <c r="F21" s="3">
        <f>F$1/B21</f>
        <v>1134.9449551696744</v>
      </c>
      <c r="G21" s="3">
        <f>F$1/C21</f>
        <v>971.34531325886348</v>
      </c>
      <c r="H21" s="2">
        <f>D21*F20</f>
        <v>330.22090639946055</v>
      </c>
      <c r="I21" s="2">
        <f>E21*G20</f>
        <v>311.79966871285922</v>
      </c>
      <c r="J21" s="2">
        <f>I21-H21</f>
        <v>-18.42123768660133</v>
      </c>
      <c r="K21" s="2">
        <f t="shared" si="6"/>
        <v>18.42123768660133</v>
      </c>
      <c r="L21" s="14">
        <f>C21/B21</f>
        <v>1.1684258313471798</v>
      </c>
      <c r="M21" s="14">
        <f t="shared" si="7"/>
        <v>1.1644854460037422</v>
      </c>
      <c r="N21" s="15" t="s">
        <v>11</v>
      </c>
      <c r="O21" s="15" t="s">
        <v>11</v>
      </c>
      <c r="P21" s="15" t="s">
        <v>11</v>
      </c>
      <c r="Q21" s="4" t="str">
        <f t="shared" si="9"/>
        <v>OVER</v>
      </c>
      <c r="R21" s="12" t="s">
        <v>11</v>
      </c>
      <c r="S21" s="12" t="s">
        <v>11</v>
      </c>
      <c r="T21" s="12" t="s">
        <v>11</v>
      </c>
      <c r="U21" s="2">
        <f>IF(Q21="OVER",J21,K21)</f>
        <v>-18.42123768660133</v>
      </c>
      <c r="V21" s="12" t="s">
        <v>11</v>
      </c>
      <c r="W21" s="12" t="s">
        <v>11</v>
      </c>
      <c r="X21" s="12" t="s">
        <v>11</v>
      </c>
      <c r="Y21" s="9">
        <f t="shared" si="8"/>
        <v>350.9696536940188</v>
      </c>
      <c r="Z21" s="12" t="s">
        <v>11</v>
      </c>
      <c r="AA21" s="12" t="s">
        <v>11</v>
      </c>
      <c r="AB21" s="12" t="s">
        <v>11</v>
      </c>
    </row>
    <row r="22" spans="1:28" x14ac:dyDescent="0.3">
      <c r="A22" s="1">
        <v>44442</v>
      </c>
      <c r="B22" s="2">
        <v>88.67</v>
      </c>
      <c r="C22" s="2">
        <v>103.33</v>
      </c>
      <c r="D22" s="9">
        <f>B22-B21</f>
        <v>0.56000000000000227</v>
      </c>
      <c r="E22" s="9">
        <f>C22-C21</f>
        <v>0.37999999999999545</v>
      </c>
      <c r="F22" s="3">
        <f>F$1/B22</f>
        <v>1127.7771512349159</v>
      </c>
      <c r="G22" s="3">
        <f>F$1/C22</f>
        <v>967.77315397270877</v>
      </c>
      <c r="H22" s="2">
        <f>D22*F21</f>
        <v>635.56917489502018</v>
      </c>
      <c r="I22" s="2">
        <f>E22*G21</f>
        <v>369.11121903836369</v>
      </c>
      <c r="J22" s="2">
        <f>I22-H22</f>
        <v>-266.4579558566565</v>
      </c>
      <c r="K22" s="2">
        <f t="shared" si="6"/>
        <v>266.4579558566565</v>
      </c>
      <c r="L22" s="14">
        <f>C22/B22</f>
        <v>1.1653321303710387</v>
      </c>
      <c r="M22" s="14">
        <f t="shared" si="7"/>
        <v>1.1651931065056846</v>
      </c>
      <c r="N22" s="14">
        <f>AVERAGE(L3:L22)</f>
        <v>1.1634274559494675</v>
      </c>
      <c r="O22" s="15" t="s">
        <v>11</v>
      </c>
      <c r="P22" s="15" t="s">
        <v>11</v>
      </c>
      <c r="Q22" s="4" t="str">
        <f t="shared" si="9"/>
        <v>OVER</v>
      </c>
      <c r="R22" s="12" t="s">
        <v>11</v>
      </c>
      <c r="S22" s="12" t="s">
        <v>11</v>
      </c>
      <c r="T22" s="12" t="s">
        <v>11</v>
      </c>
      <c r="U22" s="2">
        <f>IF(Q22="OVER",J22,K22)</f>
        <v>-266.4579558566565</v>
      </c>
      <c r="V22" s="12" t="s">
        <v>11</v>
      </c>
      <c r="W22" s="12" t="s">
        <v>11</v>
      </c>
      <c r="X22" s="12" t="s">
        <v>11</v>
      </c>
      <c r="Y22" s="9">
        <f t="shared" si="8"/>
        <v>84.511697837362306</v>
      </c>
      <c r="Z22" s="2">
        <v>0</v>
      </c>
      <c r="AA22" s="12" t="s">
        <v>11</v>
      </c>
      <c r="AB22" s="12" t="s">
        <v>11</v>
      </c>
    </row>
    <row r="23" spans="1:28" x14ac:dyDescent="0.3">
      <c r="A23" s="1">
        <v>44446</v>
      </c>
      <c r="B23" s="2">
        <v>88.24</v>
      </c>
      <c r="C23" s="2">
        <v>103.08</v>
      </c>
      <c r="D23" s="9">
        <f>B23-B22</f>
        <v>-0.43000000000000682</v>
      </c>
      <c r="E23" s="9">
        <f>C23-C22</f>
        <v>-0.25</v>
      </c>
      <c r="F23" s="3">
        <f>F$1/B23</f>
        <v>1133.2728921124208</v>
      </c>
      <c r="G23" s="3">
        <f>F$1/C23</f>
        <v>970.12029491656972</v>
      </c>
      <c r="H23" s="2">
        <f>D23*F22</f>
        <v>-484.94417503102153</v>
      </c>
      <c r="I23" s="2">
        <f>E23*G22</f>
        <v>-241.94328849317719</v>
      </c>
      <c r="J23" s="2">
        <f>I23-H23</f>
        <v>243.00088653784434</v>
      </c>
      <c r="K23" s="2">
        <f t="shared" si="6"/>
        <v>-243.00088653784434</v>
      </c>
      <c r="L23" s="14">
        <f>C23/B23</f>
        <v>1.1681776971894833</v>
      </c>
      <c r="M23" s="14">
        <f t="shared" si="7"/>
        <v>1.1658803346408222</v>
      </c>
      <c r="N23" s="14">
        <f t="shared" ref="N23:N86" si="10">AVERAGE(L4:L23)</f>
        <v>1.1635088065941424</v>
      </c>
      <c r="O23" s="15" t="s">
        <v>11</v>
      </c>
      <c r="P23" s="15" t="s">
        <v>11</v>
      </c>
      <c r="Q23" s="4" t="str">
        <f t="shared" si="9"/>
        <v>OVER</v>
      </c>
      <c r="R23" s="4" t="str">
        <f t="shared" si="9"/>
        <v>OVER</v>
      </c>
      <c r="S23" s="12" t="s">
        <v>11</v>
      </c>
      <c r="T23" s="12" t="s">
        <v>11</v>
      </c>
      <c r="U23" s="2">
        <f>IF(Q23="OVER",J23,K23)</f>
        <v>243.00088653784434</v>
      </c>
      <c r="V23" s="2">
        <f>IF(R23="OVER",J23,K23)</f>
        <v>243.00088653784434</v>
      </c>
      <c r="W23" s="12" t="s">
        <v>11</v>
      </c>
      <c r="X23" s="12" t="s">
        <v>11</v>
      </c>
      <c r="Y23" s="9">
        <f t="shared" si="8"/>
        <v>327.51258437520664</v>
      </c>
      <c r="Z23" s="9">
        <f t="shared" si="8"/>
        <v>243.00088653784434</v>
      </c>
      <c r="AA23" s="12" t="s">
        <v>11</v>
      </c>
      <c r="AB23" s="12" t="s">
        <v>11</v>
      </c>
    </row>
    <row r="24" spans="1:28" x14ac:dyDescent="0.3">
      <c r="A24" s="1">
        <v>44447</v>
      </c>
      <c r="B24" s="2">
        <v>87.74</v>
      </c>
      <c r="C24" s="2">
        <v>102.19</v>
      </c>
      <c r="D24" s="9">
        <f>B24-B23</f>
        <v>-0.5</v>
      </c>
      <c r="E24" s="9">
        <f>C24-C23</f>
        <v>-0.89000000000000057</v>
      </c>
      <c r="F24" s="3">
        <f>F$1/B24</f>
        <v>1139.7310234784591</v>
      </c>
      <c r="G24" s="3">
        <f>F$1/C24</f>
        <v>978.56933163714655</v>
      </c>
      <c r="H24" s="2">
        <f>D24*F23</f>
        <v>-566.63644605621039</v>
      </c>
      <c r="I24" s="2">
        <f>E24*G23</f>
        <v>-863.40706247574758</v>
      </c>
      <c r="J24" s="2">
        <f>I24-H24</f>
        <v>-296.77061641953719</v>
      </c>
      <c r="K24" s="2">
        <f t="shared" si="6"/>
        <v>296.77061641953719</v>
      </c>
      <c r="L24" s="14">
        <f>C24/B24</f>
        <v>1.1646911328926375</v>
      </c>
      <c r="M24" s="14">
        <f t="shared" si="7"/>
        <v>1.1660108652529204</v>
      </c>
      <c r="N24" s="14">
        <f t="shared" si="10"/>
        <v>1.1635804536408192</v>
      </c>
      <c r="O24" s="15" t="s">
        <v>11</v>
      </c>
      <c r="P24" s="15" t="s">
        <v>11</v>
      </c>
      <c r="Q24" s="4" t="str">
        <f t="shared" si="9"/>
        <v>OVER</v>
      </c>
      <c r="R24" s="4" t="str">
        <f t="shared" si="9"/>
        <v>OVER</v>
      </c>
      <c r="S24" s="12" t="s">
        <v>11</v>
      </c>
      <c r="T24" s="12" t="s">
        <v>11</v>
      </c>
      <c r="U24" s="2">
        <f>IF(Q24="OVER",J24,K24)</f>
        <v>-296.77061641953719</v>
      </c>
      <c r="V24" s="2">
        <f>IF(R24="OVER",J24,K24)</f>
        <v>-296.77061641953719</v>
      </c>
      <c r="W24" s="12" t="s">
        <v>11</v>
      </c>
      <c r="X24" s="12" t="s">
        <v>11</v>
      </c>
      <c r="Y24" s="9">
        <f t="shared" si="8"/>
        <v>30.741967955669452</v>
      </c>
      <c r="Z24" s="9">
        <f t="shared" si="8"/>
        <v>-53.769729881692854</v>
      </c>
      <c r="AA24" s="12" t="s">
        <v>11</v>
      </c>
      <c r="AB24" s="12" t="s">
        <v>11</v>
      </c>
    </row>
    <row r="25" spans="1:28" x14ac:dyDescent="0.3">
      <c r="A25" s="1">
        <v>44448</v>
      </c>
      <c r="B25" s="2">
        <v>87.62</v>
      </c>
      <c r="C25" s="2">
        <v>102.13</v>
      </c>
      <c r="D25" s="9">
        <f>B25-B24</f>
        <v>-0.11999999999999034</v>
      </c>
      <c r="E25" s="9">
        <f>C25-C24</f>
        <v>-6.0000000000002274E-2</v>
      </c>
      <c r="F25" s="3">
        <f>F$1/B25</f>
        <v>1141.2919424788861</v>
      </c>
      <c r="G25" s="3">
        <f>F$1/C25</f>
        <v>979.14422794477628</v>
      </c>
      <c r="H25" s="2">
        <f>D25*F24</f>
        <v>-136.76772281740406</v>
      </c>
      <c r="I25" s="2">
        <f>E25*G24</f>
        <v>-58.714159898231017</v>
      </c>
      <c r="J25" s="2">
        <f>I25-H25</f>
        <v>78.053562919173046</v>
      </c>
      <c r="K25" s="2">
        <f t="shared" si="6"/>
        <v>-78.053562919173046</v>
      </c>
      <c r="L25" s="14">
        <f>C25/B25</f>
        <v>1.1656014608536862</v>
      </c>
      <c r="M25" s="14">
        <f t="shared" si="7"/>
        <v>1.1661635911285875</v>
      </c>
      <c r="N25" s="14">
        <f t="shared" si="10"/>
        <v>1.1636395180848513</v>
      </c>
      <c r="O25" s="15" t="s">
        <v>11</v>
      </c>
      <c r="P25" s="15" t="s">
        <v>11</v>
      </c>
      <c r="Q25" s="4" t="str">
        <f t="shared" si="9"/>
        <v>UNDER</v>
      </c>
      <c r="R25" s="4" t="str">
        <f t="shared" si="9"/>
        <v>OVER</v>
      </c>
      <c r="S25" s="12" t="s">
        <v>11</v>
      </c>
      <c r="T25" s="12" t="s">
        <v>11</v>
      </c>
      <c r="U25" s="2">
        <f>IF(Q25="OVER",J25,K25)</f>
        <v>-78.053562919173046</v>
      </c>
      <c r="V25" s="2">
        <f>IF(R25="OVER",J25,K25)</f>
        <v>78.053562919173046</v>
      </c>
      <c r="W25" s="12" t="s">
        <v>11</v>
      </c>
      <c r="X25" s="12" t="s">
        <v>11</v>
      </c>
      <c r="Y25" s="9">
        <f t="shared" si="8"/>
        <v>-47.311594963503595</v>
      </c>
      <c r="Z25" s="9">
        <f t="shared" si="8"/>
        <v>24.283833037480193</v>
      </c>
      <c r="AA25" s="12" t="s">
        <v>11</v>
      </c>
      <c r="AB25" s="12" t="s">
        <v>11</v>
      </c>
    </row>
    <row r="26" spans="1:28" x14ac:dyDescent="0.3">
      <c r="A26" s="1">
        <v>44449</v>
      </c>
      <c r="B26" s="2">
        <v>87.09</v>
      </c>
      <c r="C26" s="2">
        <v>101.6</v>
      </c>
      <c r="D26" s="9">
        <f>B26-B25</f>
        <v>-0.53000000000000114</v>
      </c>
      <c r="E26" s="9">
        <f>C26-C25</f>
        <v>-0.53000000000000114</v>
      </c>
      <c r="F26" s="3">
        <f>F$1/B26</f>
        <v>1148.2374555057986</v>
      </c>
      <c r="G26" s="3">
        <f>F$1/C26</f>
        <v>984.25196850393706</v>
      </c>
      <c r="H26" s="2">
        <f>D26*F25</f>
        <v>-604.88472951381095</v>
      </c>
      <c r="I26" s="2">
        <f>E26*G25</f>
        <v>-518.9464408107325</v>
      </c>
      <c r="J26" s="2">
        <f>I26-H26</f>
        <v>85.938288703078456</v>
      </c>
      <c r="K26" s="2">
        <f t="shared" si="6"/>
        <v>-85.938288703078456</v>
      </c>
      <c r="L26" s="14">
        <f>C26/B26</f>
        <v>1.1666092547938913</v>
      </c>
      <c r="M26" s="14">
        <f t="shared" si="7"/>
        <v>1.1665435631249865</v>
      </c>
      <c r="N26" s="14">
        <f t="shared" si="10"/>
        <v>1.1638109850086464</v>
      </c>
      <c r="O26" s="15" t="s">
        <v>11</v>
      </c>
      <c r="P26" s="15" t="s">
        <v>11</v>
      </c>
      <c r="Q26" s="4" t="str">
        <f t="shared" si="9"/>
        <v>UNDER</v>
      </c>
      <c r="R26" s="4" t="str">
        <f t="shared" si="9"/>
        <v>OVER</v>
      </c>
      <c r="S26" s="12" t="s">
        <v>11</v>
      </c>
      <c r="T26" s="12" t="s">
        <v>11</v>
      </c>
      <c r="U26" s="2">
        <f>IF(Q26="OVER",J26,K26)</f>
        <v>-85.938288703078456</v>
      </c>
      <c r="V26" s="2">
        <f>IF(R26="OVER",J26,K26)</f>
        <v>85.938288703078456</v>
      </c>
      <c r="W26" s="12" t="s">
        <v>11</v>
      </c>
      <c r="X26" s="12" t="s">
        <v>11</v>
      </c>
      <c r="Y26" s="9">
        <f t="shared" si="8"/>
        <v>-133.24988366658204</v>
      </c>
      <c r="Z26" s="9">
        <f t="shared" si="8"/>
        <v>110.22212174055865</v>
      </c>
      <c r="AA26" s="12" t="s">
        <v>11</v>
      </c>
      <c r="AB26" s="12" t="s">
        <v>11</v>
      </c>
    </row>
    <row r="27" spans="1:28" x14ac:dyDescent="0.3">
      <c r="A27" s="1">
        <v>44452</v>
      </c>
      <c r="B27" s="2">
        <v>87.11</v>
      </c>
      <c r="C27" s="2">
        <v>101.42</v>
      </c>
      <c r="D27" s="9">
        <f>B27-B26</f>
        <v>1.9999999999996021E-2</v>
      </c>
      <c r="E27" s="9">
        <f>C27-C26</f>
        <v>-0.17999999999999261</v>
      </c>
      <c r="F27" s="3">
        <f>F$1/B27</f>
        <v>1147.9738261967627</v>
      </c>
      <c r="G27" s="3">
        <f>F$1/C27</f>
        <v>985.99881680141982</v>
      </c>
      <c r="H27" s="2">
        <f>D27*F26</f>
        <v>22.964749110111402</v>
      </c>
      <c r="I27" s="2">
        <f>E27*G26</f>
        <v>-177.1653543307014</v>
      </c>
      <c r="J27" s="2">
        <f>I27-H27</f>
        <v>-200.1301034408128</v>
      </c>
      <c r="K27" s="2">
        <f t="shared" si="6"/>
        <v>200.1301034408128</v>
      </c>
      <c r="L27" s="14">
        <f>C27/B27</f>
        <v>1.1642750545287568</v>
      </c>
      <c r="M27" s="14">
        <f t="shared" si="7"/>
        <v>1.1665105874782058</v>
      </c>
      <c r="N27" s="14">
        <f t="shared" si="10"/>
        <v>1.1638393103646965</v>
      </c>
      <c r="O27" s="15" t="s">
        <v>11</v>
      </c>
      <c r="P27" s="15" t="s">
        <v>11</v>
      </c>
      <c r="Q27" s="4" t="str">
        <f t="shared" si="9"/>
        <v>OVER</v>
      </c>
      <c r="R27" s="4" t="str">
        <f t="shared" si="9"/>
        <v>OVER</v>
      </c>
      <c r="S27" s="12" t="s">
        <v>11</v>
      </c>
      <c r="T27" s="12" t="s">
        <v>11</v>
      </c>
      <c r="U27" s="2">
        <f>IF(Q27="OVER",J27,K27)</f>
        <v>-200.1301034408128</v>
      </c>
      <c r="V27" s="2">
        <f>IF(R27="OVER",J27,K27)</f>
        <v>-200.1301034408128</v>
      </c>
      <c r="W27" s="12" t="s">
        <v>11</v>
      </c>
      <c r="X27" s="12" t="s">
        <v>11</v>
      </c>
      <c r="Y27" s="9">
        <f t="shared" si="8"/>
        <v>-333.37998710739487</v>
      </c>
      <c r="Z27" s="9">
        <f t="shared" si="8"/>
        <v>-89.907981700254155</v>
      </c>
      <c r="AA27" s="12" t="s">
        <v>11</v>
      </c>
      <c r="AB27" s="12" t="s">
        <v>11</v>
      </c>
    </row>
    <row r="28" spans="1:28" x14ac:dyDescent="0.3">
      <c r="A28" s="1">
        <v>44453</v>
      </c>
      <c r="B28" s="2">
        <v>86.74</v>
      </c>
      <c r="C28" s="2">
        <v>101.08</v>
      </c>
      <c r="D28" s="9">
        <f>B28-B27</f>
        <v>-0.37000000000000455</v>
      </c>
      <c r="E28" s="9">
        <f>C28-C27</f>
        <v>-0.34000000000000341</v>
      </c>
      <c r="F28" s="3">
        <f>F$1/B28</f>
        <v>1152.8706479133041</v>
      </c>
      <c r="G28" s="3">
        <f>F$1/C28</f>
        <v>989.31539374752674</v>
      </c>
      <c r="H28" s="2">
        <f>D28*F27</f>
        <v>-424.75031569280742</v>
      </c>
      <c r="I28" s="2">
        <f>E28*G27</f>
        <v>-335.2395977124861</v>
      </c>
      <c r="J28" s="2">
        <f>I28-H28</f>
        <v>89.510717980321317</v>
      </c>
      <c r="K28" s="2">
        <f t="shared" si="6"/>
        <v>-89.510717980321317</v>
      </c>
      <c r="L28" s="14">
        <f>C28/B28</f>
        <v>1.1653216509107678</v>
      </c>
      <c r="M28" s="14">
        <f t="shared" si="7"/>
        <v>1.166335980482655</v>
      </c>
      <c r="N28" s="14">
        <f t="shared" si="10"/>
        <v>1.1641676725812105</v>
      </c>
      <c r="O28" s="15" t="s">
        <v>11</v>
      </c>
      <c r="P28" s="15" t="s">
        <v>11</v>
      </c>
      <c r="Q28" s="4" t="str">
        <f t="shared" si="9"/>
        <v>UNDER</v>
      </c>
      <c r="R28" s="4" t="str">
        <f t="shared" si="9"/>
        <v>OVER</v>
      </c>
      <c r="S28" s="12" t="s">
        <v>11</v>
      </c>
      <c r="T28" s="12" t="s">
        <v>11</v>
      </c>
      <c r="U28" s="2">
        <f>IF(Q28="OVER",J28,K28)</f>
        <v>-89.510717980321317</v>
      </c>
      <c r="V28" s="2">
        <f>IF(R28="OVER",J28,K28)</f>
        <v>89.510717980321317</v>
      </c>
      <c r="W28" s="12" t="s">
        <v>11</v>
      </c>
      <c r="X28" s="12" t="s">
        <v>11</v>
      </c>
      <c r="Y28" s="9">
        <f t="shared" si="8"/>
        <v>-422.89070508771619</v>
      </c>
      <c r="Z28" s="9">
        <f t="shared" si="8"/>
        <v>-0.39726371993283749</v>
      </c>
      <c r="AA28" s="12" t="s">
        <v>11</v>
      </c>
      <c r="AB28" s="12" t="s">
        <v>11</v>
      </c>
    </row>
    <row r="29" spans="1:28" x14ac:dyDescent="0.3">
      <c r="A29" s="1">
        <v>44454</v>
      </c>
      <c r="B29" s="2">
        <v>87.18</v>
      </c>
      <c r="C29" s="2">
        <v>101.53</v>
      </c>
      <c r="D29" s="9">
        <f>B29-B28</f>
        <v>0.44000000000001194</v>
      </c>
      <c r="E29" s="9">
        <f>C29-C28</f>
        <v>0.45000000000000284</v>
      </c>
      <c r="F29" s="3">
        <f>F$1/B29</f>
        <v>1147.0520761642579</v>
      </c>
      <c r="G29" s="3">
        <f>F$1/C29</f>
        <v>984.9305623953511</v>
      </c>
      <c r="H29" s="2">
        <f>D29*F28</f>
        <v>507.26308508186759</v>
      </c>
      <c r="I29" s="2">
        <f>E29*G28</f>
        <v>445.19192718638982</v>
      </c>
      <c r="J29" s="2">
        <f>I29-H29</f>
        <v>-62.071157895477768</v>
      </c>
      <c r="K29" s="2">
        <f t="shared" si="6"/>
        <v>62.071157895477768</v>
      </c>
      <c r="L29" s="14">
        <f>C29/B29</f>
        <v>1.1646019729295709</v>
      </c>
      <c r="M29" s="14">
        <f t="shared" si="7"/>
        <v>1.1661676586636871</v>
      </c>
      <c r="N29" s="14">
        <f t="shared" si="10"/>
        <v>1.1643573026440894</v>
      </c>
      <c r="O29" s="15" t="s">
        <v>11</v>
      </c>
      <c r="P29" s="15" t="s">
        <v>11</v>
      </c>
      <c r="Q29" s="4" t="str">
        <f t="shared" si="9"/>
        <v>UNDER</v>
      </c>
      <c r="R29" s="4" t="str">
        <f t="shared" si="9"/>
        <v>OVER</v>
      </c>
      <c r="S29" s="12" t="s">
        <v>11</v>
      </c>
      <c r="T29" s="12" t="s">
        <v>11</v>
      </c>
      <c r="U29" s="2">
        <f>IF(Q29="OVER",J29,K29)</f>
        <v>62.071157895477768</v>
      </c>
      <c r="V29" s="2">
        <f>IF(R29="OVER",J29,K29)</f>
        <v>-62.071157895477768</v>
      </c>
      <c r="W29" s="12" t="s">
        <v>11</v>
      </c>
      <c r="X29" s="12" t="s">
        <v>11</v>
      </c>
      <c r="Y29" s="9">
        <f t="shared" si="8"/>
        <v>-360.81954719223842</v>
      </c>
      <c r="Z29" s="9">
        <f t="shared" si="8"/>
        <v>-62.468421615410605</v>
      </c>
      <c r="AA29" s="12" t="s">
        <v>11</v>
      </c>
      <c r="AB29" s="12" t="s">
        <v>11</v>
      </c>
    </row>
    <row r="30" spans="1:28" x14ac:dyDescent="0.3">
      <c r="A30" s="1">
        <v>44455</v>
      </c>
      <c r="B30" s="2">
        <v>87.39</v>
      </c>
      <c r="C30" s="2">
        <v>101.86</v>
      </c>
      <c r="D30" s="9">
        <f>B30-B29</f>
        <v>0.20999999999999375</v>
      </c>
      <c r="E30" s="9">
        <f>C30-C29</f>
        <v>0.32999999999999829</v>
      </c>
      <c r="F30" s="3">
        <f>F$1/B30</f>
        <v>1144.2956860052639</v>
      </c>
      <c r="G30" s="3">
        <f>F$1/C30</f>
        <v>981.73964264677011</v>
      </c>
      <c r="H30" s="2">
        <f>D30*F29</f>
        <v>240.88093599448698</v>
      </c>
      <c r="I30" s="2">
        <f>E30*G29</f>
        <v>325.0270855904642</v>
      </c>
      <c r="J30" s="2">
        <f>I30-H30</f>
        <v>84.146149595977221</v>
      </c>
      <c r="K30" s="2">
        <f t="shared" si="6"/>
        <v>-84.146149595977221</v>
      </c>
      <c r="L30" s="14">
        <f>C30/B30</f>
        <v>1.1655795857649616</v>
      </c>
      <c r="M30" s="14">
        <f t="shared" si="7"/>
        <v>1.1658615771581973</v>
      </c>
      <c r="N30" s="14">
        <f t="shared" si="10"/>
        <v>1.1646566755771086</v>
      </c>
      <c r="O30" s="15" t="s">
        <v>11</v>
      </c>
      <c r="P30" s="15" t="s">
        <v>11</v>
      </c>
      <c r="Q30" s="4" t="str">
        <f t="shared" si="9"/>
        <v>UNDER</v>
      </c>
      <c r="R30" s="4" t="str">
        <f t="shared" si="9"/>
        <v>OVER</v>
      </c>
      <c r="S30" s="12" t="s">
        <v>11</v>
      </c>
      <c r="T30" s="12" t="s">
        <v>11</v>
      </c>
      <c r="U30" s="2">
        <f>IF(Q30="OVER",J30,K30)</f>
        <v>-84.146149595977221</v>
      </c>
      <c r="V30" s="2">
        <f>IF(R30="OVER",J30,K30)</f>
        <v>84.146149595977221</v>
      </c>
      <c r="W30" s="12" t="s">
        <v>11</v>
      </c>
      <c r="X30" s="12" t="s">
        <v>11</v>
      </c>
      <c r="Y30" s="9">
        <f t="shared" si="8"/>
        <v>-444.96569678821561</v>
      </c>
      <c r="Z30" s="9">
        <f t="shared" si="8"/>
        <v>21.677727980566615</v>
      </c>
      <c r="AA30" s="12" t="s">
        <v>11</v>
      </c>
      <c r="AB30" s="12" t="s">
        <v>11</v>
      </c>
    </row>
    <row r="31" spans="1:28" x14ac:dyDescent="0.3">
      <c r="A31" s="1">
        <v>44456</v>
      </c>
      <c r="B31" s="2">
        <v>87.48</v>
      </c>
      <c r="C31" s="2">
        <v>101.98</v>
      </c>
      <c r="D31" s="9">
        <f>B31-B30</f>
        <v>9.0000000000003411E-2</v>
      </c>
      <c r="E31" s="9">
        <f>C31-C30</f>
        <v>0.12000000000000455</v>
      </c>
      <c r="F31" s="3">
        <f>F$1/B31</f>
        <v>1143.1184270690444</v>
      </c>
      <c r="G31" s="3">
        <f>F$1/C31</f>
        <v>980.58442831927823</v>
      </c>
      <c r="H31" s="2">
        <f>D31*F30</f>
        <v>102.98661174047766</v>
      </c>
      <c r="I31" s="2">
        <f>E31*G30</f>
        <v>117.80875711761688</v>
      </c>
      <c r="J31" s="2">
        <f>I31-H31</f>
        <v>14.822145377139222</v>
      </c>
      <c r="K31" s="2">
        <f t="shared" si="6"/>
        <v>-14.822145377139222</v>
      </c>
      <c r="L31" s="14">
        <f>C31/B31</f>
        <v>1.1657521719250115</v>
      </c>
      <c r="M31" s="14">
        <f t="shared" si="7"/>
        <v>1.1655942112159807</v>
      </c>
      <c r="N31" s="14">
        <f t="shared" si="10"/>
        <v>1.1650398286098613</v>
      </c>
      <c r="O31" s="15" t="s">
        <v>11</v>
      </c>
      <c r="P31" s="15" t="s">
        <v>11</v>
      </c>
      <c r="Q31" s="4" t="str">
        <f t="shared" si="9"/>
        <v>UNDER</v>
      </c>
      <c r="R31" s="4" t="str">
        <f t="shared" si="9"/>
        <v>OVER</v>
      </c>
      <c r="S31" s="12" t="s">
        <v>11</v>
      </c>
      <c r="T31" s="12" t="s">
        <v>11</v>
      </c>
      <c r="U31" s="2">
        <f>IF(Q31="OVER",J31,K31)</f>
        <v>-14.822145377139222</v>
      </c>
      <c r="V31" s="2">
        <f>IF(R31="OVER",J31,K31)</f>
        <v>14.822145377139222</v>
      </c>
      <c r="W31" s="12" t="s">
        <v>11</v>
      </c>
      <c r="X31" s="12" t="s">
        <v>11</v>
      </c>
      <c r="Y31" s="9">
        <f t="shared" si="8"/>
        <v>-459.78784216535485</v>
      </c>
      <c r="Z31" s="9">
        <f t="shared" si="8"/>
        <v>36.499873357705837</v>
      </c>
      <c r="AA31" s="12" t="s">
        <v>11</v>
      </c>
      <c r="AB31" s="12" t="s">
        <v>11</v>
      </c>
    </row>
    <row r="32" spans="1:28" x14ac:dyDescent="0.3">
      <c r="A32" s="1">
        <v>44459</v>
      </c>
      <c r="B32" s="2">
        <v>86.26</v>
      </c>
      <c r="C32" s="2">
        <v>100.68</v>
      </c>
      <c r="D32" s="9">
        <f>B32-B31</f>
        <v>-1.2199999999999989</v>
      </c>
      <c r="E32" s="9">
        <f>C32-C31</f>
        <v>-1.2999999999999972</v>
      </c>
      <c r="F32" s="3">
        <f>F$1/B32</f>
        <v>1159.2858798979828</v>
      </c>
      <c r="G32" s="3">
        <f>F$1/C32</f>
        <v>993.24592769169635</v>
      </c>
      <c r="H32" s="2">
        <f>D32*F31</f>
        <v>-1394.6044810242329</v>
      </c>
      <c r="I32" s="2">
        <f>E32*G31</f>
        <v>-1274.7597568150588</v>
      </c>
      <c r="J32" s="2">
        <f>I32-H32</f>
        <v>119.84472420917405</v>
      </c>
      <c r="K32" s="2">
        <f t="shared" si="6"/>
        <v>-119.84472420917405</v>
      </c>
      <c r="L32" s="14">
        <f>C32/B32</f>
        <v>1.1671690238812891</v>
      </c>
      <c r="M32" s="14">
        <f t="shared" si="7"/>
        <v>1.1657779005670055</v>
      </c>
      <c r="N32" s="14">
        <f t="shared" si="10"/>
        <v>1.1654855035363452</v>
      </c>
      <c r="O32" s="15" t="s">
        <v>11</v>
      </c>
      <c r="P32" s="15" t="s">
        <v>11</v>
      </c>
      <c r="Q32" s="4" t="str">
        <f t="shared" si="9"/>
        <v>OVER</v>
      </c>
      <c r="R32" s="4" t="str">
        <f t="shared" si="9"/>
        <v>OVER</v>
      </c>
      <c r="S32" s="12" t="s">
        <v>11</v>
      </c>
      <c r="T32" s="12" t="s">
        <v>11</v>
      </c>
      <c r="U32" s="2">
        <f>IF(Q32="OVER",J32,K32)</f>
        <v>119.84472420917405</v>
      </c>
      <c r="V32" s="2">
        <f>IF(R32="OVER",J32,K32)</f>
        <v>119.84472420917405</v>
      </c>
      <c r="W32" s="12" t="s">
        <v>11</v>
      </c>
      <c r="X32" s="12" t="s">
        <v>11</v>
      </c>
      <c r="Y32" s="9">
        <f t="shared" si="8"/>
        <v>-339.9431179561808</v>
      </c>
      <c r="Z32" s="9">
        <f t="shared" si="8"/>
        <v>156.34459756687988</v>
      </c>
      <c r="AA32" s="12" t="s">
        <v>11</v>
      </c>
      <c r="AB32" s="12" t="s">
        <v>11</v>
      </c>
    </row>
    <row r="33" spans="1:28" x14ac:dyDescent="0.3">
      <c r="A33" s="1">
        <v>44460</v>
      </c>
      <c r="B33" s="2">
        <v>86.42</v>
      </c>
      <c r="C33" s="2">
        <v>100.86</v>
      </c>
      <c r="D33" s="9">
        <f>B33-B32</f>
        <v>0.15999999999999659</v>
      </c>
      <c r="E33" s="9">
        <f>C33-C32</f>
        <v>0.17999999999999261</v>
      </c>
      <c r="F33" s="3">
        <f>F$1/B33</f>
        <v>1157.1395510298541</v>
      </c>
      <c r="G33" s="3">
        <f>F$1/C33</f>
        <v>991.47332936743999</v>
      </c>
      <c r="H33" s="2">
        <f>D33*F32</f>
        <v>185.48574078367329</v>
      </c>
      <c r="I33" s="2">
        <f>E33*G32</f>
        <v>178.784266984498</v>
      </c>
      <c r="J33" s="2">
        <f>I33-H33</f>
        <v>-6.7014737991752895</v>
      </c>
      <c r="K33" s="2">
        <f t="shared" si="6"/>
        <v>6.7014737991752895</v>
      </c>
      <c r="L33" s="14">
        <f>C33/B33</f>
        <v>1.1670909511687109</v>
      </c>
      <c r="M33" s="14">
        <f t="shared" si="7"/>
        <v>1.1656692259649284</v>
      </c>
      <c r="N33" s="14">
        <f t="shared" si="10"/>
        <v>1.1657747803028753</v>
      </c>
      <c r="O33" s="15" t="s">
        <v>11</v>
      </c>
      <c r="P33" s="15" t="s">
        <v>11</v>
      </c>
      <c r="Q33" s="4" t="str">
        <f t="shared" si="9"/>
        <v>OVER</v>
      </c>
      <c r="R33" s="4" t="str">
        <f t="shared" si="9"/>
        <v>OVER</v>
      </c>
      <c r="S33" s="12" t="s">
        <v>11</v>
      </c>
      <c r="T33" s="12" t="s">
        <v>11</v>
      </c>
      <c r="U33" s="2">
        <f>IF(Q33="OVER",J33,K33)</f>
        <v>-6.7014737991752895</v>
      </c>
      <c r="V33" s="2">
        <f>IF(R33="OVER",J33,K33)</f>
        <v>-6.7014737991752895</v>
      </c>
      <c r="W33" s="12" t="s">
        <v>11</v>
      </c>
      <c r="X33" s="12" t="s">
        <v>11</v>
      </c>
      <c r="Y33" s="9">
        <f t="shared" si="8"/>
        <v>-346.64459175535609</v>
      </c>
      <c r="Z33" s="9">
        <f t="shared" si="8"/>
        <v>149.64312376770459</v>
      </c>
      <c r="AA33" s="12" t="s">
        <v>11</v>
      </c>
      <c r="AB33" s="12" t="s">
        <v>11</v>
      </c>
    </row>
    <row r="34" spans="1:28" x14ac:dyDescent="0.3">
      <c r="A34" s="1">
        <v>44461</v>
      </c>
      <c r="B34" s="2">
        <v>87.24</v>
      </c>
      <c r="C34" s="2">
        <v>101.92</v>
      </c>
      <c r="D34" s="9">
        <f>B34-B33</f>
        <v>0.81999999999999318</v>
      </c>
      <c r="E34" s="9">
        <f>C34-C33</f>
        <v>1.0600000000000023</v>
      </c>
      <c r="F34" s="3">
        <f>F$1/B34</f>
        <v>1146.2631820265933</v>
      </c>
      <c r="G34" s="3">
        <f>F$1/C34</f>
        <v>981.16169544740967</v>
      </c>
      <c r="H34" s="2">
        <f>D34*F33</f>
        <v>948.85443184447251</v>
      </c>
      <c r="I34" s="2">
        <f>E34*G33</f>
        <v>1050.9617291294887</v>
      </c>
      <c r="J34" s="2">
        <f>I34-H34</f>
        <v>102.10729728501622</v>
      </c>
      <c r="K34" s="2">
        <f t="shared" si="6"/>
        <v>-102.10729728501622</v>
      </c>
      <c r="L34" s="14">
        <f>C34/B34</f>
        <v>1.168271435121504</v>
      </c>
      <c r="M34" s="14">
        <f t="shared" si="7"/>
        <v>1.1660272561878149</v>
      </c>
      <c r="N34" s="14">
        <f t="shared" si="10"/>
        <v>1.1660190607203678</v>
      </c>
      <c r="O34" s="15" t="s">
        <v>11</v>
      </c>
      <c r="P34" s="15" t="s">
        <v>11</v>
      </c>
      <c r="Q34" s="4" t="str">
        <f t="shared" si="9"/>
        <v>OVER</v>
      </c>
      <c r="R34" s="4" t="str">
        <f t="shared" si="9"/>
        <v>OVER</v>
      </c>
      <c r="S34" s="12" t="s">
        <v>11</v>
      </c>
      <c r="T34" s="12" t="s">
        <v>11</v>
      </c>
      <c r="U34" s="2">
        <f>IF(Q34="OVER",J34,K34)</f>
        <v>102.10729728501622</v>
      </c>
      <c r="V34" s="2">
        <f>IF(R34="OVER",J34,K34)</f>
        <v>102.10729728501622</v>
      </c>
      <c r="W34" s="12" t="s">
        <v>11</v>
      </c>
      <c r="X34" s="12" t="s">
        <v>11</v>
      </c>
      <c r="Y34" s="9">
        <f t="shared" si="8"/>
        <v>-244.53729447033987</v>
      </c>
      <c r="Z34" s="9">
        <f t="shared" si="8"/>
        <v>251.75042105272081</v>
      </c>
      <c r="AA34" s="12" t="s">
        <v>11</v>
      </c>
      <c r="AB34" s="12" t="s">
        <v>11</v>
      </c>
    </row>
    <row r="35" spans="1:28" x14ac:dyDescent="0.3">
      <c r="A35" s="1">
        <v>44462</v>
      </c>
      <c r="B35" s="2">
        <v>87.93</v>
      </c>
      <c r="C35" s="2">
        <v>102.74</v>
      </c>
      <c r="D35" s="9">
        <f>B35-B34</f>
        <v>0.69000000000001194</v>
      </c>
      <c r="E35" s="9">
        <f>C35-C34</f>
        <v>0.81999999999999318</v>
      </c>
      <c r="F35" s="3">
        <f>F$1/B35</f>
        <v>1137.2682815876265</v>
      </c>
      <c r="G35" s="3">
        <f>F$1/C35</f>
        <v>973.33073778469929</v>
      </c>
      <c r="H35" s="2">
        <f>D35*F34</f>
        <v>790.92159559836307</v>
      </c>
      <c r="I35" s="2">
        <f>E35*G34</f>
        <v>804.55259026686929</v>
      </c>
      <c r="J35" s="2">
        <f>I35-H35</f>
        <v>13.630994668506219</v>
      </c>
      <c r="K35" s="2">
        <f t="shared" si="6"/>
        <v>-13.630994668506219</v>
      </c>
      <c r="L35" s="14">
        <f>C35/B35</f>
        <v>1.1684294325031273</v>
      </c>
      <c r="M35" s="14">
        <f t="shared" si="7"/>
        <v>1.1663100533527591</v>
      </c>
      <c r="N35" s="14">
        <f t="shared" si="10"/>
        <v>1.1662368222406734</v>
      </c>
      <c r="O35" s="15" t="s">
        <v>11</v>
      </c>
      <c r="P35" s="15" t="s">
        <v>11</v>
      </c>
      <c r="Q35" s="4" t="str">
        <f t="shared" si="9"/>
        <v>OVER</v>
      </c>
      <c r="R35" s="4" t="str">
        <f t="shared" si="9"/>
        <v>OVER</v>
      </c>
      <c r="S35" s="12" t="s">
        <v>11</v>
      </c>
      <c r="T35" s="12" t="s">
        <v>11</v>
      </c>
      <c r="U35" s="2">
        <f>IF(Q35="OVER",J35,K35)</f>
        <v>13.630994668506219</v>
      </c>
      <c r="V35" s="2">
        <f>IF(R35="OVER",J35,K35)</f>
        <v>13.630994668506219</v>
      </c>
      <c r="W35" s="12" t="s">
        <v>11</v>
      </c>
      <c r="X35" s="12" t="s">
        <v>11</v>
      </c>
      <c r="Y35" s="9">
        <f t="shared" si="8"/>
        <v>-230.90629980183365</v>
      </c>
      <c r="Z35" s="9">
        <f t="shared" si="8"/>
        <v>265.38141572122703</v>
      </c>
      <c r="AA35" s="12" t="s">
        <v>11</v>
      </c>
      <c r="AB35" s="12" t="s">
        <v>11</v>
      </c>
    </row>
    <row r="36" spans="1:28" x14ac:dyDescent="0.3">
      <c r="A36" s="1">
        <v>44463</v>
      </c>
      <c r="B36" s="2">
        <v>87.82</v>
      </c>
      <c r="C36" s="2">
        <v>102.72</v>
      </c>
      <c r="D36" s="9">
        <f>B36-B35</f>
        <v>-0.11000000000001364</v>
      </c>
      <c r="E36" s="9">
        <f>C36-C35</f>
        <v>-1.9999999999996021E-2</v>
      </c>
      <c r="F36" s="3">
        <f>F$1/B36</f>
        <v>1138.6927806877704</v>
      </c>
      <c r="G36" s="3">
        <f>F$1/C36</f>
        <v>973.5202492211838</v>
      </c>
      <c r="H36" s="2">
        <f>D36*F35</f>
        <v>-125.09951097465442</v>
      </c>
      <c r="I36" s="2">
        <f>E36*G35</f>
        <v>-19.466614755690113</v>
      </c>
      <c r="J36" s="2">
        <f>I36-H36</f>
        <v>105.63289621896431</v>
      </c>
      <c r="K36" s="2">
        <f t="shared" si="6"/>
        <v>-105.63289621896431</v>
      </c>
      <c r="L36" s="14">
        <f>C36/B36</f>
        <v>1.1696652243224779</v>
      </c>
      <c r="M36" s="14">
        <f t="shared" si="7"/>
        <v>1.1666156503056178</v>
      </c>
      <c r="N36" s="14">
        <f t="shared" si="10"/>
        <v>1.166579606715302</v>
      </c>
      <c r="O36" s="15" t="s">
        <v>11</v>
      </c>
      <c r="P36" s="15" t="s">
        <v>11</v>
      </c>
      <c r="Q36" s="4" t="str">
        <f t="shared" si="9"/>
        <v>OVER</v>
      </c>
      <c r="R36" s="4" t="str">
        <f t="shared" si="9"/>
        <v>OVER</v>
      </c>
      <c r="S36" s="12" t="s">
        <v>11</v>
      </c>
      <c r="T36" s="12" t="s">
        <v>11</v>
      </c>
      <c r="U36" s="2">
        <f>IF(Q36="OVER",J36,K36)</f>
        <v>105.63289621896431</v>
      </c>
      <c r="V36" s="2">
        <f>IF(R36="OVER",J36,K36)</f>
        <v>105.63289621896431</v>
      </c>
      <c r="W36" s="12" t="s">
        <v>11</v>
      </c>
      <c r="X36" s="12" t="s">
        <v>11</v>
      </c>
      <c r="Y36" s="9">
        <f t="shared" si="8"/>
        <v>-125.27340358286935</v>
      </c>
      <c r="Z36" s="9">
        <f t="shared" si="8"/>
        <v>371.01431194019131</v>
      </c>
      <c r="AA36" s="12" t="s">
        <v>11</v>
      </c>
      <c r="AB36" s="12" t="s">
        <v>11</v>
      </c>
    </row>
    <row r="37" spans="1:28" x14ac:dyDescent="0.3">
      <c r="A37" s="1">
        <v>44466</v>
      </c>
      <c r="B37" s="2">
        <v>87.53</v>
      </c>
      <c r="C37" s="2">
        <v>102.57</v>
      </c>
      <c r="D37" s="9">
        <f>B37-B36</f>
        <v>-0.28999999999999204</v>
      </c>
      <c r="E37" s="9">
        <f>C37-C36</f>
        <v>-0.15000000000000568</v>
      </c>
      <c r="F37" s="3">
        <f>F$1/B37</f>
        <v>1142.4654404204273</v>
      </c>
      <c r="G37" s="3">
        <f>F$1/C37</f>
        <v>974.94394072340845</v>
      </c>
      <c r="H37" s="2">
        <f>D37*F36</f>
        <v>-330.22090639944435</v>
      </c>
      <c r="I37" s="2">
        <f>E37*G36</f>
        <v>-146.02803738318312</v>
      </c>
      <c r="J37" s="2">
        <f>I37-H37</f>
        <v>184.19286901626123</v>
      </c>
      <c r="K37" s="2">
        <f t="shared" si="6"/>
        <v>-184.19286901626123</v>
      </c>
      <c r="L37" s="14">
        <f>C37/B37</f>
        <v>1.1718268022392322</v>
      </c>
      <c r="M37" s="14">
        <f t="shared" si="7"/>
        <v>1.1673708250766655</v>
      </c>
      <c r="N37" s="14">
        <f t="shared" si="10"/>
        <v>1.1669407062774355</v>
      </c>
      <c r="O37" s="15" t="s">
        <v>11</v>
      </c>
      <c r="P37" s="15" t="s">
        <v>11</v>
      </c>
      <c r="Q37" s="4" t="str">
        <f t="shared" si="9"/>
        <v>OVER</v>
      </c>
      <c r="R37" s="4" t="str">
        <f t="shared" si="9"/>
        <v>OVER</v>
      </c>
      <c r="S37" s="12" t="s">
        <v>11</v>
      </c>
      <c r="T37" s="12" t="s">
        <v>11</v>
      </c>
      <c r="U37" s="2">
        <f>IF(Q37="OVER",J37,K37)</f>
        <v>184.19286901626123</v>
      </c>
      <c r="V37" s="2">
        <f>IF(R37="OVER",J37,K37)</f>
        <v>184.19286901626123</v>
      </c>
      <c r="W37" s="12" t="s">
        <v>11</v>
      </c>
      <c r="X37" s="12" t="s">
        <v>11</v>
      </c>
      <c r="Y37" s="9">
        <f t="shared" si="8"/>
        <v>58.919465433391878</v>
      </c>
      <c r="Z37" s="9">
        <f t="shared" si="8"/>
        <v>555.20718095645248</v>
      </c>
      <c r="AA37" s="12" t="s">
        <v>11</v>
      </c>
      <c r="AB37" s="12" t="s">
        <v>11</v>
      </c>
    </row>
    <row r="38" spans="1:28" x14ac:dyDescent="0.3">
      <c r="A38" s="1">
        <v>44467</v>
      </c>
      <c r="B38" s="2">
        <v>85.75</v>
      </c>
      <c r="C38" s="2">
        <v>100.41</v>
      </c>
      <c r="D38" s="9">
        <f>B38-B37</f>
        <v>-1.7800000000000011</v>
      </c>
      <c r="E38" s="9">
        <f>C38-C37</f>
        <v>-2.1599999999999966</v>
      </c>
      <c r="F38" s="3">
        <f>F$1/B38</f>
        <v>1166.1807580174927</v>
      </c>
      <c r="G38" s="3">
        <f>F$1/C38</f>
        <v>995.91674136042229</v>
      </c>
      <c r="H38" s="2">
        <f>D38*F37</f>
        <v>-2033.588483948362</v>
      </c>
      <c r="I38" s="2">
        <f>E38*G37</f>
        <v>-2105.878911962559</v>
      </c>
      <c r="J38" s="2">
        <f>I38-H38</f>
        <v>-72.290428014197005</v>
      </c>
      <c r="K38" s="2">
        <f t="shared" si="6"/>
        <v>72.290428014197005</v>
      </c>
      <c r="L38" s="14">
        <f>C38/B38</f>
        <v>1.1709620991253644</v>
      </c>
      <c r="M38" s="14">
        <f t="shared" si="7"/>
        <v>1.1679348698981251</v>
      </c>
      <c r="N38" s="14">
        <f t="shared" si="10"/>
        <v>1.16713542519039</v>
      </c>
      <c r="O38" s="15" t="s">
        <v>11</v>
      </c>
      <c r="P38" s="15" t="s">
        <v>11</v>
      </c>
      <c r="Q38" s="4" t="str">
        <f t="shared" si="9"/>
        <v>OVER</v>
      </c>
      <c r="R38" s="4" t="str">
        <f t="shared" si="9"/>
        <v>OVER</v>
      </c>
      <c r="S38" s="12" t="s">
        <v>11</v>
      </c>
      <c r="T38" s="12" t="s">
        <v>11</v>
      </c>
      <c r="U38" s="2">
        <f>IF(Q38="OVER",J38,K38)</f>
        <v>-72.290428014197005</v>
      </c>
      <c r="V38" s="2">
        <f>IF(R38="OVER",J38,K38)</f>
        <v>-72.290428014197005</v>
      </c>
      <c r="W38" s="12" t="s">
        <v>11</v>
      </c>
      <c r="X38" s="12" t="s">
        <v>11</v>
      </c>
      <c r="Y38" s="9">
        <f t="shared" si="8"/>
        <v>-13.370962580805127</v>
      </c>
      <c r="Z38" s="9">
        <f t="shared" si="8"/>
        <v>482.91675294225547</v>
      </c>
      <c r="AA38" s="12" t="s">
        <v>11</v>
      </c>
      <c r="AB38" s="12" t="s">
        <v>11</v>
      </c>
    </row>
    <row r="39" spans="1:28" x14ac:dyDescent="0.3">
      <c r="A39" s="1">
        <v>44468</v>
      </c>
      <c r="B39" s="2">
        <v>85.34</v>
      </c>
      <c r="C39" s="2">
        <v>99.67</v>
      </c>
      <c r="D39" s="9">
        <f>B39-B38</f>
        <v>-0.40999999999999659</v>
      </c>
      <c r="E39" s="9">
        <f>C39-C38</f>
        <v>-0.73999999999999488</v>
      </c>
      <c r="F39" s="3">
        <f>F$1/B39</f>
        <v>1171.7834544176235</v>
      </c>
      <c r="G39" s="3">
        <f>F$1/C39</f>
        <v>1003.3109260559847</v>
      </c>
      <c r="H39" s="2">
        <f>D39*F38</f>
        <v>-478.13411078716803</v>
      </c>
      <c r="I39" s="2">
        <f>E39*G38</f>
        <v>-736.97838860670743</v>
      </c>
      <c r="J39" s="2">
        <f>I39-H39</f>
        <v>-258.8442778195394</v>
      </c>
      <c r="K39" s="2">
        <f t="shared" si="6"/>
        <v>258.8442778195394</v>
      </c>
      <c r="L39" s="14">
        <f>C39/B39</f>
        <v>1.1679165690180455</v>
      </c>
      <c r="M39" s="14">
        <f t="shared" si="7"/>
        <v>1.1682663295069724</v>
      </c>
      <c r="N39" s="14">
        <f t="shared" si="10"/>
        <v>1.1672169940853299</v>
      </c>
      <c r="O39" s="15" t="s">
        <v>11</v>
      </c>
      <c r="P39" s="15" t="s">
        <v>11</v>
      </c>
      <c r="Q39" s="4" t="str">
        <f t="shared" si="9"/>
        <v>OVER</v>
      </c>
      <c r="R39" s="4" t="str">
        <f t="shared" si="9"/>
        <v>OVER</v>
      </c>
      <c r="S39" s="12" t="s">
        <v>11</v>
      </c>
      <c r="T39" s="12" t="s">
        <v>11</v>
      </c>
      <c r="U39" s="2">
        <f>IF(Q39="OVER",J39,K39)</f>
        <v>-258.8442778195394</v>
      </c>
      <c r="V39" s="2">
        <f>IF(R39="OVER",J39,K39)</f>
        <v>-258.8442778195394</v>
      </c>
      <c r="W39" s="12" t="s">
        <v>11</v>
      </c>
      <c r="X39" s="12" t="s">
        <v>11</v>
      </c>
      <c r="Y39" s="9">
        <f t="shared" si="8"/>
        <v>-272.21524040034456</v>
      </c>
      <c r="Z39" s="9">
        <f t="shared" si="8"/>
        <v>224.07247512271607</v>
      </c>
      <c r="AA39" s="12" t="s">
        <v>11</v>
      </c>
      <c r="AB39" s="12" t="s">
        <v>11</v>
      </c>
    </row>
    <row r="40" spans="1:28" x14ac:dyDescent="0.3">
      <c r="A40" s="1">
        <v>44469</v>
      </c>
      <c r="B40" s="2">
        <v>85.35</v>
      </c>
      <c r="C40" s="2">
        <v>99.74</v>
      </c>
      <c r="D40" s="9">
        <f>B40-B39</f>
        <v>9.9999999999909051E-3</v>
      </c>
      <c r="E40" s="9">
        <f>C40-C39</f>
        <v>6.9999999999993179E-2</v>
      </c>
      <c r="F40" s="3">
        <f>F$1/B40</f>
        <v>1171.6461628588168</v>
      </c>
      <c r="G40" s="3">
        <f>F$1/C40</f>
        <v>1002.6067776218167</v>
      </c>
      <c r="H40" s="2">
        <f>D40*F39</f>
        <v>11.717834544165578</v>
      </c>
      <c r="I40" s="2">
        <f>E40*G39</f>
        <v>70.231764823912087</v>
      </c>
      <c r="J40" s="2">
        <f>I40-H40</f>
        <v>58.513930279746511</v>
      </c>
      <c r="K40" s="2">
        <f t="shared" si="6"/>
        <v>-58.513930279746511</v>
      </c>
      <c r="L40" s="14">
        <f>C40/B40</f>
        <v>1.1685998828353836</v>
      </c>
      <c r="M40" s="14">
        <f t="shared" si="7"/>
        <v>1.1685683592140148</v>
      </c>
      <c r="N40" s="14">
        <f t="shared" si="10"/>
        <v>1.1672149681861061</v>
      </c>
      <c r="O40" s="15" t="s">
        <v>11</v>
      </c>
      <c r="P40" s="15" t="s">
        <v>11</v>
      </c>
      <c r="Q40" s="4" t="str">
        <f t="shared" si="9"/>
        <v>UNDER</v>
      </c>
      <c r="R40" s="4" t="str">
        <f t="shared" si="9"/>
        <v>OVER</v>
      </c>
      <c r="S40" s="12" t="s">
        <v>11</v>
      </c>
      <c r="T40" s="12" t="s">
        <v>11</v>
      </c>
      <c r="U40" s="2">
        <f>IF(Q40="OVER",J40,K40)</f>
        <v>-58.513930279746511</v>
      </c>
      <c r="V40" s="2">
        <f>IF(R40="OVER",J40,K40)</f>
        <v>58.513930279746511</v>
      </c>
      <c r="W40" s="12" t="s">
        <v>11</v>
      </c>
      <c r="X40" s="12" t="s">
        <v>11</v>
      </c>
      <c r="Y40" s="9">
        <f t="shared" si="8"/>
        <v>-330.72917068009104</v>
      </c>
      <c r="Z40" s="9">
        <f t="shared" si="8"/>
        <v>282.58640540246256</v>
      </c>
      <c r="AA40" s="12" t="s">
        <v>11</v>
      </c>
      <c r="AB40" s="12" t="s">
        <v>11</v>
      </c>
    </row>
    <row r="41" spans="1:28" x14ac:dyDescent="0.3">
      <c r="A41" s="1">
        <v>44470</v>
      </c>
      <c r="B41" s="2">
        <v>85.78</v>
      </c>
      <c r="C41" s="2">
        <v>100.58</v>
      </c>
      <c r="D41" s="9">
        <f>B41-B40</f>
        <v>0.43000000000000682</v>
      </c>
      <c r="E41" s="9">
        <f>C41-C40</f>
        <v>0.84000000000000341</v>
      </c>
      <c r="F41" s="3">
        <f>F$1/B41</f>
        <v>1165.7729074376311</v>
      </c>
      <c r="G41" s="3">
        <f>F$1/C41</f>
        <v>994.23344601312385</v>
      </c>
      <c r="H41" s="2">
        <f>D41*F40</f>
        <v>503.80785002929917</v>
      </c>
      <c r="I41" s="2">
        <f>E41*G40</f>
        <v>842.18969320232941</v>
      </c>
      <c r="J41" s="2">
        <f>I41-H41</f>
        <v>338.38184317303023</v>
      </c>
      <c r="K41" s="2">
        <f t="shared" si="6"/>
        <v>-338.38184317303023</v>
      </c>
      <c r="L41" s="14">
        <f>C41/B41</f>
        <v>1.1725343903007694</v>
      </c>
      <c r="M41" s="14">
        <f t="shared" si="7"/>
        <v>1.1692465810515906</v>
      </c>
      <c r="N41" s="14">
        <f t="shared" si="10"/>
        <v>1.1674203961337857</v>
      </c>
      <c r="O41" s="15" t="s">
        <v>11</v>
      </c>
      <c r="P41" s="15" t="s">
        <v>11</v>
      </c>
      <c r="Q41" s="4" t="str">
        <f t="shared" si="9"/>
        <v>OVER</v>
      </c>
      <c r="R41" s="4" t="str">
        <f t="shared" si="9"/>
        <v>OVER</v>
      </c>
      <c r="S41" s="12" t="s">
        <v>11</v>
      </c>
      <c r="T41" s="12" t="s">
        <v>11</v>
      </c>
      <c r="U41" s="2">
        <f>IF(Q41="OVER",J41,K41)</f>
        <v>338.38184317303023</v>
      </c>
      <c r="V41" s="2">
        <f>IF(R41="OVER",J41,K41)</f>
        <v>338.38184317303023</v>
      </c>
      <c r="W41" s="12" t="s">
        <v>11</v>
      </c>
      <c r="X41" s="12" t="s">
        <v>11</v>
      </c>
      <c r="Y41" s="9">
        <f t="shared" si="8"/>
        <v>7.6526724929391889</v>
      </c>
      <c r="Z41" s="9">
        <f t="shared" si="8"/>
        <v>620.96824857549279</v>
      </c>
      <c r="AA41" s="12" t="s">
        <v>11</v>
      </c>
      <c r="AB41" s="12" t="s">
        <v>11</v>
      </c>
    </row>
    <row r="42" spans="1:28" x14ac:dyDescent="0.3">
      <c r="A42" s="1">
        <v>44473</v>
      </c>
      <c r="B42" s="2">
        <v>84.53</v>
      </c>
      <c r="C42" s="2">
        <v>99.04</v>
      </c>
      <c r="D42" s="9">
        <f>B42-B41</f>
        <v>-1.25</v>
      </c>
      <c r="E42" s="9">
        <f>C42-C41</f>
        <v>-1.539999999999992</v>
      </c>
      <c r="F42" s="3">
        <f>F$1/B42</f>
        <v>1183.0119484206791</v>
      </c>
      <c r="G42" s="3">
        <f>F$1/C42</f>
        <v>1009.6930533117932</v>
      </c>
      <c r="H42" s="2">
        <f>D42*F41</f>
        <v>-1457.2161342970389</v>
      </c>
      <c r="I42" s="2">
        <f>E42*G41</f>
        <v>-1531.1195068602028</v>
      </c>
      <c r="J42" s="2">
        <f>I42-H42</f>
        <v>-73.903372563163884</v>
      </c>
      <c r="K42" s="2">
        <f t="shared" si="6"/>
        <v>73.903372563163884</v>
      </c>
      <c r="L42" s="14">
        <f>C42/B42</f>
        <v>1.1716550337158407</v>
      </c>
      <c r="M42" s="14">
        <f t="shared" si="7"/>
        <v>1.1696951820350456</v>
      </c>
      <c r="N42" s="14">
        <f t="shared" si="10"/>
        <v>1.1677365413010254</v>
      </c>
      <c r="O42" s="15" t="s">
        <v>11</v>
      </c>
      <c r="P42" s="15" t="s">
        <v>11</v>
      </c>
      <c r="Q42" s="4" t="str">
        <f t="shared" si="9"/>
        <v>OVER</v>
      </c>
      <c r="R42" s="4" t="str">
        <f t="shared" si="9"/>
        <v>OVER</v>
      </c>
      <c r="S42" s="12" t="s">
        <v>11</v>
      </c>
      <c r="T42" s="12" t="s">
        <v>11</v>
      </c>
      <c r="U42" s="2">
        <f>IF(Q42="OVER",J42,K42)</f>
        <v>-73.903372563163884</v>
      </c>
      <c r="V42" s="2">
        <f>IF(R42="OVER",J42,K42)</f>
        <v>-73.903372563163884</v>
      </c>
      <c r="W42" s="12" t="s">
        <v>11</v>
      </c>
      <c r="X42" s="12" t="s">
        <v>11</v>
      </c>
      <c r="Y42" s="9">
        <f t="shared" si="8"/>
        <v>-66.250700070224696</v>
      </c>
      <c r="Z42" s="9">
        <f t="shared" si="8"/>
        <v>547.06487601232891</v>
      </c>
      <c r="AA42" s="12" t="s">
        <v>11</v>
      </c>
      <c r="AB42" s="12" t="s">
        <v>11</v>
      </c>
    </row>
    <row r="43" spans="1:28" x14ac:dyDescent="0.3">
      <c r="A43" s="1">
        <v>44474</v>
      </c>
      <c r="B43" s="2">
        <v>85.18</v>
      </c>
      <c r="C43" s="2">
        <v>99.63</v>
      </c>
      <c r="D43" s="9">
        <f>B43-B42</f>
        <v>0.65000000000000568</v>
      </c>
      <c r="E43" s="9">
        <f>C43-C42</f>
        <v>0.5899999999999892</v>
      </c>
      <c r="F43" s="3">
        <f>F$1/B43</f>
        <v>1173.984503404555</v>
      </c>
      <c r="G43" s="3">
        <f>F$1/C43</f>
        <v>1003.7137408411122</v>
      </c>
      <c r="H43" s="2">
        <f>D43*F42</f>
        <v>768.95776647344815</v>
      </c>
      <c r="I43" s="2">
        <f>E43*G42</f>
        <v>595.71890145394707</v>
      </c>
      <c r="J43" s="2">
        <f>I43-H43</f>
        <v>-173.23886501950108</v>
      </c>
      <c r="K43" s="2">
        <f t="shared" si="6"/>
        <v>173.23886501950108</v>
      </c>
      <c r="L43" s="14">
        <f>C43/B43</f>
        <v>1.1696407607419581</v>
      </c>
      <c r="M43" s="14">
        <f t="shared" si="7"/>
        <v>1.1699501629923703</v>
      </c>
      <c r="N43" s="14">
        <f t="shared" si="10"/>
        <v>1.1678096944786494</v>
      </c>
      <c r="O43" s="15" t="s">
        <v>11</v>
      </c>
      <c r="P43" s="15" t="s">
        <v>11</v>
      </c>
      <c r="Q43" s="4" t="str">
        <f t="shared" si="9"/>
        <v>OVER</v>
      </c>
      <c r="R43" s="4" t="str">
        <f t="shared" si="9"/>
        <v>OVER</v>
      </c>
      <c r="S43" s="12" t="s">
        <v>11</v>
      </c>
      <c r="T43" s="12" t="s">
        <v>11</v>
      </c>
      <c r="U43" s="2">
        <f>IF(Q43="OVER",J43,K43)</f>
        <v>-173.23886501950108</v>
      </c>
      <c r="V43" s="2">
        <f>IF(R43="OVER",J43,K43)</f>
        <v>-173.23886501950108</v>
      </c>
      <c r="W43" s="12" t="s">
        <v>11</v>
      </c>
      <c r="X43" s="12" t="s">
        <v>11</v>
      </c>
      <c r="Y43" s="9">
        <f t="shared" si="8"/>
        <v>-239.48956508972577</v>
      </c>
      <c r="Z43" s="9">
        <f t="shared" si="8"/>
        <v>373.82601099282783</v>
      </c>
      <c r="AA43" s="12" t="s">
        <v>11</v>
      </c>
      <c r="AB43" s="12" t="s">
        <v>11</v>
      </c>
    </row>
    <row r="44" spans="1:28" x14ac:dyDescent="0.3">
      <c r="A44" s="1">
        <v>44475</v>
      </c>
      <c r="B44" s="2">
        <v>85.43</v>
      </c>
      <c r="C44" s="2">
        <v>99.73</v>
      </c>
      <c r="D44" s="9">
        <f>B44-B43</f>
        <v>0.25</v>
      </c>
      <c r="E44" s="9">
        <f>C44-C43</f>
        <v>0.10000000000000853</v>
      </c>
      <c r="F44" s="3">
        <f>F$1/B44</f>
        <v>1170.5489874751258</v>
      </c>
      <c r="G44" s="3">
        <f>F$1/C44</f>
        <v>1002.7073097362879</v>
      </c>
      <c r="H44" s="2">
        <f>D44*F43</f>
        <v>293.49612585113874</v>
      </c>
      <c r="I44" s="2">
        <f>E44*G43</f>
        <v>100.37137408411978</v>
      </c>
      <c r="J44" s="2">
        <f>I44-H44</f>
        <v>-193.12475176701895</v>
      </c>
      <c r="K44" s="2">
        <f t="shared" si="6"/>
        <v>193.12475176701895</v>
      </c>
      <c r="L44" s="14">
        <f>C44/B44</f>
        <v>1.167388505208943</v>
      </c>
      <c r="M44" s="14">
        <f t="shared" si="7"/>
        <v>1.1698618700011143</v>
      </c>
      <c r="N44" s="14">
        <f t="shared" si="10"/>
        <v>1.1679445630944647</v>
      </c>
      <c r="O44" s="15" t="s">
        <v>11</v>
      </c>
      <c r="P44" s="15" t="s">
        <v>11</v>
      </c>
      <c r="Q44" s="4" t="str">
        <f t="shared" si="9"/>
        <v>UNDER</v>
      </c>
      <c r="R44" s="4" t="str">
        <f t="shared" si="9"/>
        <v>OVER</v>
      </c>
      <c r="S44" s="12" t="s">
        <v>11</v>
      </c>
      <c r="T44" s="12" t="s">
        <v>11</v>
      </c>
      <c r="U44" s="2">
        <f>IF(Q44="OVER",J44,K44)</f>
        <v>193.12475176701895</v>
      </c>
      <c r="V44" s="2">
        <f>IF(R44="OVER",J44,K44)</f>
        <v>-193.12475176701895</v>
      </c>
      <c r="W44" s="12" t="s">
        <v>11</v>
      </c>
      <c r="X44" s="12" t="s">
        <v>11</v>
      </c>
      <c r="Y44" s="9">
        <f t="shared" si="8"/>
        <v>-46.364813322706823</v>
      </c>
      <c r="Z44" s="9">
        <f t="shared" si="8"/>
        <v>180.70125922580888</v>
      </c>
      <c r="AA44" s="12" t="s">
        <v>11</v>
      </c>
      <c r="AB44" s="12" t="s">
        <v>11</v>
      </c>
    </row>
    <row r="45" spans="1:28" x14ac:dyDescent="0.3">
      <c r="A45" s="1">
        <v>44476</v>
      </c>
      <c r="B45" s="2">
        <v>86.09</v>
      </c>
      <c r="C45" s="2">
        <v>101.01</v>
      </c>
      <c r="D45" s="9">
        <f>B45-B44</f>
        <v>0.65999999999999659</v>
      </c>
      <c r="E45" s="9">
        <f>C45-C44</f>
        <v>1.2800000000000011</v>
      </c>
      <c r="F45" s="3">
        <f>F$1/B45</f>
        <v>1161.5750958299454</v>
      </c>
      <c r="G45" s="3">
        <f>F$1/C45</f>
        <v>990.00099000098999</v>
      </c>
      <c r="H45" s="2">
        <f>D45*F44</f>
        <v>772.56233173357907</v>
      </c>
      <c r="I45" s="2">
        <f>E45*G44</f>
        <v>1283.4653564624498</v>
      </c>
      <c r="J45" s="2">
        <f>I45-H45</f>
        <v>510.90302472887072</v>
      </c>
      <c r="K45" s="2">
        <f t="shared" si="6"/>
        <v>-510.90302472887072</v>
      </c>
      <c r="L45" s="14">
        <f>C45/B45</f>
        <v>1.173307004297828</v>
      </c>
      <c r="M45" s="14">
        <f t="shared" si="7"/>
        <v>1.1703496271805842</v>
      </c>
      <c r="N45" s="14">
        <f t="shared" si="10"/>
        <v>1.1683298402666717</v>
      </c>
      <c r="O45" s="15" t="s">
        <v>11</v>
      </c>
      <c r="P45" s="15" t="s">
        <v>11</v>
      </c>
      <c r="Q45" s="4" t="str">
        <f t="shared" si="9"/>
        <v>UNDER</v>
      </c>
      <c r="R45" s="4" t="str">
        <f t="shared" si="9"/>
        <v>UNDER</v>
      </c>
      <c r="S45" s="12" t="s">
        <v>11</v>
      </c>
      <c r="T45" s="12" t="s">
        <v>11</v>
      </c>
      <c r="U45" s="2">
        <f>IF(Q45="OVER",J45,K45)</f>
        <v>-510.90302472887072</v>
      </c>
      <c r="V45" s="2">
        <f>IF(R45="OVER",J45,K45)</f>
        <v>-510.90302472887072</v>
      </c>
      <c r="W45" s="12" t="s">
        <v>11</v>
      </c>
      <c r="X45" s="12" t="s">
        <v>11</v>
      </c>
      <c r="Y45" s="9">
        <f t="shared" si="8"/>
        <v>-557.26783805157754</v>
      </c>
      <c r="Z45" s="9">
        <f t="shared" si="8"/>
        <v>-330.20176550306184</v>
      </c>
      <c r="AA45" s="12" t="s">
        <v>11</v>
      </c>
      <c r="AB45" s="12" t="s">
        <v>11</v>
      </c>
    </row>
    <row r="46" spans="1:28" x14ac:dyDescent="0.3">
      <c r="A46" s="1">
        <v>44477</v>
      </c>
      <c r="B46" s="2">
        <v>85.68</v>
      </c>
      <c r="C46" s="2">
        <v>100.3</v>
      </c>
      <c r="D46" s="9">
        <f>B46-B45</f>
        <v>-0.40999999999999659</v>
      </c>
      <c r="E46" s="9">
        <f>C46-C45</f>
        <v>-0.71000000000000796</v>
      </c>
      <c r="F46" s="3">
        <f>F$1/B46</f>
        <v>1167.1335200746964</v>
      </c>
      <c r="G46" s="3">
        <f>F$1/C46</f>
        <v>997.00897308075776</v>
      </c>
      <c r="H46" s="2">
        <f>D46*F45</f>
        <v>-476.24578929027365</v>
      </c>
      <c r="I46" s="2">
        <f>E46*G45</f>
        <v>-702.90070290071071</v>
      </c>
      <c r="J46" s="2">
        <f>I46-H46</f>
        <v>-226.65491361043706</v>
      </c>
      <c r="K46" s="2">
        <f t="shared" si="6"/>
        <v>226.65491361043706</v>
      </c>
      <c r="L46" s="14">
        <f>C46/B46</f>
        <v>1.1706349206349205</v>
      </c>
      <c r="M46" s="14">
        <f t="shared" si="7"/>
        <v>1.1704465968118283</v>
      </c>
      <c r="N46" s="14">
        <f t="shared" si="10"/>
        <v>1.1685311235587232</v>
      </c>
      <c r="O46" s="15" t="s">
        <v>11</v>
      </c>
      <c r="P46" s="15" t="s">
        <v>11</v>
      </c>
      <c r="Q46" s="4" t="str">
        <f t="shared" si="9"/>
        <v>OVER</v>
      </c>
      <c r="R46" s="4" t="str">
        <f t="shared" si="9"/>
        <v>OVER</v>
      </c>
      <c r="S46" s="12" t="s">
        <v>11</v>
      </c>
      <c r="T46" s="12" t="s">
        <v>11</v>
      </c>
      <c r="U46" s="2">
        <f>IF(Q46="OVER",J46,K46)</f>
        <v>-226.65491361043706</v>
      </c>
      <c r="V46" s="2">
        <f>IF(R46="OVER",J46,K46)</f>
        <v>-226.65491361043706</v>
      </c>
      <c r="W46" s="12" t="s">
        <v>11</v>
      </c>
      <c r="X46" s="12" t="s">
        <v>11</v>
      </c>
      <c r="Y46" s="9">
        <f t="shared" si="8"/>
        <v>-783.92275166201466</v>
      </c>
      <c r="Z46" s="9">
        <f t="shared" si="8"/>
        <v>-556.8566791134989</v>
      </c>
      <c r="AA46" s="12" t="s">
        <v>11</v>
      </c>
      <c r="AB46" s="12" t="s">
        <v>11</v>
      </c>
    </row>
    <row r="47" spans="1:28" x14ac:dyDescent="0.3">
      <c r="A47" s="1">
        <v>44480</v>
      </c>
      <c r="B47" s="2">
        <v>85.2</v>
      </c>
      <c r="C47" s="2">
        <v>99.83</v>
      </c>
      <c r="D47" s="9">
        <f>B47-B46</f>
        <v>-0.48000000000000398</v>
      </c>
      <c r="E47" s="9">
        <f>C47-C46</f>
        <v>-0.46999999999999886</v>
      </c>
      <c r="F47" s="3">
        <f>F$1/B47</f>
        <v>1173.7089201877934</v>
      </c>
      <c r="G47" s="3">
        <f>F$1/C47</f>
        <v>1001.7028949213664</v>
      </c>
      <c r="H47" s="2">
        <f>D47*F46</f>
        <v>-560.22408963585895</v>
      </c>
      <c r="I47" s="2">
        <f>E47*G46</f>
        <v>-468.59421734795501</v>
      </c>
      <c r="J47" s="2">
        <f>I47-H47</f>
        <v>91.629872287903936</v>
      </c>
      <c r="K47" s="2">
        <f t="shared" si="6"/>
        <v>-91.629872287903936</v>
      </c>
      <c r="L47" s="14">
        <f>C47/B47</f>
        <v>1.1717136150234742</v>
      </c>
      <c r="M47" s="14">
        <f t="shared" si="7"/>
        <v>1.1704352780902527</v>
      </c>
      <c r="N47" s="14">
        <f t="shared" si="10"/>
        <v>1.1689030515834593</v>
      </c>
      <c r="O47" s="15" t="s">
        <v>11</v>
      </c>
      <c r="P47" s="15" t="s">
        <v>11</v>
      </c>
      <c r="Q47" s="4" t="str">
        <f t="shared" si="9"/>
        <v>OVER</v>
      </c>
      <c r="R47" s="4" t="str">
        <f t="shared" si="9"/>
        <v>OVER</v>
      </c>
      <c r="S47" s="12" t="s">
        <v>11</v>
      </c>
      <c r="T47" s="12" t="s">
        <v>11</v>
      </c>
      <c r="U47" s="2">
        <f>IF(Q47="OVER",J47,K47)</f>
        <v>91.629872287903936</v>
      </c>
      <c r="V47" s="2">
        <f>IF(R47="OVER",J47,K47)</f>
        <v>91.629872287903936</v>
      </c>
      <c r="W47" s="12" t="s">
        <v>11</v>
      </c>
      <c r="X47" s="12" t="s">
        <v>11</v>
      </c>
      <c r="Y47" s="9">
        <f t="shared" si="8"/>
        <v>-692.29287937411073</v>
      </c>
      <c r="Z47" s="9">
        <f t="shared" si="8"/>
        <v>-465.22680682559496</v>
      </c>
      <c r="AA47" s="12" t="s">
        <v>11</v>
      </c>
      <c r="AB47" s="12" t="s">
        <v>11</v>
      </c>
    </row>
    <row r="48" spans="1:28" x14ac:dyDescent="0.3">
      <c r="A48" s="1">
        <v>44481</v>
      </c>
      <c r="B48" s="2">
        <v>85.81</v>
      </c>
      <c r="C48" s="2">
        <v>100.55</v>
      </c>
      <c r="D48" s="9">
        <f>B48-B47</f>
        <v>0.60999999999999943</v>
      </c>
      <c r="E48" s="9">
        <f>C48-C47</f>
        <v>0.71999999999999886</v>
      </c>
      <c r="F48" s="3">
        <f>F$1/B48</f>
        <v>1165.3653420347277</v>
      </c>
      <c r="G48" s="3">
        <f>F$1/C48</f>
        <v>994.5300845350572</v>
      </c>
      <c r="H48" s="2">
        <f>D48*F47</f>
        <v>715.9624413145533</v>
      </c>
      <c r="I48" s="2">
        <f>E48*G47</f>
        <v>721.22608434338258</v>
      </c>
      <c r="J48" s="2">
        <f>I48-H48</f>
        <v>5.2636430288292786</v>
      </c>
      <c r="K48" s="2">
        <f t="shared" si="6"/>
        <v>-5.2636430288292786</v>
      </c>
      <c r="L48" s="14">
        <f>C48/B48</f>
        <v>1.1717748514159188</v>
      </c>
      <c r="M48" s="14">
        <f t="shared" si="7"/>
        <v>1.1705165533193083</v>
      </c>
      <c r="N48" s="14">
        <f t="shared" si="10"/>
        <v>1.1692257116087168</v>
      </c>
      <c r="O48" s="15" t="s">
        <v>11</v>
      </c>
      <c r="P48" s="15" t="s">
        <v>11</v>
      </c>
      <c r="Q48" s="4" t="str">
        <f t="shared" si="9"/>
        <v>OVER</v>
      </c>
      <c r="R48" s="4" t="str">
        <f t="shared" si="9"/>
        <v>OVER</v>
      </c>
      <c r="S48" s="12" t="s">
        <v>11</v>
      </c>
      <c r="T48" s="12" t="s">
        <v>11</v>
      </c>
      <c r="U48" s="2">
        <f>IF(Q48="OVER",J48,K48)</f>
        <v>5.2636430288292786</v>
      </c>
      <c r="V48" s="2">
        <f>IF(R48="OVER",J48,K48)</f>
        <v>5.2636430288292786</v>
      </c>
      <c r="W48" s="12" t="s">
        <v>11</v>
      </c>
      <c r="X48" s="12" t="s">
        <v>11</v>
      </c>
      <c r="Y48" s="9">
        <f t="shared" si="8"/>
        <v>-687.02923634528145</v>
      </c>
      <c r="Z48" s="9">
        <f t="shared" si="8"/>
        <v>-459.96316379676568</v>
      </c>
      <c r="AA48" s="12" t="s">
        <v>11</v>
      </c>
      <c r="AB48" s="12" t="s">
        <v>11</v>
      </c>
    </row>
    <row r="49" spans="1:28" x14ac:dyDescent="0.3">
      <c r="A49" s="1">
        <v>44482</v>
      </c>
      <c r="B49" s="2">
        <v>86.42</v>
      </c>
      <c r="C49" s="2">
        <v>101.42</v>
      </c>
      <c r="D49" s="9">
        <f>B49-B48</f>
        <v>0.60999999999999943</v>
      </c>
      <c r="E49" s="9">
        <f>C49-C48</f>
        <v>0.87000000000000455</v>
      </c>
      <c r="F49" s="3">
        <f>F$1/B49</f>
        <v>1157.1395510298541</v>
      </c>
      <c r="G49" s="3">
        <f>F$1/C49</f>
        <v>985.99881680141982</v>
      </c>
      <c r="H49" s="2">
        <f>D49*F48</f>
        <v>710.87285864118326</v>
      </c>
      <c r="I49" s="2">
        <f>E49*G48</f>
        <v>865.24117354550424</v>
      </c>
      <c r="J49" s="2">
        <f>I49-H49</f>
        <v>154.36831490432098</v>
      </c>
      <c r="K49" s="2">
        <f t="shared" si="6"/>
        <v>-154.36831490432098</v>
      </c>
      <c r="L49" s="14">
        <f>C49/B49</f>
        <v>1.1735709326544781</v>
      </c>
      <c r="M49" s="14">
        <f t="shared" si="7"/>
        <v>1.1710819896829514</v>
      </c>
      <c r="N49" s="14">
        <f t="shared" si="10"/>
        <v>1.1696741595949622</v>
      </c>
      <c r="O49" s="15" t="s">
        <v>11</v>
      </c>
      <c r="P49" s="15" t="s">
        <v>11</v>
      </c>
      <c r="Q49" s="4" t="str">
        <f t="shared" si="9"/>
        <v>OVER</v>
      </c>
      <c r="R49" s="4" t="str">
        <f t="shared" si="9"/>
        <v>OVER</v>
      </c>
      <c r="S49" s="12" t="s">
        <v>11</v>
      </c>
      <c r="T49" s="12" t="s">
        <v>11</v>
      </c>
      <c r="U49" s="2">
        <f>IF(Q49="OVER",J49,K49)</f>
        <v>154.36831490432098</v>
      </c>
      <c r="V49" s="2">
        <f>IF(R49="OVER",J49,K49)</f>
        <v>154.36831490432098</v>
      </c>
      <c r="W49" s="12" t="s">
        <v>11</v>
      </c>
      <c r="X49" s="12" t="s">
        <v>11</v>
      </c>
      <c r="Y49" s="9">
        <f t="shared" si="8"/>
        <v>-532.66092144096046</v>
      </c>
      <c r="Z49" s="9">
        <f t="shared" si="8"/>
        <v>-305.5948488924447</v>
      </c>
      <c r="AA49" s="12" t="s">
        <v>11</v>
      </c>
      <c r="AB49" s="12" t="s">
        <v>11</v>
      </c>
    </row>
    <row r="50" spans="1:28" x14ac:dyDescent="0.3">
      <c r="A50" s="1">
        <v>44483</v>
      </c>
      <c r="B50" s="2">
        <v>87.21</v>
      </c>
      <c r="C50" s="2">
        <v>102.06</v>
      </c>
      <c r="D50" s="9">
        <f>B50-B49</f>
        <v>0.78999999999999204</v>
      </c>
      <c r="E50" s="9">
        <f>C50-C49</f>
        <v>0.64000000000000057</v>
      </c>
      <c r="F50" s="3">
        <f>F$1/B50</f>
        <v>1146.6574934067196</v>
      </c>
      <c r="G50" s="3">
        <f>F$1/C50</f>
        <v>979.81579463060939</v>
      </c>
      <c r="H50" s="2">
        <f>D50*F49</f>
        <v>914.14024531357552</v>
      </c>
      <c r="I50" s="2">
        <f>E50*G49</f>
        <v>631.03924275290922</v>
      </c>
      <c r="J50" s="2">
        <f>I50-H50</f>
        <v>-283.1010025606663</v>
      </c>
      <c r="K50" s="2">
        <f t="shared" si="6"/>
        <v>283.1010025606663</v>
      </c>
      <c r="L50" s="14">
        <f>C50/B50</f>
        <v>1.170278637770898</v>
      </c>
      <c r="M50" s="14">
        <f t="shared" si="7"/>
        <v>1.1712498651765029</v>
      </c>
      <c r="N50" s="14">
        <f t="shared" si="10"/>
        <v>1.1699091121952589</v>
      </c>
      <c r="O50" s="15" t="s">
        <v>11</v>
      </c>
      <c r="P50" s="15" t="s">
        <v>11</v>
      </c>
      <c r="Q50" s="4" t="str">
        <f t="shared" si="9"/>
        <v>OVER</v>
      </c>
      <c r="R50" s="4" t="str">
        <f t="shared" si="9"/>
        <v>OVER</v>
      </c>
      <c r="S50" s="12" t="s">
        <v>11</v>
      </c>
      <c r="T50" s="12" t="s">
        <v>11</v>
      </c>
      <c r="U50" s="2">
        <f>IF(Q50="OVER",J50,K50)</f>
        <v>-283.1010025606663</v>
      </c>
      <c r="V50" s="2">
        <f>IF(R50="OVER",J50,K50)</f>
        <v>-283.1010025606663</v>
      </c>
      <c r="W50" s="12" t="s">
        <v>11</v>
      </c>
      <c r="X50" s="12" t="s">
        <v>11</v>
      </c>
      <c r="Y50" s="9">
        <f t="shared" si="8"/>
        <v>-815.76192400162677</v>
      </c>
      <c r="Z50" s="9">
        <f t="shared" si="8"/>
        <v>-588.695851453111</v>
      </c>
      <c r="AA50" s="12" t="s">
        <v>11</v>
      </c>
      <c r="AB50" s="12" t="s">
        <v>11</v>
      </c>
    </row>
    <row r="51" spans="1:28" x14ac:dyDescent="0.3">
      <c r="A51" s="1">
        <v>44484</v>
      </c>
      <c r="B51" s="2">
        <v>87.33</v>
      </c>
      <c r="C51" s="2">
        <v>102.22</v>
      </c>
      <c r="D51" s="9">
        <f>B51-B50</f>
        <v>0.12000000000000455</v>
      </c>
      <c r="E51" s="9">
        <f>C51-C50</f>
        <v>0.15999999999999659</v>
      </c>
      <c r="F51" s="3">
        <f>F$1/B51</f>
        <v>1145.0818733539447</v>
      </c>
      <c r="G51" s="3">
        <f>F$1/C51</f>
        <v>978.28213656818627</v>
      </c>
      <c r="H51" s="2">
        <f>D51*F50</f>
        <v>137.59889920881156</v>
      </c>
      <c r="I51" s="2">
        <f>E51*G50</f>
        <v>156.77052714089416</v>
      </c>
      <c r="J51" s="2">
        <f>I51-H51</f>
        <v>19.1716279320826</v>
      </c>
      <c r="K51" s="2">
        <f t="shared" si="6"/>
        <v>-19.1716279320826</v>
      </c>
      <c r="L51" s="14">
        <f>C51/B51</f>
        <v>1.1705026909424023</v>
      </c>
      <c r="M51" s="14">
        <f t="shared" si="7"/>
        <v>1.1710466952406662</v>
      </c>
      <c r="N51" s="14">
        <f t="shared" si="10"/>
        <v>1.1701466381461283</v>
      </c>
      <c r="O51" s="15" t="s">
        <v>11</v>
      </c>
      <c r="P51" s="15" t="s">
        <v>11</v>
      </c>
      <c r="Q51" s="4" t="str">
        <f t="shared" si="9"/>
        <v>UNDER</v>
      </c>
      <c r="R51" s="4" t="str">
        <f t="shared" si="9"/>
        <v>OVER</v>
      </c>
      <c r="S51" s="12" t="s">
        <v>11</v>
      </c>
      <c r="T51" s="12" t="s">
        <v>11</v>
      </c>
      <c r="U51" s="2">
        <f>IF(Q51="OVER",J51,K51)</f>
        <v>-19.1716279320826</v>
      </c>
      <c r="V51" s="2">
        <f>IF(R51="OVER",J51,K51)</f>
        <v>19.1716279320826</v>
      </c>
      <c r="W51" s="12" t="s">
        <v>11</v>
      </c>
      <c r="X51" s="12" t="s">
        <v>11</v>
      </c>
      <c r="Y51" s="9">
        <f t="shared" si="8"/>
        <v>-834.9335519337094</v>
      </c>
      <c r="Z51" s="9">
        <f t="shared" si="8"/>
        <v>-569.52422352102838</v>
      </c>
      <c r="AA51" s="12" t="s">
        <v>11</v>
      </c>
      <c r="AB51" s="12" t="s">
        <v>11</v>
      </c>
    </row>
    <row r="52" spans="1:28" x14ac:dyDescent="0.3">
      <c r="A52" s="1">
        <v>44487</v>
      </c>
      <c r="B52" s="2">
        <v>87.54</v>
      </c>
      <c r="C52" s="2">
        <v>102.44</v>
      </c>
      <c r="D52" s="9">
        <f>B52-B51</f>
        <v>0.21000000000000796</v>
      </c>
      <c r="E52" s="9">
        <f>C52-C51</f>
        <v>0.21999999999999886</v>
      </c>
      <c r="F52" s="3">
        <f>F$1/B52</f>
        <v>1142.334932602239</v>
      </c>
      <c r="G52" s="3">
        <f>F$1/C52</f>
        <v>976.18117922686451</v>
      </c>
      <c r="H52" s="2">
        <f>D52*F51</f>
        <v>240.46719340433751</v>
      </c>
      <c r="I52" s="2">
        <f>E52*G51</f>
        <v>215.22207004499987</v>
      </c>
      <c r="J52" s="2">
        <f>I52-H52</f>
        <v>-25.24512335933764</v>
      </c>
      <c r="K52" s="2">
        <f t="shared" si="6"/>
        <v>25.24512335933764</v>
      </c>
      <c r="L52" s="14">
        <f>C52/B52</f>
        <v>1.1702079049577334</v>
      </c>
      <c r="M52" s="14">
        <f t="shared" si="7"/>
        <v>1.1709019823648554</v>
      </c>
      <c r="N52" s="14">
        <f t="shared" si="10"/>
        <v>1.1702985821999505</v>
      </c>
      <c r="O52" s="14">
        <f>AVERAGE(L3:L52)</f>
        <v>1.1666459953731678</v>
      </c>
      <c r="P52" s="15" t="s">
        <v>11</v>
      </c>
      <c r="Q52" s="4" t="str">
        <f t="shared" si="9"/>
        <v>UNDER</v>
      </c>
      <c r="R52" s="4" t="str">
        <f t="shared" si="9"/>
        <v>OVER</v>
      </c>
      <c r="S52" s="12" t="s">
        <v>11</v>
      </c>
      <c r="T52" s="12" t="s">
        <v>11</v>
      </c>
      <c r="U52" s="2">
        <f>IF(Q52="OVER",$J52,$K52)</f>
        <v>25.24512335933764</v>
      </c>
      <c r="V52" s="2">
        <f>IF(R52="OVER",$J52,$K52)</f>
        <v>-25.24512335933764</v>
      </c>
      <c r="W52" s="12" t="s">
        <v>11</v>
      </c>
      <c r="X52" s="12" t="s">
        <v>11</v>
      </c>
      <c r="Y52" s="9">
        <f t="shared" si="8"/>
        <v>-809.68842857437176</v>
      </c>
      <c r="Z52" s="9">
        <f t="shared" si="8"/>
        <v>-594.76934688036602</v>
      </c>
      <c r="AA52" s="2">
        <v>0</v>
      </c>
      <c r="AB52" s="12" t="s">
        <v>11</v>
      </c>
    </row>
    <row r="53" spans="1:28" x14ac:dyDescent="0.3">
      <c r="A53" s="1">
        <v>44488</v>
      </c>
      <c r="B53" s="2">
        <v>87.9</v>
      </c>
      <c r="C53" s="2">
        <v>102.88</v>
      </c>
      <c r="D53" s="9">
        <f>B53-B52</f>
        <v>0.35999999999999943</v>
      </c>
      <c r="E53" s="9">
        <f>C53-C52</f>
        <v>0.43999999999999773</v>
      </c>
      <c r="F53" s="3">
        <f>F$1/B53</f>
        <v>1137.6564277588168</v>
      </c>
      <c r="G53" s="3">
        <f>F$1/C53</f>
        <v>972.00622083981341</v>
      </c>
      <c r="H53" s="2">
        <f>D53*F52</f>
        <v>411.2405757368054</v>
      </c>
      <c r="I53" s="2">
        <f>E53*G52</f>
        <v>429.51971885981817</v>
      </c>
      <c r="J53" s="2">
        <f>I53-H53</f>
        <v>18.279143123012773</v>
      </c>
      <c r="K53" s="2">
        <f t="shared" si="6"/>
        <v>-18.279143123012773</v>
      </c>
      <c r="L53" s="14">
        <f>C53/B53</f>
        <v>1.1704209328782706</v>
      </c>
      <c r="M53" s="14">
        <f t="shared" si="7"/>
        <v>1.1709799995784866</v>
      </c>
      <c r="N53" s="14">
        <f t="shared" si="10"/>
        <v>1.1704650812854287</v>
      </c>
      <c r="O53" s="14">
        <f t="shared" ref="O53:O116" si="11">AVERAGE(L4:L53)</f>
        <v>1.1667234003448137</v>
      </c>
      <c r="P53" s="15" t="s">
        <v>11</v>
      </c>
      <c r="Q53" s="4" t="str">
        <f t="shared" si="9"/>
        <v>UNDER</v>
      </c>
      <c r="R53" s="4" t="str">
        <f t="shared" si="9"/>
        <v>UNDER</v>
      </c>
      <c r="S53" s="4" t="str">
        <f>IF($L52&gt;O52,"OVER","UNDER")</f>
        <v>OVER</v>
      </c>
      <c r="T53" s="12" t="s">
        <v>11</v>
      </c>
      <c r="U53" s="2">
        <f>IF(Q53="OVER",$J53,$K53)</f>
        <v>-18.279143123012773</v>
      </c>
      <c r="V53" s="2">
        <f>IF(R53="OVER",$J53,$K53)</f>
        <v>-18.279143123012773</v>
      </c>
      <c r="W53" s="2">
        <f>IF(S53="OVER",$J53,$K53)</f>
        <v>18.279143123012773</v>
      </c>
      <c r="X53" s="12" t="s">
        <v>11</v>
      </c>
      <c r="Y53" s="9">
        <f t="shared" si="8"/>
        <v>-827.96757169738453</v>
      </c>
      <c r="Z53" s="9">
        <f t="shared" si="8"/>
        <v>-613.04849000337879</v>
      </c>
      <c r="AA53" s="9">
        <f t="shared" si="8"/>
        <v>18.279143123012773</v>
      </c>
      <c r="AB53" s="12" t="s">
        <v>11</v>
      </c>
    </row>
    <row r="54" spans="1:28" x14ac:dyDescent="0.3">
      <c r="A54" s="1">
        <v>44489</v>
      </c>
      <c r="B54" s="2">
        <v>88.15</v>
      </c>
      <c r="C54" s="2">
        <v>102.97</v>
      </c>
      <c r="D54" s="9">
        <f>B54-B53</f>
        <v>0.25</v>
      </c>
      <c r="E54" s="9">
        <f>C54-C53</f>
        <v>9.0000000000003411E-2</v>
      </c>
      <c r="F54" s="3">
        <f>F$1/B54</f>
        <v>1134.4299489506523</v>
      </c>
      <c r="G54" s="3">
        <f>F$1/C54</f>
        <v>971.15664756725266</v>
      </c>
      <c r="H54" s="2">
        <f>D54*F53</f>
        <v>284.4141069397042</v>
      </c>
      <c r="I54" s="2">
        <f>E54*G53</f>
        <v>87.480559875586522</v>
      </c>
      <c r="J54" s="2">
        <f>I54-H54</f>
        <v>-196.93354706411768</v>
      </c>
      <c r="K54" s="2">
        <f t="shared" si="6"/>
        <v>196.93354706411768</v>
      </c>
      <c r="L54" s="14">
        <f>C54/B54</f>
        <v>1.1681225184344866</v>
      </c>
      <c r="M54" s="14">
        <f t="shared" si="7"/>
        <v>1.1710534009010409</v>
      </c>
      <c r="N54" s="14">
        <f t="shared" si="10"/>
        <v>1.1704576354510778</v>
      </c>
      <c r="O54" s="14">
        <f t="shared" si="11"/>
        <v>1.1668206868743214</v>
      </c>
      <c r="P54" s="15" t="s">
        <v>11</v>
      </c>
      <c r="Q54" s="4" t="str">
        <f t="shared" si="9"/>
        <v>UNDER</v>
      </c>
      <c r="R54" s="4" t="str">
        <f t="shared" si="9"/>
        <v>UNDER</v>
      </c>
      <c r="S54" s="4" t="str">
        <f>IF($L54&gt;O54,"OVER","UNDER")</f>
        <v>OVER</v>
      </c>
      <c r="T54" s="12" t="s">
        <v>11</v>
      </c>
      <c r="U54" s="2">
        <f>IF(Q54="OVER",$J54,$K54)</f>
        <v>196.93354706411768</v>
      </c>
      <c r="V54" s="2">
        <f>IF(R54="OVER",$J54,$K54)</f>
        <v>196.93354706411768</v>
      </c>
      <c r="W54" s="2">
        <f>IF(S54="OVER",$J54,$K54)</f>
        <v>-196.93354706411768</v>
      </c>
      <c r="X54" s="12" t="s">
        <v>11</v>
      </c>
      <c r="Y54" s="9">
        <f t="shared" si="8"/>
        <v>-631.03402463326688</v>
      </c>
      <c r="Z54" s="9">
        <f t="shared" si="8"/>
        <v>-416.11494293926114</v>
      </c>
      <c r="AA54" s="9">
        <f t="shared" si="8"/>
        <v>-178.6544039411049</v>
      </c>
      <c r="AB54" s="12" t="s">
        <v>11</v>
      </c>
    </row>
    <row r="55" spans="1:28" x14ac:dyDescent="0.3">
      <c r="A55" s="1">
        <v>44490</v>
      </c>
      <c r="B55" s="2">
        <v>88.54</v>
      </c>
      <c r="C55" s="2">
        <v>103.38</v>
      </c>
      <c r="D55" s="9">
        <f>B55-B54</f>
        <v>0.39000000000000057</v>
      </c>
      <c r="E55" s="9">
        <f>C55-C54</f>
        <v>0.40999999999999659</v>
      </c>
      <c r="F55" s="3">
        <f>F$1/B55</f>
        <v>1129.4330246216398</v>
      </c>
      <c r="G55" s="3">
        <f>F$1/C55</f>
        <v>967.30508802476311</v>
      </c>
      <c r="H55" s="2">
        <f>D55*F54</f>
        <v>442.42768009075502</v>
      </c>
      <c r="I55" s="2">
        <f>E55*G54</f>
        <v>398.17422550257027</v>
      </c>
      <c r="J55" s="2">
        <f>I55-H55</f>
        <v>-44.253454588184752</v>
      </c>
      <c r="K55" s="2">
        <f t="shared" si="6"/>
        <v>44.253454588184752</v>
      </c>
      <c r="L55" s="14">
        <f>C55/B55</f>
        <v>1.1676078608538512</v>
      </c>
      <c r="M55" s="14">
        <f t="shared" si="7"/>
        <v>1.1704834865566434</v>
      </c>
      <c r="N55" s="14">
        <f t="shared" si="10"/>
        <v>1.1704165568686142</v>
      </c>
      <c r="O55" s="14">
        <f t="shared" si="11"/>
        <v>1.1668844406519374</v>
      </c>
      <c r="P55" s="15" t="s">
        <v>11</v>
      </c>
      <c r="Q55" s="4" t="str">
        <f t="shared" si="9"/>
        <v>UNDER</v>
      </c>
      <c r="R55" s="4" t="str">
        <f t="shared" si="9"/>
        <v>UNDER</v>
      </c>
      <c r="S55" s="4" t="str">
        <f>IF($L55&gt;O55,"OVER","UNDER")</f>
        <v>OVER</v>
      </c>
      <c r="T55" s="12" t="s">
        <v>11</v>
      </c>
      <c r="U55" s="2">
        <f>IF(Q55="OVER",$J55,$K55)</f>
        <v>44.253454588184752</v>
      </c>
      <c r="V55" s="2">
        <f>IF(R55="OVER",$J55,$K55)</f>
        <v>44.253454588184752</v>
      </c>
      <c r="W55" s="2">
        <f>IF(S55="OVER",$J55,$K55)</f>
        <v>-44.253454588184752</v>
      </c>
      <c r="X55" s="12" t="s">
        <v>11</v>
      </c>
      <c r="Y55" s="9">
        <f t="shared" si="8"/>
        <v>-586.78057004508219</v>
      </c>
      <c r="Z55" s="9">
        <f t="shared" si="8"/>
        <v>-371.86148835107639</v>
      </c>
      <c r="AA55" s="9">
        <f t="shared" si="8"/>
        <v>-222.90785852928965</v>
      </c>
      <c r="AB55" s="12" t="s">
        <v>11</v>
      </c>
    </row>
    <row r="56" spans="1:28" x14ac:dyDescent="0.3">
      <c r="A56" s="1">
        <v>44491</v>
      </c>
      <c r="B56" s="2">
        <v>87.84</v>
      </c>
      <c r="C56" s="2">
        <v>102.38</v>
      </c>
      <c r="D56" s="9">
        <f>B56-B55</f>
        <v>-0.70000000000000284</v>
      </c>
      <c r="E56" s="9">
        <f>C56-C55</f>
        <v>-1</v>
      </c>
      <c r="F56" s="3">
        <f>F$1/B56</f>
        <v>1138.4335154826958</v>
      </c>
      <c r="G56" s="3">
        <f>F$1/C56</f>
        <v>976.75327212346167</v>
      </c>
      <c r="H56" s="2">
        <f>D56*F55</f>
        <v>-790.6031172351511</v>
      </c>
      <c r="I56" s="2">
        <f>E56*G55</f>
        <v>-967.30508802476311</v>
      </c>
      <c r="J56" s="2">
        <f>I56-H56</f>
        <v>-176.70197078961201</v>
      </c>
      <c r="K56" s="2">
        <f t="shared" si="6"/>
        <v>176.70197078961201</v>
      </c>
      <c r="L56" s="14">
        <f>C56/B56</f>
        <v>1.1655282331511838</v>
      </c>
      <c r="M56" s="14">
        <f t="shared" si="7"/>
        <v>1.1699728178082696</v>
      </c>
      <c r="N56" s="14">
        <f t="shared" si="10"/>
        <v>1.170209707310049</v>
      </c>
      <c r="O56" s="14">
        <f t="shared" si="11"/>
        <v>1.1669314069886014</v>
      </c>
      <c r="P56" s="15" t="s">
        <v>11</v>
      </c>
      <c r="Q56" s="4" t="str">
        <f t="shared" si="9"/>
        <v>UNDER</v>
      </c>
      <c r="R56" s="4" t="str">
        <f t="shared" si="9"/>
        <v>UNDER</v>
      </c>
      <c r="S56" s="4" t="str">
        <f>IF($L56&gt;O56,"OVER","UNDER")</f>
        <v>UNDER</v>
      </c>
      <c r="T56" s="12" t="s">
        <v>11</v>
      </c>
      <c r="U56" s="2">
        <f>IF(Q56="OVER",$J56,$K56)</f>
        <v>176.70197078961201</v>
      </c>
      <c r="V56" s="2">
        <f>IF(R56="OVER",$J56,$K56)</f>
        <v>176.70197078961201</v>
      </c>
      <c r="W56" s="2">
        <f>IF(S56="OVER",$J56,$K56)</f>
        <v>176.70197078961201</v>
      </c>
      <c r="X56" s="12" t="s">
        <v>11</v>
      </c>
      <c r="Y56" s="9">
        <f t="shared" si="8"/>
        <v>-410.07859925547018</v>
      </c>
      <c r="Z56" s="9">
        <f t="shared" si="8"/>
        <v>-195.15951756146438</v>
      </c>
      <c r="AA56" s="9">
        <f t="shared" si="8"/>
        <v>-46.20588773967765</v>
      </c>
      <c r="AB56" s="12" t="s">
        <v>11</v>
      </c>
    </row>
    <row r="57" spans="1:28" x14ac:dyDescent="0.3">
      <c r="A57" s="1">
        <v>44494</v>
      </c>
      <c r="B57" s="2">
        <v>87.99</v>
      </c>
      <c r="C57" s="2">
        <v>102.81</v>
      </c>
      <c r="D57" s="9">
        <f>B57-B56</f>
        <v>0.14999999999999147</v>
      </c>
      <c r="E57" s="9">
        <f>C57-C56</f>
        <v>0.43000000000000682</v>
      </c>
      <c r="F57" s="3">
        <f>F$1/B57</f>
        <v>1136.4927832708263</v>
      </c>
      <c r="G57" s="3">
        <f>F$1/C57</f>
        <v>972.66802840190644</v>
      </c>
      <c r="H57" s="2">
        <f>D57*F56</f>
        <v>170.76502732239467</v>
      </c>
      <c r="I57" s="2">
        <f>E57*G56</f>
        <v>420.00390701309516</v>
      </c>
      <c r="J57" s="2">
        <f>I57-H57</f>
        <v>249.23887969070049</v>
      </c>
      <c r="K57" s="2">
        <f t="shared" si="6"/>
        <v>-249.23887969070049</v>
      </c>
      <c r="L57" s="14">
        <f>C57/B57</f>
        <v>1.1684282304807365</v>
      </c>
      <c r="M57" s="14">
        <f t="shared" si="7"/>
        <v>1.1696442793539961</v>
      </c>
      <c r="N57" s="14">
        <f t="shared" si="10"/>
        <v>1.1700397787221242</v>
      </c>
      <c r="O57" s="14">
        <f t="shared" si="11"/>
        <v>1.1670258006500611</v>
      </c>
      <c r="P57" s="15" t="s">
        <v>11</v>
      </c>
      <c r="Q57" s="4" t="str">
        <f t="shared" si="9"/>
        <v>UNDER</v>
      </c>
      <c r="R57" s="4" t="str">
        <f t="shared" si="9"/>
        <v>UNDER</v>
      </c>
      <c r="S57" s="4" t="str">
        <f>IF($L57&gt;O57,"OVER","UNDER")</f>
        <v>OVER</v>
      </c>
      <c r="T57" s="12" t="s">
        <v>11</v>
      </c>
      <c r="U57" s="2">
        <f>IF(Q57="OVER",$J57,$K57)</f>
        <v>-249.23887969070049</v>
      </c>
      <c r="V57" s="2">
        <f>IF(R57="OVER",$J57,$K57)</f>
        <v>-249.23887969070049</v>
      </c>
      <c r="W57" s="2">
        <f>IF(S57="OVER",$J57,$K57)</f>
        <v>249.23887969070049</v>
      </c>
      <c r="X57" s="12" t="s">
        <v>11</v>
      </c>
      <c r="Y57" s="9">
        <f t="shared" si="8"/>
        <v>-659.3174789461707</v>
      </c>
      <c r="Z57" s="9">
        <f t="shared" si="8"/>
        <v>-444.39839725216484</v>
      </c>
      <c r="AA57" s="9">
        <f t="shared" si="8"/>
        <v>203.03299195102284</v>
      </c>
      <c r="AB57" s="12" t="s">
        <v>11</v>
      </c>
    </row>
    <row r="58" spans="1:28" x14ac:dyDescent="0.3">
      <c r="A58" s="1">
        <v>44495</v>
      </c>
      <c r="B58" s="2">
        <v>87.75</v>
      </c>
      <c r="C58" s="2">
        <v>102.21</v>
      </c>
      <c r="D58" s="9">
        <f>B58-B57</f>
        <v>-0.23999999999999488</v>
      </c>
      <c r="E58" s="9">
        <f>C58-C57</f>
        <v>-0.60000000000000853</v>
      </c>
      <c r="F58" s="3">
        <f>F$1/B58</f>
        <v>1139.6011396011395</v>
      </c>
      <c r="G58" s="3">
        <f>F$1/C58</f>
        <v>978.37784952548679</v>
      </c>
      <c r="H58" s="2">
        <f>D58*F57</f>
        <v>-272.75826798499247</v>
      </c>
      <c r="I58" s="2">
        <f>E58*G57</f>
        <v>-583.60081704115214</v>
      </c>
      <c r="J58" s="2">
        <f>I58-H58</f>
        <v>-310.84254905615967</v>
      </c>
      <c r="K58" s="2">
        <f t="shared" si="6"/>
        <v>310.84254905615967</v>
      </c>
      <c r="L58" s="14">
        <f>C58/B58</f>
        <v>1.1647863247863248</v>
      </c>
      <c r="M58" s="14">
        <f t="shared" si="7"/>
        <v>1.1689454266910366</v>
      </c>
      <c r="N58" s="14">
        <f t="shared" si="10"/>
        <v>1.1697309900051722</v>
      </c>
      <c r="O58" s="14">
        <f t="shared" si="11"/>
        <v>1.1671464390141777</v>
      </c>
      <c r="P58" s="15" t="s">
        <v>11</v>
      </c>
      <c r="Q58" s="4" t="str">
        <f t="shared" si="9"/>
        <v>UNDER</v>
      </c>
      <c r="R58" s="4" t="str">
        <f t="shared" si="9"/>
        <v>UNDER</v>
      </c>
      <c r="S58" s="4" t="str">
        <f>IF($L58&gt;O58,"OVER","UNDER")</f>
        <v>UNDER</v>
      </c>
      <c r="T58" s="12" t="s">
        <v>11</v>
      </c>
      <c r="U58" s="2">
        <f>IF(Q58="OVER",$J58,$K58)</f>
        <v>310.84254905615967</v>
      </c>
      <c r="V58" s="2">
        <f>IF(R58="OVER",$J58,$K58)</f>
        <v>310.84254905615967</v>
      </c>
      <c r="W58" s="2">
        <f>IF(S58="OVER",$J58,$K58)</f>
        <v>310.84254905615967</v>
      </c>
      <c r="X58" s="12" t="s">
        <v>11</v>
      </c>
      <c r="Y58" s="9">
        <f t="shared" si="8"/>
        <v>-348.47492989001103</v>
      </c>
      <c r="Z58" s="9">
        <f t="shared" si="8"/>
        <v>-133.55584819600517</v>
      </c>
      <c r="AA58" s="9">
        <f t="shared" si="8"/>
        <v>513.87554100718251</v>
      </c>
      <c r="AB58" s="12" t="s">
        <v>11</v>
      </c>
    </row>
    <row r="59" spans="1:28" x14ac:dyDescent="0.3">
      <c r="A59" s="1">
        <v>44496</v>
      </c>
      <c r="B59" s="2">
        <v>86.96</v>
      </c>
      <c r="C59" s="2">
        <v>101.28</v>
      </c>
      <c r="D59" s="9">
        <f>B59-B58</f>
        <v>-0.79000000000000625</v>
      </c>
      <c r="E59" s="9">
        <f>C59-C58</f>
        <v>-0.92999999999999261</v>
      </c>
      <c r="F59" s="3">
        <f>F$1/B59</f>
        <v>1149.9540018399264</v>
      </c>
      <c r="G59" s="3">
        <f>F$1/C59</f>
        <v>987.36176935229071</v>
      </c>
      <c r="H59" s="2">
        <f>D59*F58</f>
        <v>-900.28490028490728</v>
      </c>
      <c r="I59" s="2">
        <f>E59*G58</f>
        <v>-909.89140005869547</v>
      </c>
      <c r="J59" s="2">
        <f>I59-H59</f>
        <v>-9.6064997737881868</v>
      </c>
      <c r="K59" s="2">
        <f t="shared" si="6"/>
        <v>9.6064997737881868</v>
      </c>
      <c r="L59" s="14">
        <f>C59/B59</f>
        <v>1.1646734130634775</v>
      </c>
      <c r="M59" s="14">
        <f t="shared" si="7"/>
        <v>1.1680556747319366</v>
      </c>
      <c r="N59" s="14">
        <f t="shared" si="10"/>
        <v>1.1695688322074438</v>
      </c>
      <c r="O59" s="14">
        <f t="shared" si="11"/>
        <v>1.1672237198420075</v>
      </c>
      <c r="P59" s="15" t="s">
        <v>11</v>
      </c>
      <c r="Q59" s="4" t="str">
        <f t="shared" si="9"/>
        <v>UNDER</v>
      </c>
      <c r="R59" s="4" t="str">
        <f t="shared" si="9"/>
        <v>UNDER</v>
      </c>
      <c r="S59" s="4" t="str">
        <f>IF($L59&gt;O59,"OVER","UNDER")</f>
        <v>UNDER</v>
      </c>
      <c r="T59" s="12" t="s">
        <v>11</v>
      </c>
      <c r="U59" s="2">
        <f>IF(Q59="OVER",$J59,$K59)</f>
        <v>9.6064997737881868</v>
      </c>
      <c r="V59" s="2">
        <f>IF(R59="OVER",$J59,$K59)</f>
        <v>9.6064997737881868</v>
      </c>
      <c r="W59" s="2">
        <f>IF(S59="OVER",$J59,$K59)</f>
        <v>9.6064997737881868</v>
      </c>
      <c r="X59" s="12" t="s">
        <v>11</v>
      </c>
      <c r="Y59" s="9">
        <f t="shared" si="8"/>
        <v>-338.86843011622284</v>
      </c>
      <c r="Z59" s="9">
        <f t="shared" si="8"/>
        <v>-123.94934842221699</v>
      </c>
      <c r="AA59" s="9">
        <f t="shared" si="8"/>
        <v>523.48204078097069</v>
      </c>
      <c r="AB59" s="12" t="s">
        <v>11</v>
      </c>
    </row>
    <row r="60" spans="1:28" x14ac:dyDescent="0.3">
      <c r="A60" s="1">
        <v>44497</v>
      </c>
      <c r="B60" s="2">
        <v>87.93</v>
      </c>
      <c r="C60" s="2">
        <v>102.41</v>
      </c>
      <c r="D60" s="9">
        <f>B60-B59</f>
        <v>0.97000000000001307</v>
      </c>
      <c r="E60" s="9">
        <f>C60-C59</f>
        <v>1.1299999999999955</v>
      </c>
      <c r="F60" s="3">
        <f>F$1/B60</f>
        <v>1137.2682815876265</v>
      </c>
      <c r="G60" s="3">
        <f>F$1/C60</f>
        <v>976.46714188067574</v>
      </c>
      <c r="H60" s="2">
        <f>D60*F59</f>
        <v>1115.4553817847436</v>
      </c>
      <c r="I60" s="2">
        <f>E60*G59</f>
        <v>1115.7187993680841</v>
      </c>
      <c r="J60" s="2">
        <f>I60-H60</f>
        <v>0.26341758334046972</v>
      </c>
      <c r="K60" s="2">
        <f t="shared" si="6"/>
        <v>-0.26341758334046972</v>
      </c>
      <c r="L60" s="14">
        <f>C60/B60</f>
        <v>1.1646764471738882</v>
      </c>
      <c r="M60" s="14">
        <f t="shared" si="7"/>
        <v>1.1674954556722354</v>
      </c>
      <c r="N60" s="14">
        <f t="shared" si="10"/>
        <v>1.1693726604243693</v>
      </c>
      <c r="O60" s="14">
        <f t="shared" si="11"/>
        <v>1.1673254062433938</v>
      </c>
      <c r="P60" s="15" t="s">
        <v>11</v>
      </c>
      <c r="Q60" s="4" t="str">
        <f t="shared" si="9"/>
        <v>UNDER</v>
      </c>
      <c r="R60" s="4" t="str">
        <f t="shared" si="9"/>
        <v>UNDER</v>
      </c>
      <c r="S60" s="4" t="str">
        <f>IF($L60&gt;O60,"OVER","UNDER")</f>
        <v>UNDER</v>
      </c>
      <c r="T60" s="12" t="s">
        <v>11</v>
      </c>
      <c r="U60" s="2">
        <f>IF(Q60="OVER",$J60,$K60)</f>
        <v>-0.26341758334046972</v>
      </c>
      <c r="V60" s="2">
        <f>IF(R60="OVER",$J60,$K60)</f>
        <v>-0.26341758334046972</v>
      </c>
      <c r="W60" s="2">
        <f>IF(S60="OVER",$J60,$K60)</f>
        <v>-0.26341758334046972</v>
      </c>
      <c r="X60" s="12" t="s">
        <v>11</v>
      </c>
      <c r="Y60" s="9">
        <f t="shared" si="8"/>
        <v>-339.13184769956331</v>
      </c>
      <c r="Z60" s="9">
        <f t="shared" si="8"/>
        <v>-124.21276600555746</v>
      </c>
      <c r="AA60" s="9">
        <f t="shared" si="8"/>
        <v>523.21862319763022</v>
      </c>
      <c r="AB60" s="12" t="s">
        <v>11</v>
      </c>
    </row>
    <row r="61" spans="1:28" x14ac:dyDescent="0.3">
      <c r="A61" s="1">
        <v>44498</v>
      </c>
      <c r="B61" s="2">
        <v>87.98</v>
      </c>
      <c r="C61" s="2">
        <v>102.42</v>
      </c>
      <c r="D61" s="9">
        <f>B61-B60</f>
        <v>4.9999999999997158E-2</v>
      </c>
      <c r="E61" s="9">
        <f>C61-C60</f>
        <v>1.0000000000005116E-2</v>
      </c>
      <c r="F61" s="3">
        <f>F$1/B61</f>
        <v>1136.6219595362581</v>
      </c>
      <c r="G61" s="3">
        <f>F$1/C61</f>
        <v>976.37180238234714</v>
      </c>
      <c r="H61" s="2">
        <f>D61*F60</f>
        <v>56.863414079378089</v>
      </c>
      <c r="I61" s="2">
        <f>E61*G60</f>
        <v>9.7646714188117532</v>
      </c>
      <c r="J61" s="2">
        <f>I61-H61</f>
        <v>-47.098742660566337</v>
      </c>
      <c r="K61" s="2">
        <f t="shared" si="6"/>
        <v>47.098742660566337</v>
      </c>
      <c r="L61" s="14">
        <f>C61/B61</f>
        <v>1.1641282109570357</v>
      </c>
      <c r="M61" s="14">
        <f t="shared" si="7"/>
        <v>1.1668580076736987</v>
      </c>
      <c r="N61" s="14">
        <f t="shared" si="10"/>
        <v>1.1689523514571827</v>
      </c>
      <c r="O61" s="14">
        <f t="shared" si="11"/>
        <v>1.1674461882371354</v>
      </c>
      <c r="P61" s="15" t="s">
        <v>11</v>
      </c>
      <c r="Q61" s="4" t="str">
        <f t="shared" si="9"/>
        <v>UNDER</v>
      </c>
      <c r="R61" s="4" t="str">
        <f t="shared" si="9"/>
        <v>UNDER</v>
      </c>
      <c r="S61" s="4" t="str">
        <f>IF($L61&gt;O61,"OVER","UNDER")</f>
        <v>UNDER</v>
      </c>
      <c r="T61" s="12" t="s">
        <v>11</v>
      </c>
      <c r="U61" s="2">
        <f>IF(Q61="OVER",$J61,$K61)</f>
        <v>47.098742660566337</v>
      </c>
      <c r="V61" s="2">
        <f>IF(R61="OVER",$J61,$K61)</f>
        <v>47.098742660566337</v>
      </c>
      <c r="W61" s="2">
        <f>IF(S61="OVER",$J61,$K61)</f>
        <v>47.098742660566337</v>
      </c>
      <c r="X61" s="12" t="s">
        <v>11</v>
      </c>
      <c r="Y61" s="9">
        <f t="shared" si="8"/>
        <v>-292.03310503899695</v>
      </c>
      <c r="Z61" s="9">
        <f t="shared" si="8"/>
        <v>-77.114023344991125</v>
      </c>
      <c r="AA61" s="9">
        <f t="shared" si="8"/>
        <v>570.31736585819658</v>
      </c>
      <c r="AB61" s="12" t="s">
        <v>11</v>
      </c>
    </row>
    <row r="62" spans="1:28" x14ac:dyDescent="0.3">
      <c r="A62" s="1">
        <v>44501</v>
      </c>
      <c r="B62" s="2">
        <v>88.82</v>
      </c>
      <c r="C62" s="2">
        <v>103.46</v>
      </c>
      <c r="D62" s="9">
        <f>B62-B61</f>
        <v>0.8399999999999892</v>
      </c>
      <c r="E62" s="9">
        <f>C62-C61</f>
        <v>1.039999999999992</v>
      </c>
      <c r="F62" s="3">
        <f>F$1/B62</f>
        <v>1125.8725512272013</v>
      </c>
      <c r="G62" s="3">
        <f>F$1/C62</f>
        <v>966.5571235260004</v>
      </c>
      <c r="H62" s="2">
        <f>D62*F61</f>
        <v>954.76244601044459</v>
      </c>
      <c r="I62" s="2">
        <f>E62*G61</f>
        <v>1015.4266744776332</v>
      </c>
      <c r="J62" s="2">
        <f>I62-H62</f>
        <v>60.66422846718865</v>
      </c>
      <c r="K62" s="2">
        <f t="shared" si="6"/>
        <v>-60.66422846718865</v>
      </c>
      <c r="L62" s="14">
        <f>C62/B62</f>
        <v>1.1648277414996622</v>
      </c>
      <c r="M62" s="14">
        <f t="shared" si="7"/>
        <v>1.1663199913278914</v>
      </c>
      <c r="N62" s="14">
        <f t="shared" si="10"/>
        <v>1.1686109868463734</v>
      </c>
      <c r="O62" s="14">
        <f t="shared" si="11"/>
        <v>1.1675776325600966</v>
      </c>
      <c r="P62" s="15" t="s">
        <v>11</v>
      </c>
      <c r="Q62" s="4" t="str">
        <f t="shared" si="9"/>
        <v>UNDER</v>
      </c>
      <c r="R62" s="4" t="str">
        <f t="shared" si="9"/>
        <v>UNDER</v>
      </c>
      <c r="S62" s="4" t="str">
        <f>IF($L62&gt;O62,"OVER","UNDER")</f>
        <v>UNDER</v>
      </c>
      <c r="T62" s="12" t="s">
        <v>11</v>
      </c>
      <c r="U62" s="2">
        <f>IF(Q62="OVER",$J62,$K62)</f>
        <v>-60.66422846718865</v>
      </c>
      <c r="V62" s="2">
        <f>IF(R62="OVER",$J62,$K62)</f>
        <v>-60.66422846718865</v>
      </c>
      <c r="W62" s="2">
        <f>IF(S62="OVER",$J62,$K62)</f>
        <v>-60.66422846718865</v>
      </c>
      <c r="X62" s="12" t="s">
        <v>11</v>
      </c>
      <c r="Y62" s="9">
        <f t="shared" si="8"/>
        <v>-352.6973335061856</v>
      </c>
      <c r="Z62" s="9">
        <f t="shared" si="8"/>
        <v>-137.77825181217978</v>
      </c>
      <c r="AA62" s="9">
        <f t="shared" si="8"/>
        <v>509.65313739100793</v>
      </c>
      <c r="AB62" s="12" t="s">
        <v>11</v>
      </c>
    </row>
    <row r="63" spans="1:28" x14ac:dyDescent="0.3">
      <c r="A63" s="1">
        <v>44502</v>
      </c>
      <c r="B63" s="2">
        <v>88.52</v>
      </c>
      <c r="C63" s="2">
        <v>102.96</v>
      </c>
      <c r="D63" s="9">
        <f>B63-B62</f>
        <v>-0.29999999999999716</v>
      </c>
      <c r="E63" s="9">
        <f>C63-C62</f>
        <v>-0.5</v>
      </c>
      <c r="F63" s="3">
        <f>F$1/B63</f>
        <v>1129.6882060551288</v>
      </c>
      <c r="G63" s="3">
        <f>F$1/C63</f>
        <v>971.25097125097136</v>
      </c>
      <c r="H63" s="2">
        <f>D63*F62</f>
        <v>-337.76176536815717</v>
      </c>
      <c r="I63" s="2">
        <f>E63*G62</f>
        <v>-483.2785617630002</v>
      </c>
      <c r="J63" s="2">
        <f>I63-H63</f>
        <v>-145.51679639484303</v>
      </c>
      <c r="K63" s="2">
        <f t="shared" si="6"/>
        <v>145.51679639484303</v>
      </c>
      <c r="L63" s="14">
        <f>C63/B63</f>
        <v>1.1631269769543606</v>
      </c>
      <c r="M63" s="14">
        <f t="shared" si="7"/>
        <v>1.1655905957355006</v>
      </c>
      <c r="N63" s="14">
        <f t="shared" si="10"/>
        <v>1.1682852976569935</v>
      </c>
      <c r="O63" s="14">
        <f t="shared" si="11"/>
        <v>1.1676140637824215</v>
      </c>
      <c r="P63" s="15" t="s">
        <v>11</v>
      </c>
      <c r="Q63" s="4" t="str">
        <f t="shared" si="9"/>
        <v>UNDER</v>
      </c>
      <c r="R63" s="4" t="str">
        <f t="shared" si="9"/>
        <v>UNDER</v>
      </c>
      <c r="S63" s="4" t="str">
        <f>IF($L63&gt;O63,"OVER","UNDER")</f>
        <v>UNDER</v>
      </c>
      <c r="T63" s="12" t="s">
        <v>11</v>
      </c>
      <c r="U63" s="2">
        <f>IF(Q63="OVER",$J63,$K63)</f>
        <v>145.51679639484303</v>
      </c>
      <c r="V63" s="2">
        <f>IF(R63="OVER",$J63,$K63)</f>
        <v>145.51679639484303</v>
      </c>
      <c r="W63" s="2">
        <f>IF(S63="OVER",$J63,$K63)</f>
        <v>145.51679639484303</v>
      </c>
      <c r="X63" s="12" t="s">
        <v>11</v>
      </c>
      <c r="Y63" s="9">
        <f t="shared" si="8"/>
        <v>-207.18053711134257</v>
      </c>
      <c r="Z63" s="9">
        <f t="shared" si="8"/>
        <v>7.738544582663252</v>
      </c>
      <c r="AA63" s="9">
        <f t="shared" si="8"/>
        <v>655.16993378585096</v>
      </c>
      <c r="AB63" s="12" t="s">
        <v>11</v>
      </c>
    </row>
    <row r="64" spans="1:28" x14ac:dyDescent="0.3">
      <c r="A64" s="1">
        <v>44503</v>
      </c>
      <c r="B64" s="2">
        <v>88.51</v>
      </c>
      <c r="C64" s="2">
        <v>102.94</v>
      </c>
      <c r="D64" s="9">
        <f>B64-B63</f>
        <v>-9.9999999999909051E-3</v>
      </c>
      <c r="E64" s="9">
        <f>C64-C63</f>
        <v>-1.9999999999996021E-2</v>
      </c>
      <c r="F64" s="3">
        <f>F$1/B64</f>
        <v>1129.8158400180771</v>
      </c>
      <c r="G64" s="3">
        <f>F$1/C64</f>
        <v>971.4396735962697</v>
      </c>
      <c r="H64" s="2">
        <f>D64*F63</f>
        <v>-11.296882060541014</v>
      </c>
      <c r="I64" s="2">
        <f>E64*G63</f>
        <v>-19.425019425015563</v>
      </c>
      <c r="J64" s="2">
        <f>I64-H64</f>
        <v>-8.1281373644745489</v>
      </c>
      <c r="K64" s="2">
        <f t="shared" si="6"/>
        <v>8.1281373644745489</v>
      </c>
      <c r="L64" s="14">
        <f>C64/B64</f>
        <v>1.1630324257146085</v>
      </c>
      <c r="M64" s="14">
        <f t="shared" si="7"/>
        <v>1.1650815864635129</v>
      </c>
      <c r="N64" s="14">
        <f t="shared" si="10"/>
        <v>1.1680674936822768</v>
      </c>
      <c r="O64" s="14">
        <f t="shared" si="11"/>
        <v>1.1676069957612807</v>
      </c>
      <c r="P64" s="15" t="s">
        <v>11</v>
      </c>
      <c r="Q64" s="4" t="str">
        <f t="shared" si="9"/>
        <v>UNDER</v>
      </c>
      <c r="R64" s="4" t="str">
        <f t="shared" si="9"/>
        <v>UNDER</v>
      </c>
      <c r="S64" s="4" t="str">
        <f>IF($L64&gt;O64,"OVER","UNDER")</f>
        <v>UNDER</v>
      </c>
      <c r="T64" s="12" t="s">
        <v>11</v>
      </c>
      <c r="U64" s="2">
        <f>IF(Q64="OVER",$J64,$K64)</f>
        <v>8.1281373644745489</v>
      </c>
      <c r="V64" s="2">
        <f>IF(R64="OVER",$J64,$K64)</f>
        <v>8.1281373644745489</v>
      </c>
      <c r="W64" s="2">
        <f>IF(S64="OVER",$J64,$K64)</f>
        <v>8.1281373644745489</v>
      </c>
      <c r="X64" s="12" t="s">
        <v>11</v>
      </c>
      <c r="Y64" s="9">
        <f t="shared" si="8"/>
        <v>-199.05239974686802</v>
      </c>
      <c r="Z64" s="9">
        <f t="shared" si="8"/>
        <v>15.866681947137801</v>
      </c>
      <c r="AA64" s="9">
        <f t="shared" si="8"/>
        <v>663.29807115032554</v>
      </c>
      <c r="AB64" s="12" t="s">
        <v>11</v>
      </c>
    </row>
    <row r="65" spans="1:28" x14ac:dyDescent="0.3">
      <c r="A65" s="1">
        <v>44504</v>
      </c>
      <c r="B65" s="2">
        <v>88.77</v>
      </c>
      <c r="C65" s="2">
        <v>103.1</v>
      </c>
      <c r="D65" s="9">
        <f>B65-B64</f>
        <v>0.25999999999999091</v>
      </c>
      <c r="E65" s="9">
        <f>C65-C64</f>
        <v>0.15999999999999659</v>
      </c>
      <c r="F65" s="3">
        <f>F$1/B65</f>
        <v>1126.5067027148812</v>
      </c>
      <c r="G65" s="3">
        <f>F$1/C65</f>
        <v>969.93210475266733</v>
      </c>
      <c r="H65" s="2">
        <f>D65*F64</f>
        <v>293.75211840468978</v>
      </c>
      <c r="I65" s="2">
        <f>E65*G64</f>
        <v>155.43034777539984</v>
      </c>
      <c r="J65" s="2">
        <f>I65-H65</f>
        <v>-138.32177062928994</v>
      </c>
      <c r="K65" s="2">
        <f t="shared" si="6"/>
        <v>138.32177062928994</v>
      </c>
      <c r="L65" s="14">
        <f>C65/B65</f>
        <v>1.1614284104990424</v>
      </c>
      <c r="M65" s="14">
        <f t="shared" si="7"/>
        <v>1.1644636414280318</v>
      </c>
      <c r="N65" s="14">
        <f t="shared" si="10"/>
        <v>1.1674735639923375</v>
      </c>
      <c r="O65" s="14">
        <f t="shared" si="11"/>
        <v>1.1675540799293211</v>
      </c>
      <c r="P65" s="15" t="s">
        <v>11</v>
      </c>
      <c r="Q65" s="4" t="str">
        <f t="shared" si="9"/>
        <v>UNDER</v>
      </c>
      <c r="R65" s="4" t="str">
        <f t="shared" si="9"/>
        <v>UNDER</v>
      </c>
      <c r="S65" s="4" t="str">
        <f>IF($L65&gt;O65,"OVER","UNDER")</f>
        <v>UNDER</v>
      </c>
      <c r="T65" s="12" t="s">
        <v>11</v>
      </c>
      <c r="U65" s="2">
        <f>IF(Q65="OVER",$J65,$K65)</f>
        <v>138.32177062928994</v>
      </c>
      <c r="V65" s="2">
        <f>IF(R65="OVER",$J65,$K65)</f>
        <v>138.32177062928994</v>
      </c>
      <c r="W65" s="2">
        <f>IF(S65="OVER",$J65,$K65)</f>
        <v>138.32177062928994</v>
      </c>
      <c r="X65" s="12" t="s">
        <v>11</v>
      </c>
      <c r="Y65" s="9">
        <f t="shared" si="8"/>
        <v>-60.730629117578076</v>
      </c>
      <c r="Z65" s="9">
        <f t="shared" si="8"/>
        <v>154.18845257642775</v>
      </c>
      <c r="AA65" s="9">
        <f t="shared" si="8"/>
        <v>801.61984177961551</v>
      </c>
      <c r="AB65" s="12" t="s">
        <v>11</v>
      </c>
    </row>
    <row r="66" spans="1:28" x14ac:dyDescent="0.3">
      <c r="A66" s="1">
        <v>44505</v>
      </c>
      <c r="B66" s="2">
        <v>89.14</v>
      </c>
      <c r="C66" s="2">
        <v>103.74</v>
      </c>
      <c r="D66" s="9">
        <f>B66-B65</f>
        <v>0.37000000000000455</v>
      </c>
      <c r="E66" s="9">
        <f>C66-C65</f>
        <v>0.64000000000000057</v>
      </c>
      <c r="F66" s="3">
        <f>F$1/B66</f>
        <v>1121.8308279111509</v>
      </c>
      <c r="G66" s="3">
        <f>F$1/C66</f>
        <v>963.94833236938507</v>
      </c>
      <c r="H66" s="2">
        <f>D66*F65</f>
        <v>416.80748000451115</v>
      </c>
      <c r="I66" s="2">
        <f>E66*G65</f>
        <v>620.75654704170768</v>
      </c>
      <c r="J66" s="2">
        <f>I66-H66</f>
        <v>203.94906703719653</v>
      </c>
      <c r="K66" s="2">
        <f t="shared" si="6"/>
        <v>-203.94906703719653</v>
      </c>
      <c r="L66" s="14">
        <f>C66/B66</f>
        <v>1.1637873008750279</v>
      </c>
      <c r="M66" s="14">
        <f t="shared" si="7"/>
        <v>1.1642895482004163</v>
      </c>
      <c r="N66" s="14">
        <f t="shared" si="10"/>
        <v>1.1671311830043429</v>
      </c>
      <c r="O66" s="14">
        <f t="shared" si="11"/>
        <v>1.1675736352502237</v>
      </c>
      <c r="P66" s="15" t="s">
        <v>11</v>
      </c>
      <c r="Q66" s="4" t="str">
        <f t="shared" si="9"/>
        <v>UNDER</v>
      </c>
      <c r="R66" s="4" t="str">
        <f t="shared" si="9"/>
        <v>UNDER</v>
      </c>
      <c r="S66" s="4" t="str">
        <f>IF($L66&gt;O66,"OVER","UNDER")</f>
        <v>UNDER</v>
      </c>
      <c r="T66" s="12" t="s">
        <v>11</v>
      </c>
      <c r="U66" s="2">
        <f>IF(Q66="OVER",$J66,$K66)</f>
        <v>-203.94906703719653</v>
      </c>
      <c r="V66" s="2">
        <f>IF(R66="OVER",$J66,$K66)</f>
        <v>-203.94906703719653</v>
      </c>
      <c r="W66" s="2">
        <f>IF(S66="OVER",$J66,$K66)</f>
        <v>-203.94906703719653</v>
      </c>
      <c r="X66" s="12" t="s">
        <v>11</v>
      </c>
      <c r="Y66" s="9">
        <f t="shared" si="8"/>
        <v>-264.6796961547746</v>
      </c>
      <c r="Z66" s="9">
        <f t="shared" si="8"/>
        <v>-49.760614460768778</v>
      </c>
      <c r="AA66" s="9">
        <f t="shared" si="8"/>
        <v>597.67077474241898</v>
      </c>
      <c r="AB66" s="12" t="s">
        <v>11</v>
      </c>
    </row>
    <row r="67" spans="1:28" x14ac:dyDescent="0.3">
      <c r="A67" s="1">
        <v>44508</v>
      </c>
      <c r="B67" s="2">
        <v>89.51</v>
      </c>
      <c r="C67" s="2">
        <v>104.33</v>
      </c>
      <c r="D67" s="9">
        <f>B67-B66</f>
        <v>0.37000000000000455</v>
      </c>
      <c r="E67" s="9">
        <f>C67-C66</f>
        <v>0.59000000000000341</v>
      </c>
      <c r="F67" s="3">
        <f>F$1/B67</f>
        <v>1117.1936096525528</v>
      </c>
      <c r="G67" s="3">
        <f>F$1/C67</f>
        <v>958.4970765839164</v>
      </c>
      <c r="H67" s="2">
        <f>D67*F66</f>
        <v>415.07740632713092</v>
      </c>
      <c r="I67" s="2">
        <f>E67*G66</f>
        <v>568.72951609794052</v>
      </c>
      <c r="J67" s="2">
        <f>I67-H67</f>
        <v>153.6521097708096</v>
      </c>
      <c r="K67" s="2">
        <f t="shared" si="6"/>
        <v>-153.6521097708096</v>
      </c>
      <c r="L67" s="14">
        <f>C67/B67</f>
        <v>1.1655680929505083</v>
      </c>
      <c r="M67" s="14">
        <f t="shared" si="7"/>
        <v>1.1640035344473936</v>
      </c>
      <c r="N67" s="14">
        <f t="shared" si="10"/>
        <v>1.1668239069006945</v>
      </c>
      <c r="O67" s="14">
        <f t="shared" si="11"/>
        <v>1.1675929008893027</v>
      </c>
      <c r="P67" s="15" t="s">
        <v>11</v>
      </c>
      <c r="Q67" s="4" t="str">
        <f t="shared" si="9"/>
        <v>UNDER</v>
      </c>
      <c r="R67" s="4" t="str">
        <f t="shared" si="9"/>
        <v>UNDER</v>
      </c>
      <c r="S67" s="4" t="str">
        <f>IF($L67&gt;O67,"OVER","UNDER")</f>
        <v>UNDER</v>
      </c>
      <c r="T67" s="12" t="s">
        <v>11</v>
      </c>
      <c r="U67" s="2">
        <f>IF(Q67="OVER",$J67,$K67)</f>
        <v>-153.6521097708096</v>
      </c>
      <c r="V67" s="2">
        <f>IF(R67="OVER",$J67,$K67)</f>
        <v>-153.6521097708096</v>
      </c>
      <c r="W67" s="2">
        <f>IF(S67="OVER",$J67,$K67)</f>
        <v>-153.6521097708096</v>
      </c>
      <c r="X67" s="12" t="s">
        <v>11</v>
      </c>
      <c r="Y67" s="9">
        <f t="shared" si="8"/>
        <v>-418.33180592558421</v>
      </c>
      <c r="Z67" s="9">
        <f t="shared" si="8"/>
        <v>-203.41272423157838</v>
      </c>
      <c r="AA67" s="9">
        <f t="shared" si="8"/>
        <v>444.01866497160938</v>
      </c>
      <c r="AB67" s="12" t="s">
        <v>11</v>
      </c>
    </row>
    <row r="68" spans="1:28" x14ac:dyDescent="0.3">
      <c r="A68" s="1">
        <v>44509</v>
      </c>
      <c r="B68" s="2">
        <v>89.34</v>
      </c>
      <c r="C68" s="2">
        <v>104.35</v>
      </c>
      <c r="D68" s="9">
        <f>B68-B67</f>
        <v>-0.17000000000000171</v>
      </c>
      <c r="E68" s="9">
        <f>C68-C67</f>
        <v>1.9999999999996021E-2</v>
      </c>
      <c r="F68" s="3">
        <f>F$1/B68</f>
        <v>1119.3194537721065</v>
      </c>
      <c r="G68" s="3">
        <f>F$1/C68</f>
        <v>958.31336847149021</v>
      </c>
      <c r="H68" s="2">
        <f>D68*F67</f>
        <v>-189.92291364093589</v>
      </c>
      <c r="I68" s="2">
        <f>E68*G67</f>
        <v>19.169941531674514</v>
      </c>
      <c r="J68" s="2">
        <f>I68-H68</f>
        <v>209.0928551726104</v>
      </c>
      <c r="K68" s="2">
        <f t="shared" si="6"/>
        <v>-209.0928551726104</v>
      </c>
      <c r="L68" s="14">
        <f>C68/B68</f>
        <v>1.1680098500111931</v>
      </c>
      <c r="M68" s="14">
        <f t="shared" si="7"/>
        <v>1.1643258869698805</v>
      </c>
      <c r="N68" s="14">
        <f t="shared" si="10"/>
        <v>1.1666356568304583</v>
      </c>
      <c r="O68" s="14">
        <f t="shared" si="11"/>
        <v>1.1676117434722011</v>
      </c>
      <c r="P68" s="15" t="s">
        <v>11</v>
      </c>
      <c r="Q68" s="4" t="str">
        <f t="shared" si="9"/>
        <v>OVER</v>
      </c>
      <c r="R68" s="4" t="str">
        <f t="shared" si="9"/>
        <v>UNDER</v>
      </c>
      <c r="S68" s="4" t="str">
        <f>IF($L68&gt;O68,"OVER","UNDER")</f>
        <v>OVER</v>
      </c>
      <c r="T68" s="12" t="s">
        <v>11</v>
      </c>
      <c r="U68" s="2">
        <f>IF(Q68="OVER",$J68,$K68)</f>
        <v>209.0928551726104</v>
      </c>
      <c r="V68" s="2">
        <f>IF(R68="OVER",$J68,$K68)</f>
        <v>-209.0928551726104</v>
      </c>
      <c r="W68" s="2">
        <f>IF(S68="OVER",$J68,$K68)</f>
        <v>209.0928551726104</v>
      </c>
      <c r="X68" s="12" t="s">
        <v>11</v>
      </c>
      <c r="Y68" s="9">
        <f t="shared" si="8"/>
        <v>-209.23895075297381</v>
      </c>
      <c r="Z68" s="9">
        <f t="shared" si="8"/>
        <v>-412.50557940418878</v>
      </c>
      <c r="AA68" s="9">
        <f t="shared" si="8"/>
        <v>653.11152014421975</v>
      </c>
      <c r="AB68" s="12" t="s">
        <v>11</v>
      </c>
    </row>
    <row r="69" spans="1:28" x14ac:dyDescent="0.3">
      <c r="A69" s="1">
        <v>44510</v>
      </c>
      <c r="B69" s="2">
        <v>88.11</v>
      </c>
      <c r="C69" s="2">
        <v>102.78</v>
      </c>
      <c r="D69" s="9">
        <f>B69-B68</f>
        <v>-1.230000000000004</v>
      </c>
      <c r="E69" s="9">
        <f>C69-C68</f>
        <v>-1.5699999999999932</v>
      </c>
      <c r="F69" s="3">
        <f>F$1/B69</f>
        <v>1134.9449551696744</v>
      </c>
      <c r="G69" s="3">
        <f>F$1/C69</f>
        <v>972.95193617435302</v>
      </c>
      <c r="H69" s="2">
        <f>D69*F68</f>
        <v>-1376.7629281396955</v>
      </c>
      <c r="I69" s="2">
        <f>E69*G68</f>
        <v>-1504.5519885002332</v>
      </c>
      <c r="J69" s="2">
        <f>I69-H69</f>
        <v>-127.78906036053763</v>
      </c>
      <c r="K69" s="2">
        <f t="shared" ref="K69:K132" si="12">H69-I69</f>
        <v>127.78906036053763</v>
      </c>
      <c r="L69" s="14">
        <f>C69/B69</f>
        <v>1.1664964249233913</v>
      </c>
      <c r="M69" s="14">
        <f t="shared" si="7"/>
        <v>1.1645081881558719</v>
      </c>
      <c r="N69" s="14">
        <f t="shared" si="10"/>
        <v>1.1662819314439041</v>
      </c>
      <c r="O69" s="14">
        <f t="shared" si="11"/>
        <v>1.1676159681482841</v>
      </c>
      <c r="P69" s="15" t="s">
        <v>11</v>
      </c>
      <c r="Q69" s="4" t="str">
        <f t="shared" si="9"/>
        <v>OVER</v>
      </c>
      <c r="R69" s="4" t="str">
        <f t="shared" si="9"/>
        <v>OVER</v>
      </c>
      <c r="S69" s="4" t="str">
        <f>IF($L69&gt;O69,"OVER","UNDER")</f>
        <v>UNDER</v>
      </c>
      <c r="T69" s="12" t="s">
        <v>11</v>
      </c>
      <c r="U69" s="2">
        <f>IF(Q69="OVER",$J69,$K69)</f>
        <v>-127.78906036053763</v>
      </c>
      <c r="V69" s="2">
        <f>IF(R69="OVER",$J69,$K69)</f>
        <v>-127.78906036053763</v>
      </c>
      <c r="W69" s="2">
        <f>IF(S69="OVER",$J69,$K69)</f>
        <v>127.78906036053763</v>
      </c>
      <c r="X69" s="12" t="s">
        <v>11</v>
      </c>
      <c r="Y69" s="9">
        <f t="shared" si="8"/>
        <v>-337.02801111351141</v>
      </c>
      <c r="Z69" s="9">
        <f t="shared" si="8"/>
        <v>-540.29463976472641</v>
      </c>
      <c r="AA69" s="9">
        <f t="shared" si="8"/>
        <v>780.90058050475739</v>
      </c>
      <c r="AB69" s="12" t="s">
        <v>11</v>
      </c>
    </row>
    <row r="70" spans="1:28" x14ac:dyDescent="0.3">
      <c r="A70" s="1">
        <v>44511</v>
      </c>
      <c r="B70" s="2">
        <v>88.49</v>
      </c>
      <c r="C70" s="2">
        <v>103.16</v>
      </c>
      <c r="D70" s="9">
        <f>B70-B69</f>
        <v>0.37999999999999545</v>
      </c>
      <c r="E70" s="9">
        <f>C70-C69</f>
        <v>0.37999999999999545</v>
      </c>
      <c r="F70" s="3">
        <f>F$1/B70</f>
        <v>1130.0711944852526</v>
      </c>
      <c r="G70" s="3">
        <f>F$1/C70</f>
        <v>969.36797208220241</v>
      </c>
      <c r="H70" s="2">
        <f>D70*F69</f>
        <v>431.27908296447112</v>
      </c>
      <c r="I70" s="2">
        <f>E70*G69</f>
        <v>369.72173574624975</v>
      </c>
      <c r="J70" s="2">
        <f>I70-H70</f>
        <v>-61.557347218221366</v>
      </c>
      <c r="K70" s="2">
        <f t="shared" si="12"/>
        <v>61.557347218221366</v>
      </c>
      <c r="L70" s="14">
        <f>C70/B70</f>
        <v>1.1657814442309866</v>
      </c>
      <c r="M70" s="14">
        <f t="shared" si="7"/>
        <v>1.1646186878615818</v>
      </c>
      <c r="N70" s="14">
        <f t="shared" si="10"/>
        <v>1.1660570717669085</v>
      </c>
      <c r="O70" s="14">
        <f t="shared" si="11"/>
        <v>1.1675587890165067</v>
      </c>
      <c r="P70" s="15" t="s">
        <v>11</v>
      </c>
      <c r="Q70" s="4" t="str">
        <f t="shared" si="9"/>
        <v>OVER</v>
      </c>
      <c r="R70" s="4" t="str">
        <f t="shared" si="9"/>
        <v>OVER</v>
      </c>
      <c r="S70" s="4" t="str">
        <f>IF($L70&gt;O70,"OVER","UNDER")</f>
        <v>UNDER</v>
      </c>
      <c r="T70" s="12" t="s">
        <v>11</v>
      </c>
      <c r="U70" s="2">
        <f>IF(Q70="OVER",$J70,$K70)</f>
        <v>-61.557347218221366</v>
      </c>
      <c r="V70" s="2">
        <f>IF(R70="OVER",$J70,$K70)</f>
        <v>-61.557347218221366</v>
      </c>
      <c r="W70" s="2">
        <f>IF(S70="OVER",$J70,$K70)</f>
        <v>61.557347218221366</v>
      </c>
      <c r="X70" s="12" t="s">
        <v>11</v>
      </c>
      <c r="Y70" s="9">
        <f t="shared" si="8"/>
        <v>-398.58535833173278</v>
      </c>
      <c r="Z70" s="9">
        <f t="shared" si="8"/>
        <v>-601.85198698294778</v>
      </c>
      <c r="AA70" s="9">
        <f t="shared" si="8"/>
        <v>842.45792772297875</v>
      </c>
      <c r="AB70" s="12" t="s">
        <v>11</v>
      </c>
    </row>
    <row r="71" spans="1:28" x14ac:dyDescent="0.3">
      <c r="A71" s="1">
        <v>44512</v>
      </c>
      <c r="B71" s="2">
        <v>88.94</v>
      </c>
      <c r="C71" s="2">
        <v>103.59</v>
      </c>
      <c r="D71" s="9">
        <f>B71-B70</f>
        <v>0.45000000000000284</v>
      </c>
      <c r="E71" s="9">
        <f>C71-C70</f>
        <v>0.43000000000000682</v>
      </c>
      <c r="F71" s="3">
        <f>F$1/B71</f>
        <v>1124.3534967393748</v>
      </c>
      <c r="G71" s="3">
        <f>F$1/C71</f>
        <v>965.34414518775941</v>
      </c>
      <c r="H71" s="2">
        <f>D71*F70</f>
        <v>508.53203751836691</v>
      </c>
      <c r="I71" s="2">
        <f>E71*G70</f>
        <v>416.82822799535364</v>
      </c>
      <c r="J71" s="2">
        <f>I71-H71</f>
        <v>-91.703809523013263</v>
      </c>
      <c r="K71" s="2">
        <f t="shared" si="12"/>
        <v>91.703809523013263</v>
      </c>
      <c r="L71" s="14">
        <f>C71/B71</f>
        <v>1.1647177872723184</v>
      </c>
      <c r="M71" s="14">
        <f t="shared" si="7"/>
        <v>1.16467764549311</v>
      </c>
      <c r="N71" s="14">
        <f t="shared" si="10"/>
        <v>1.1657678265834044</v>
      </c>
      <c r="O71" s="14">
        <f t="shared" si="11"/>
        <v>1.1674846281350095</v>
      </c>
      <c r="P71" s="15" t="s">
        <v>11</v>
      </c>
      <c r="Q71" s="4" t="str">
        <f t="shared" si="9"/>
        <v>OVER</v>
      </c>
      <c r="R71" s="4" t="str">
        <f t="shared" si="9"/>
        <v>UNDER</v>
      </c>
      <c r="S71" s="4" t="str">
        <f>IF($L71&gt;O71,"OVER","UNDER")</f>
        <v>UNDER</v>
      </c>
      <c r="T71" s="12" t="s">
        <v>11</v>
      </c>
      <c r="U71" s="2">
        <f>IF(Q71="OVER",$J71,$K71)</f>
        <v>-91.703809523013263</v>
      </c>
      <c r="V71" s="2">
        <f>IF(R71="OVER",$J71,$K71)</f>
        <v>91.703809523013263</v>
      </c>
      <c r="W71" s="2">
        <f>IF(S71="OVER",$J71,$K71)</f>
        <v>91.703809523013263</v>
      </c>
      <c r="X71" s="12" t="s">
        <v>11</v>
      </c>
      <c r="Y71" s="9">
        <f t="shared" si="8"/>
        <v>-490.28916785474604</v>
      </c>
      <c r="Z71" s="9">
        <f t="shared" si="8"/>
        <v>-510.14817745993452</v>
      </c>
      <c r="AA71" s="9">
        <f t="shared" si="8"/>
        <v>934.16173724599207</v>
      </c>
      <c r="AB71" s="12" t="s">
        <v>11</v>
      </c>
    </row>
    <row r="72" spans="1:28" x14ac:dyDescent="0.3">
      <c r="A72" s="1">
        <v>44515</v>
      </c>
      <c r="B72" s="2">
        <v>88.74</v>
      </c>
      <c r="C72" s="2">
        <v>103.49</v>
      </c>
      <c r="D72" s="9">
        <f>B72-B71</f>
        <v>-0.20000000000000284</v>
      </c>
      <c r="E72" s="9">
        <f>C72-C71</f>
        <v>-0.10000000000000853</v>
      </c>
      <c r="F72" s="3">
        <f>F$1/B72</f>
        <v>1126.8875366238451</v>
      </c>
      <c r="G72" s="3">
        <f>F$1/C72</f>
        <v>966.27693496956238</v>
      </c>
      <c r="H72" s="2">
        <f>D72*F71</f>
        <v>-224.87069934787814</v>
      </c>
      <c r="I72" s="2">
        <f>E72*G71</f>
        <v>-96.534414518784175</v>
      </c>
      <c r="J72" s="2">
        <f>I72-H72</f>
        <v>128.33628482909398</v>
      </c>
      <c r="K72" s="2">
        <f t="shared" si="12"/>
        <v>-128.33628482909398</v>
      </c>
      <c r="L72" s="14">
        <f>C72/B72</f>
        <v>1.1662159116520172</v>
      </c>
      <c r="M72" s="14">
        <f t="shared" si="7"/>
        <v>1.1648164625083455</v>
      </c>
      <c r="N72" s="14">
        <f t="shared" si="10"/>
        <v>1.1655682269181185</v>
      </c>
      <c r="O72" s="14">
        <f t="shared" si="11"/>
        <v>1.1675023037606289</v>
      </c>
      <c r="P72" s="15" t="s">
        <v>11</v>
      </c>
      <c r="Q72" s="4" t="str">
        <f t="shared" si="9"/>
        <v>OVER</v>
      </c>
      <c r="R72" s="4" t="str">
        <f t="shared" si="9"/>
        <v>UNDER</v>
      </c>
      <c r="S72" s="4" t="str">
        <f>IF($L72&gt;O72,"OVER","UNDER")</f>
        <v>UNDER</v>
      </c>
      <c r="T72" s="12" t="s">
        <v>11</v>
      </c>
      <c r="U72" s="2">
        <f>IF(Q72="OVER",$J72,$K72)</f>
        <v>128.33628482909398</v>
      </c>
      <c r="V72" s="2">
        <f>IF(R72="OVER",$J72,$K72)</f>
        <v>-128.33628482909398</v>
      </c>
      <c r="W72" s="2">
        <f>IF(S72="OVER",$J72,$K72)</f>
        <v>-128.33628482909398</v>
      </c>
      <c r="X72" s="12" t="s">
        <v>11</v>
      </c>
      <c r="Y72" s="9">
        <f t="shared" si="8"/>
        <v>-361.95288302565206</v>
      </c>
      <c r="Z72" s="9">
        <f t="shared" si="8"/>
        <v>-638.48446228902844</v>
      </c>
      <c r="AA72" s="9">
        <f t="shared" si="8"/>
        <v>805.82545241689809</v>
      </c>
      <c r="AB72" s="12" t="s">
        <v>11</v>
      </c>
    </row>
    <row r="73" spans="1:28" x14ac:dyDescent="0.3">
      <c r="A73" s="1">
        <v>44516</v>
      </c>
      <c r="B73" s="2">
        <v>89.07</v>
      </c>
      <c r="C73" s="2">
        <v>103.7</v>
      </c>
      <c r="D73" s="9">
        <f>B73-B72</f>
        <v>0.32999999999999829</v>
      </c>
      <c r="E73" s="9">
        <f>C73-C72</f>
        <v>0.21000000000000796</v>
      </c>
      <c r="F73" s="3">
        <f>F$1/B73</f>
        <v>1122.7124733355788</v>
      </c>
      <c r="G73" s="3">
        <f>F$1/C73</f>
        <v>964.32015429122464</v>
      </c>
      <c r="H73" s="2">
        <f>D73*F72</f>
        <v>371.87288708586698</v>
      </c>
      <c r="I73" s="2">
        <f>E73*G72</f>
        <v>202.91815634361578</v>
      </c>
      <c r="J73" s="2">
        <f>I73-H73</f>
        <v>-168.9547307422512</v>
      </c>
      <c r="K73" s="2">
        <f t="shared" si="12"/>
        <v>168.9547307422512</v>
      </c>
      <c r="L73" s="14">
        <f>C73/B73</f>
        <v>1.1642528348489953</v>
      </c>
      <c r="M73" s="14">
        <f t="shared" si="7"/>
        <v>1.1649290482978087</v>
      </c>
      <c r="N73" s="14">
        <f t="shared" si="10"/>
        <v>1.1652598220166548</v>
      </c>
      <c r="O73" s="14">
        <f t="shared" si="11"/>
        <v>1.1674238065138194</v>
      </c>
      <c r="P73" s="15" t="s">
        <v>11</v>
      </c>
      <c r="Q73" s="4" t="str">
        <f t="shared" si="9"/>
        <v>OVER</v>
      </c>
      <c r="R73" s="4" t="str">
        <f t="shared" si="9"/>
        <v>OVER</v>
      </c>
      <c r="S73" s="4" t="str">
        <f>IF($L73&gt;O73,"OVER","UNDER")</f>
        <v>UNDER</v>
      </c>
      <c r="T73" s="12" t="s">
        <v>11</v>
      </c>
      <c r="U73" s="2">
        <f>IF(Q73="OVER",$J73,$K73)</f>
        <v>-168.9547307422512</v>
      </c>
      <c r="V73" s="2">
        <f>IF(R73="OVER",$J73,$K73)</f>
        <v>-168.9547307422512</v>
      </c>
      <c r="W73" s="2">
        <f>IF(S73="OVER",$J73,$K73)</f>
        <v>168.9547307422512</v>
      </c>
      <c r="X73" s="12" t="s">
        <v>11</v>
      </c>
      <c r="Y73" s="9">
        <f t="shared" si="8"/>
        <v>-530.90761376790329</v>
      </c>
      <c r="Z73" s="9">
        <f t="shared" si="8"/>
        <v>-807.43919303127961</v>
      </c>
      <c r="AA73" s="9">
        <f t="shared" si="8"/>
        <v>974.78018315914926</v>
      </c>
      <c r="AB73" s="12" t="s">
        <v>11</v>
      </c>
    </row>
    <row r="74" spans="1:28" x14ac:dyDescent="0.3">
      <c r="A74" s="1">
        <v>44517</v>
      </c>
      <c r="B74" s="2">
        <v>88.26</v>
      </c>
      <c r="C74" s="2">
        <v>102.56</v>
      </c>
      <c r="D74" s="9">
        <f>B74-B73</f>
        <v>-0.80999999999998806</v>
      </c>
      <c r="E74" s="9">
        <f>C74-C73</f>
        <v>-1.1400000000000006</v>
      </c>
      <c r="F74" s="3">
        <f>F$1/B74</f>
        <v>1133.0160888284613</v>
      </c>
      <c r="G74" s="3">
        <f>F$1/C74</f>
        <v>975.03900156006239</v>
      </c>
      <c r="H74" s="2">
        <f>D74*F73</f>
        <v>-909.39710340180545</v>
      </c>
      <c r="I74" s="2">
        <f>E74*G73</f>
        <v>-1099.3249758919967</v>
      </c>
      <c r="J74" s="2">
        <f>I74-H74</f>
        <v>-189.92787249019125</v>
      </c>
      <c r="K74" s="2">
        <f t="shared" si="12"/>
        <v>189.92787249019125</v>
      </c>
      <c r="L74" s="14">
        <f>C74/B74</f>
        <v>1.16202130070247</v>
      </c>
      <c r="M74" s="14">
        <f t="shared" si="7"/>
        <v>1.1648279357965952</v>
      </c>
      <c r="N74" s="14">
        <f t="shared" si="10"/>
        <v>1.1649547611300539</v>
      </c>
      <c r="O74" s="14">
        <f t="shared" si="11"/>
        <v>1.1673704098700159</v>
      </c>
      <c r="P74" s="15" t="s">
        <v>11</v>
      </c>
      <c r="Q74" s="4" t="str">
        <f t="shared" si="9"/>
        <v>UNDER</v>
      </c>
      <c r="R74" s="4" t="str">
        <f t="shared" si="9"/>
        <v>UNDER</v>
      </c>
      <c r="S74" s="4" t="str">
        <f>IF($L74&gt;O74,"OVER","UNDER")</f>
        <v>UNDER</v>
      </c>
      <c r="T74" s="12" t="s">
        <v>11</v>
      </c>
      <c r="U74" s="2">
        <f>IF(Q74="OVER",$J74,$K74)</f>
        <v>189.92787249019125</v>
      </c>
      <c r="V74" s="2">
        <f>IF(R74="OVER",$J74,$K74)</f>
        <v>189.92787249019125</v>
      </c>
      <c r="W74" s="2">
        <f>IF(S74="OVER",$J74,$K74)</f>
        <v>189.92787249019125</v>
      </c>
      <c r="X74" s="12" t="s">
        <v>11</v>
      </c>
      <c r="Y74" s="9">
        <f t="shared" si="8"/>
        <v>-340.97974127771204</v>
      </c>
      <c r="Z74" s="9">
        <f t="shared" si="8"/>
        <v>-617.51132054108837</v>
      </c>
      <c r="AA74" s="9">
        <f t="shared" si="8"/>
        <v>1164.7080556493406</v>
      </c>
      <c r="AB74" s="12" t="s">
        <v>11</v>
      </c>
    </row>
    <row r="75" spans="1:28" x14ac:dyDescent="0.3">
      <c r="A75" s="1">
        <v>44518</v>
      </c>
      <c r="B75" s="2">
        <v>87.63</v>
      </c>
      <c r="C75" s="2">
        <v>101.66</v>
      </c>
      <c r="D75" s="9">
        <f>B75-B74</f>
        <v>-0.63000000000000966</v>
      </c>
      <c r="E75" s="9">
        <f>C75-C74</f>
        <v>-0.90000000000000568</v>
      </c>
      <c r="F75" s="3">
        <f>F$1/B75</f>
        <v>1141.1617026132603</v>
      </c>
      <c r="G75" s="3">
        <f>F$1/C75</f>
        <v>983.67106039740315</v>
      </c>
      <c r="H75" s="2">
        <f>D75*F74</f>
        <v>-713.80013596194158</v>
      </c>
      <c r="I75" s="2">
        <f>E75*G74</f>
        <v>-877.53510140406172</v>
      </c>
      <c r="J75" s="2">
        <f>I75-H75</f>
        <v>-163.73496544212014</v>
      </c>
      <c r="K75" s="2">
        <f t="shared" si="12"/>
        <v>163.73496544212014</v>
      </c>
      <c r="L75" s="14">
        <f>C75/B75</f>
        <v>1.1601049868766404</v>
      </c>
      <c r="M75" s="14">
        <f t="shared" si="7"/>
        <v>1.1646955934343548</v>
      </c>
      <c r="N75" s="14">
        <f t="shared" si="10"/>
        <v>1.1645796174311935</v>
      </c>
      <c r="O75" s="14">
        <f t="shared" si="11"/>
        <v>1.1672604803904749</v>
      </c>
      <c r="P75" s="15" t="s">
        <v>11</v>
      </c>
      <c r="Q75" s="4" t="str">
        <f t="shared" si="9"/>
        <v>UNDER</v>
      </c>
      <c r="R75" s="4" t="str">
        <f t="shared" si="9"/>
        <v>UNDER</v>
      </c>
      <c r="S75" s="4" t="str">
        <f>IF($L75&gt;O75,"OVER","UNDER")</f>
        <v>UNDER</v>
      </c>
      <c r="T75" s="12" t="s">
        <v>11</v>
      </c>
      <c r="U75" s="2">
        <f>IF(Q75="OVER",$J75,$K75)</f>
        <v>163.73496544212014</v>
      </c>
      <c r="V75" s="2">
        <f>IF(R75="OVER",$J75,$K75)</f>
        <v>163.73496544212014</v>
      </c>
      <c r="W75" s="2">
        <f>IF(S75="OVER",$J75,$K75)</f>
        <v>163.73496544212014</v>
      </c>
      <c r="X75" s="12" t="s">
        <v>11</v>
      </c>
      <c r="Y75" s="9">
        <f t="shared" si="8"/>
        <v>-177.24477583559189</v>
      </c>
      <c r="Z75" s="9">
        <f t="shared" si="8"/>
        <v>-453.77635509896822</v>
      </c>
      <c r="AA75" s="9">
        <f t="shared" si="8"/>
        <v>1328.4430210914607</v>
      </c>
      <c r="AB75" s="12" t="s">
        <v>11</v>
      </c>
    </row>
    <row r="76" spans="1:28" x14ac:dyDescent="0.3">
      <c r="A76" s="1">
        <v>44519</v>
      </c>
      <c r="B76" s="2">
        <v>87.26</v>
      </c>
      <c r="C76" s="2">
        <v>101.09</v>
      </c>
      <c r="D76" s="9">
        <f>B76-B75</f>
        <v>-0.36999999999999034</v>
      </c>
      <c r="E76" s="9">
        <f>C76-C75</f>
        <v>-0.56999999999999318</v>
      </c>
      <c r="F76" s="3">
        <f>F$1/B76</f>
        <v>1146.0004584001833</v>
      </c>
      <c r="G76" s="3">
        <f>F$1/C76</f>
        <v>989.21752893461269</v>
      </c>
      <c r="H76" s="2">
        <f>D76*F75</f>
        <v>-422.2298299668953</v>
      </c>
      <c r="I76" s="2">
        <f>E76*G75</f>
        <v>-560.6925044265131</v>
      </c>
      <c r="J76" s="2">
        <f>I76-H76</f>
        <v>-138.4626744596178</v>
      </c>
      <c r="K76" s="2">
        <f t="shared" si="12"/>
        <v>138.4626744596178</v>
      </c>
      <c r="L76" s="14">
        <f>C76/B76</f>
        <v>1.1584918633967454</v>
      </c>
      <c r="M76" s="14">
        <f t="shared" si="7"/>
        <v>1.1641660496865265</v>
      </c>
      <c r="N76" s="14">
        <f t="shared" si="10"/>
        <v>1.1642277989434713</v>
      </c>
      <c r="O76" s="14">
        <f t="shared" si="11"/>
        <v>1.167098132562532</v>
      </c>
      <c r="P76" s="15" t="s">
        <v>11</v>
      </c>
      <c r="Q76" s="4" t="str">
        <f t="shared" si="9"/>
        <v>UNDER</v>
      </c>
      <c r="R76" s="4" t="str">
        <f t="shared" si="9"/>
        <v>UNDER</v>
      </c>
      <c r="S76" s="4" t="str">
        <f>IF($L76&gt;O76,"OVER","UNDER")</f>
        <v>UNDER</v>
      </c>
      <c r="T76" s="12" t="s">
        <v>11</v>
      </c>
      <c r="U76" s="2">
        <f>IF(Q76="OVER",$J76,$K76)</f>
        <v>138.4626744596178</v>
      </c>
      <c r="V76" s="2">
        <f>IF(R76="OVER",$J76,$K76)</f>
        <v>138.4626744596178</v>
      </c>
      <c r="W76" s="2">
        <f>IF(S76="OVER",$J76,$K76)</f>
        <v>138.4626744596178</v>
      </c>
      <c r="X76" s="12" t="s">
        <v>11</v>
      </c>
      <c r="Y76" s="9">
        <f t="shared" si="8"/>
        <v>-38.782101375974094</v>
      </c>
      <c r="Z76" s="9">
        <f t="shared" si="8"/>
        <v>-315.31368063935042</v>
      </c>
      <c r="AA76" s="9">
        <f t="shared" si="8"/>
        <v>1466.9056955510785</v>
      </c>
      <c r="AB76" s="12" t="s">
        <v>11</v>
      </c>
    </row>
    <row r="77" spans="1:28" x14ac:dyDescent="0.3">
      <c r="A77" s="1">
        <v>44522</v>
      </c>
      <c r="B77" s="2">
        <v>86.08</v>
      </c>
      <c r="C77" s="2">
        <v>99.69</v>
      </c>
      <c r="D77" s="9">
        <f>B77-B76</f>
        <v>-1.1800000000000068</v>
      </c>
      <c r="E77" s="9">
        <f>C77-C76</f>
        <v>-1.4000000000000057</v>
      </c>
      <c r="F77" s="3">
        <f>F$1/B77</f>
        <v>1161.7100371747213</v>
      </c>
      <c r="G77" s="3">
        <f>F$1/C77</f>
        <v>1003.1096398836393</v>
      </c>
      <c r="H77" s="2">
        <f>D77*F76</f>
        <v>-1352.2805409122241</v>
      </c>
      <c r="I77" s="2">
        <f>E77*G76</f>
        <v>-1384.9045405084635</v>
      </c>
      <c r="J77" s="2">
        <f>I77-H77</f>
        <v>-32.6239995962394</v>
      </c>
      <c r="K77" s="2">
        <f t="shared" si="12"/>
        <v>32.6239995962394</v>
      </c>
      <c r="L77" s="14">
        <f>C77/B77</f>
        <v>1.1581087360594795</v>
      </c>
      <c r="M77" s="14">
        <f t="shared" ref="M77:M140" si="13">AVERAGE(L68:L77)</f>
        <v>1.1634201139974238</v>
      </c>
      <c r="N77" s="14">
        <f t="shared" si="10"/>
        <v>1.1637118242224085</v>
      </c>
      <c r="O77" s="14">
        <f t="shared" si="11"/>
        <v>1.1669748061931466</v>
      </c>
      <c r="P77" s="15" t="s">
        <v>11</v>
      </c>
      <c r="Q77" s="4" t="str">
        <f t="shared" si="9"/>
        <v>UNDER</v>
      </c>
      <c r="R77" s="4" t="str">
        <f t="shared" si="9"/>
        <v>UNDER</v>
      </c>
      <c r="S77" s="4" t="str">
        <f t="shared" ref="S77:S140" si="14">IF($L77&gt;O77,"OVER","UNDER")</f>
        <v>UNDER</v>
      </c>
      <c r="T77" s="12" t="s">
        <v>11</v>
      </c>
      <c r="U77" s="2">
        <f>IF(Q77="OVER",$J77,$K77)</f>
        <v>32.6239995962394</v>
      </c>
      <c r="V77" s="2">
        <f>IF(R77="OVER",$J77,$K77)</f>
        <v>32.6239995962394</v>
      </c>
      <c r="W77" s="2">
        <f>IF(S77="OVER",$J77,$K77)</f>
        <v>32.6239995962394</v>
      </c>
      <c r="X77" s="12" t="s">
        <v>11</v>
      </c>
      <c r="Y77" s="9">
        <f t="shared" ref="Y77:AA140" si="15">Y76+U77</f>
        <v>-6.1581017797346931</v>
      </c>
      <c r="Z77" s="9">
        <f t="shared" si="15"/>
        <v>-282.68968104311102</v>
      </c>
      <c r="AA77" s="9">
        <f t="shared" si="15"/>
        <v>1499.5296951473179</v>
      </c>
      <c r="AB77" s="12" t="s">
        <v>11</v>
      </c>
    </row>
    <row r="78" spans="1:28" x14ac:dyDescent="0.3">
      <c r="A78" s="1">
        <v>44523</v>
      </c>
      <c r="B78" s="2">
        <v>85.42</v>
      </c>
      <c r="C78" s="2">
        <v>98.93</v>
      </c>
      <c r="D78" s="9">
        <f>B78-B77</f>
        <v>-0.65999999999999659</v>
      </c>
      <c r="E78" s="9">
        <f>C78-C77</f>
        <v>-0.75999999999999091</v>
      </c>
      <c r="F78" s="3">
        <f>F$1/B78</f>
        <v>1170.6860220088972</v>
      </c>
      <c r="G78" s="3">
        <f>F$1/C78</f>
        <v>1010.8157282927322</v>
      </c>
      <c r="H78" s="2">
        <f>D78*F77</f>
        <v>-766.72862453531206</v>
      </c>
      <c r="I78" s="2">
        <f>E78*G77</f>
        <v>-762.36332631155676</v>
      </c>
      <c r="J78" s="2">
        <f>I78-H78</f>
        <v>4.3652982237553033</v>
      </c>
      <c r="K78" s="2">
        <f t="shared" si="12"/>
        <v>-4.3652982237553033</v>
      </c>
      <c r="L78" s="14">
        <f>C78/B78</f>
        <v>1.1581596815734021</v>
      </c>
      <c r="M78" s="14">
        <f t="shared" si="13"/>
        <v>1.1624350971536448</v>
      </c>
      <c r="N78" s="14">
        <f t="shared" si="10"/>
        <v>1.1633804920617625</v>
      </c>
      <c r="O78" s="14">
        <f t="shared" si="11"/>
        <v>1.1668315668063993</v>
      </c>
      <c r="P78" s="15" t="s">
        <v>11</v>
      </c>
      <c r="Q78" s="4" t="str">
        <f t="shared" ref="Q78:R141" si="16">IF($L77&gt;M77,"OVER","UNDER")</f>
        <v>UNDER</v>
      </c>
      <c r="R78" s="4" t="str">
        <f t="shared" si="16"/>
        <v>UNDER</v>
      </c>
      <c r="S78" s="4" t="str">
        <f t="shared" si="14"/>
        <v>UNDER</v>
      </c>
      <c r="T78" s="12" t="s">
        <v>11</v>
      </c>
      <c r="U78" s="2">
        <f>IF(Q78="OVER",$J78,$K78)</f>
        <v>-4.3652982237553033</v>
      </c>
      <c r="V78" s="2">
        <f>IF(R78="OVER",$J78,$K78)</f>
        <v>-4.3652982237553033</v>
      </c>
      <c r="W78" s="2">
        <f>IF(S78="OVER",$J78,$K78)</f>
        <v>-4.3652982237553033</v>
      </c>
      <c r="X78" s="12" t="s">
        <v>11</v>
      </c>
      <c r="Y78" s="9">
        <f t="shared" si="15"/>
        <v>-10.523400003489996</v>
      </c>
      <c r="Z78" s="9">
        <f t="shared" si="15"/>
        <v>-287.05497926686633</v>
      </c>
      <c r="AA78" s="9">
        <f t="shared" si="15"/>
        <v>1495.1643969235624</v>
      </c>
      <c r="AB78" s="12" t="s">
        <v>11</v>
      </c>
    </row>
    <row r="79" spans="1:28" x14ac:dyDescent="0.3">
      <c r="A79" s="1">
        <v>44524</v>
      </c>
      <c r="B79" s="2">
        <v>86.09</v>
      </c>
      <c r="C79" s="2">
        <v>99.83</v>
      </c>
      <c r="D79" s="9">
        <f>B79-B78</f>
        <v>0.67000000000000171</v>
      </c>
      <c r="E79" s="9">
        <f>C79-C78</f>
        <v>0.89999999999999147</v>
      </c>
      <c r="F79" s="3">
        <f>F$1/B79</f>
        <v>1161.5750958299454</v>
      </c>
      <c r="G79" s="3">
        <f>F$1/C79</f>
        <v>1001.7028949213664</v>
      </c>
      <c r="H79" s="2">
        <f>D79*F78</f>
        <v>784.35963474596315</v>
      </c>
      <c r="I79" s="2">
        <f>E79*G78</f>
        <v>909.73415546345029</v>
      </c>
      <c r="J79" s="2">
        <f>I79-H79</f>
        <v>125.37452071748714</v>
      </c>
      <c r="K79" s="2">
        <f t="shared" si="12"/>
        <v>-125.37452071748714</v>
      </c>
      <c r="L79" s="14">
        <f>C79/B79</f>
        <v>1.1596004181670345</v>
      </c>
      <c r="M79" s="14">
        <f t="shared" si="13"/>
        <v>1.1617454964780092</v>
      </c>
      <c r="N79" s="14">
        <f t="shared" si="10"/>
        <v>1.1631268423169403</v>
      </c>
      <c r="O79" s="14">
        <f t="shared" si="11"/>
        <v>1.1667315357111485</v>
      </c>
      <c r="P79" s="15" t="s">
        <v>11</v>
      </c>
      <c r="Q79" s="4" t="str">
        <f t="shared" si="16"/>
        <v>UNDER</v>
      </c>
      <c r="R79" s="4" t="str">
        <f t="shared" si="16"/>
        <v>UNDER</v>
      </c>
      <c r="S79" s="4" t="str">
        <f t="shared" si="14"/>
        <v>UNDER</v>
      </c>
      <c r="T79" s="12" t="s">
        <v>11</v>
      </c>
      <c r="U79" s="2">
        <f>IF(Q79="OVER",$J79,$K79)</f>
        <v>-125.37452071748714</v>
      </c>
      <c r="V79" s="2">
        <f>IF(R79="OVER",$J79,$K79)</f>
        <v>-125.37452071748714</v>
      </c>
      <c r="W79" s="2">
        <f>IF(S79="OVER",$J79,$K79)</f>
        <v>-125.37452071748714</v>
      </c>
      <c r="X79" s="12" t="s">
        <v>11</v>
      </c>
      <c r="Y79" s="9">
        <f t="shared" si="15"/>
        <v>-135.89792072097714</v>
      </c>
      <c r="Z79" s="9">
        <f t="shared" si="15"/>
        <v>-412.42949998435347</v>
      </c>
      <c r="AA79" s="9">
        <f t="shared" si="15"/>
        <v>1369.7898762060754</v>
      </c>
      <c r="AB79" s="12" t="s">
        <v>11</v>
      </c>
    </row>
    <row r="80" spans="1:28" x14ac:dyDescent="0.3">
      <c r="A80" s="1">
        <v>44526</v>
      </c>
      <c r="B80" s="2">
        <v>85.35</v>
      </c>
      <c r="C80" s="2">
        <v>97.94</v>
      </c>
      <c r="D80" s="9">
        <f>B80-B79</f>
        <v>-0.74000000000000909</v>
      </c>
      <c r="E80" s="9">
        <f>C80-C79</f>
        <v>-1.8900000000000006</v>
      </c>
      <c r="F80" s="3">
        <f>F$1/B80</f>
        <v>1171.6461628588168</v>
      </c>
      <c r="G80" s="3">
        <f>F$1/C80</f>
        <v>1021.0332856851134</v>
      </c>
      <c r="H80" s="2">
        <f>D80*F79</f>
        <v>-859.56557091417017</v>
      </c>
      <c r="I80" s="2">
        <f>E80*G79</f>
        <v>-1893.2184714013829</v>
      </c>
      <c r="J80" s="2">
        <f>I80-H80</f>
        <v>-1033.6529004872127</v>
      </c>
      <c r="K80" s="2">
        <f t="shared" si="12"/>
        <v>1033.6529004872127</v>
      </c>
      <c r="L80" s="14">
        <f>C80/B80</f>
        <v>1.1475102519039251</v>
      </c>
      <c r="M80" s="14">
        <f t="shared" si="13"/>
        <v>1.159918377245303</v>
      </c>
      <c r="N80" s="14">
        <f t="shared" si="10"/>
        <v>1.1622685325534419</v>
      </c>
      <c r="O80" s="14">
        <f t="shared" si="11"/>
        <v>1.1663701490339278</v>
      </c>
      <c r="P80" s="15" t="s">
        <v>11</v>
      </c>
      <c r="Q80" s="4" t="str">
        <f t="shared" si="16"/>
        <v>UNDER</v>
      </c>
      <c r="R80" s="4" t="str">
        <f t="shared" si="16"/>
        <v>UNDER</v>
      </c>
      <c r="S80" s="4" t="str">
        <f t="shared" si="14"/>
        <v>UNDER</v>
      </c>
      <c r="T80" s="12" t="s">
        <v>11</v>
      </c>
      <c r="U80" s="2">
        <f>IF(Q80="OVER",$J80,$K80)</f>
        <v>1033.6529004872127</v>
      </c>
      <c r="V80" s="2">
        <f>IF(R80="OVER",$J80,$K80)</f>
        <v>1033.6529004872127</v>
      </c>
      <c r="W80" s="2">
        <f>IF(S80="OVER",$J80,$K80)</f>
        <v>1033.6529004872127</v>
      </c>
      <c r="X80" s="12" t="s">
        <v>11</v>
      </c>
      <c r="Y80" s="9">
        <f t="shared" si="15"/>
        <v>897.75497976623558</v>
      </c>
      <c r="Z80" s="9">
        <f t="shared" si="15"/>
        <v>621.22340050285925</v>
      </c>
      <c r="AA80" s="9">
        <f t="shared" si="15"/>
        <v>2403.4427766932881</v>
      </c>
      <c r="AB80" s="12" t="s">
        <v>11</v>
      </c>
    </row>
    <row r="81" spans="1:28" x14ac:dyDescent="0.3">
      <c r="A81" s="1">
        <v>44529</v>
      </c>
      <c r="B81" s="2">
        <v>85.26</v>
      </c>
      <c r="C81" s="2">
        <v>98.48</v>
      </c>
      <c r="D81" s="9">
        <f>B81-B80</f>
        <v>-8.99999999999892E-2</v>
      </c>
      <c r="E81" s="9">
        <f>C81-C80</f>
        <v>0.54000000000000625</v>
      </c>
      <c r="F81" s="3">
        <f>F$1/B81</f>
        <v>1172.882946281961</v>
      </c>
      <c r="G81" s="3">
        <f>F$1/C81</f>
        <v>1015.4346060113728</v>
      </c>
      <c r="H81" s="2">
        <f>D81*F80</f>
        <v>-105.44815465728085</v>
      </c>
      <c r="I81" s="2">
        <f>E81*G80</f>
        <v>551.3579742699676</v>
      </c>
      <c r="J81" s="2">
        <f>I81-H81</f>
        <v>656.80612892724844</v>
      </c>
      <c r="K81" s="2">
        <f t="shared" si="12"/>
        <v>-656.80612892724844</v>
      </c>
      <c r="L81" s="14">
        <f>C81/B81</f>
        <v>1.1550551254984753</v>
      </c>
      <c r="M81" s="14">
        <f t="shared" si="13"/>
        <v>1.1589521110679186</v>
      </c>
      <c r="N81" s="14">
        <f t="shared" si="10"/>
        <v>1.161814878280514</v>
      </c>
      <c r="O81" s="14">
        <f t="shared" si="11"/>
        <v>1.1661562081053973</v>
      </c>
      <c r="P81" s="15" t="s">
        <v>11</v>
      </c>
      <c r="Q81" s="4" t="str">
        <f t="shared" si="16"/>
        <v>UNDER</v>
      </c>
      <c r="R81" s="4" t="str">
        <f t="shared" si="16"/>
        <v>UNDER</v>
      </c>
      <c r="S81" s="4" t="str">
        <f t="shared" si="14"/>
        <v>UNDER</v>
      </c>
      <c r="T81" s="12" t="s">
        <v>11</v>
      </c>
      <c r="U81" s="2">
        <f>IF(Q81="OVER",$J81,$K81)</f>
        <v>-656.80612892724844</v>
      </c>
      <c r="V81" s="2">
        <f>IF(R81="OVER",$J81,$K81)</f>
        <v>-656.80612892724844</v>
      </c>
      <c r="W81" s="2">
        <f>IF(S81="OVER",$J81,$K81)</f>
        <v>-656.80612892724844</v>
      </c>
      <c r="X81" s="12" t="s">
        <v>11</v>
      </c>
      <c r="Y81" s="9">
        <f t="shared" si="15"/>
        <v>240.94885083898714</v>
      </c>
      <c r="Z81" s="9">
        <f t="shared" si="15"/>
        <v>-35.582728424389188</v>
      </c>
      <c r="AA81" s="9">
        <f t="shared" si="15"/>
        <v>1746.6366477660397</v>
      </c>
      <c r="AB81" s="12" t="s">
        <v>11</v>
      </c>
    </row>
    <row r="82" spans="1:28" x14ac:dyDescent="0.3">
      <c r="A82" s="1">
        <v>44530</v>
      </c>
      <c r="B82" s="2">
        <v>83.95</v>
      </c>
      <c r="C82" s="2">
        <v>97.17</v>
      </c>
      <c r="D82" s="9">
        <f>B82-B81</f>
        <v>-1.3100000000000023</v>
      </c>
      <c r="E82" s="9">
        <f>C82-C81</f>
        <v>-1.3100000000000023</v>
      </c>
      <c r="F82" s="3">
        <f>F$1/B82</f>
        <v>1191.1852293031566</v>
      </c>
      <c r="G82" s="3">
        <f>F$1/C82</f>
        <v>1029.1242152927857</v>
      </c>
      <c r="H82" s="2">
        <f>D82*F81</f>
        <v>-1536.4766596293716</v>
      </c>
      <c r="I82" s="2">
        <f>E82*G81</f>
        <v>-1330.2193338749007</v>
      </c>
      <c r="J82" s="2">
        <f>I82-H82</f>
        <v>206.25732575447091</v>
      </c>
      <c r="K82" s="2">
        <f t="shared" si="12"/>
        <v>-206.25732575447091</v>
      </c>
      <c r="L82" s="14">
        <f>C82/B82</f>
        <v>1.1574746873138773</v>
      </c>
      <c r="M82" s="14">
        <f t="shared" si="13"/>
        <v>1.1580779886341044</v>
      </c>
      <c r="N82" s="14">
        <f t="shared" si="10"/>
        <v>1.1614472255712247</v>
      </c>
      <c r="O82" s="14">
        <f t="shared" si="11"/>
        <v>1.1659623213740489</v>
      </c>
      <c r="P82" s="15" t="s">
        <v>11</v>
      </c>
      <c r="Q82" s="4" t="str">
        <f t="shared" si="16"/>
        <v>UNDER</v>
      </c>
      <c r="R82" s="4" t="str">
        <f t="shared" si="16"/>
        <v>UNDER</v>
      </c>
      <c r="S82" s="4" t="str">
        <f t="shared" si="14"/>
        <v>UNDER</v>
      </c>
      <c r="T82" s="12" t="s">
        <v>11</v>
      </c>
      <c r="U82" s="2">
        <f>IF(Q82="OVER",$J82,$K82)</f>
        <v>-206.25732575447091</v>
      </c>
      <c r="V82" s="2">
        <f>IF(R82="OVER",$J82,$K82)</f>
        <v>-206.25732575447091</v>
      </c>
      <c r="W82" s="2">
        <f>IF(S82="OVER",$J82,$K82)</f>
        <v>-206.25732575447091</v>
      </c>
      <c r="X82" s="12" t="s">
        <v>11</v>
      </c>
      <c r="Y82" s="9">
        <f t="shared" si="15"/>
        <v>34.691525084516229</v>
      </c>
      <c r="Z82" s="9">
        <f t="shared" si="15"/>
        <v>-241.8400541788601</v>
      </c>
      <c r="AA82" s="9">
        <f t="shared" si="15"/>
        <v>1540.3793220115688</v>
      </c>
      <c r="AB82" s="12" t="s">
        <v>11</v>
      </c>
    </row>
    <row r="83" spans="1:28" x14ac:dyDescent="0.3">
      <c r="A83" s="1">
        <v>44531</v>
      </c>
      <c r="B83" s="2">
        <v>82.08</v>
      </c>
      <c r="C83" s="2">
        <v>89.01</v>
      </c>
      <c r="D83" s="9">
        <f>B83-B82</f>
        <v>-1.8700000000000045</v>
      </c>
      <c r="E83" s="9">
        <f>C83-C82</f>
        <v>-8.1599999999999966</v>
      </c>
      <c r="F83" s="3">
        <f>F$1/B83</f>
        <v>1218.3235867446394</v>
      </c>
      <c r="G83" s="3">
        <f>F$1/C83</f>
        <v>1123.4692731153802</v>
      </c>
      <c r="H83" s="2">
        <f>D83*F82</f>
        <v>-2227.5163787969082</v>
      </c>
      <c r="I83" s="2">
        <f>E83*G82</f>
        <v>-8397.6535967891286</v>
      </c>
      <c r="J83" s="2">
        <f>I83-H83</f>
        <v>-6170.13721799222</v>
      </c>
      <c r="K83" s="2">
        <f t="shared" si="12"/>
        <v>6170.13721799222</v>
      </c>
      <c r="L83" s="14">
        <f>C83/B83</f>
        <v>1.0844298245614037</v>
      </c>
      <c r="M83" s="14">
        <f t="shared" si="13"/>
        <v>1.1500956876053454</v>
      </c>
      <c r="N83" s="14">
        <f t="shared" si="10"/>
        <v>1.1575123679515769</v>
      </c>
      <c r="O83" s="14">
        <f t="shared" si="11"/>
        <v>1.1643090988419029</v>
      </c>
      <c r="P83" s="15" t="s">
        <v>11</v>
      </c>
      <c r="Q83" s="4" t="str">
        <f t="shared" si="16"/>
        <v>UNDER</v>
      </c>
      <c r="R83" s="4" t="str">
        <f t="shared" si="16"/>
        <v>UNDER</v>
      </c>
      <c r="S83" s="4" t="str">
        <f t="shared" si="14"/>
        <v>UNDER</v>
      </c>
      <c r="T83" s="12" t="s">
        <v>11</v>
      </c>
      <c r="U83" s="2">
        <f>IF(Q83="OVER",$J83,$K83)</f>
        <v>6170.13721799222</v>
      </c>
      <c r="V83" s="2">
        <f>IF(R83="OVER",$J83,$K83)</f>
        <v>6170.13721799222</v>
      </c>
      <c r="W83" s="2">
        <f>IF(S83="OVER",$J83,$K83)</f>
        <v>6170.13721799222</v>
      </c>
      <c r="X83" s="12" t="s">
        <v>11</v>
      </c>
      <c r="Y83" s="9">
        <f t="shared" si="15"/>
        <v>6204.8287430767359</v>
      </c>
      <c r="Z83" s="9">
        <f t="shared" si="15"/>
        <v>5928.2971638133604</v>
      </c>
      <c r="AA83" s="9">
        <f t="shared" si="15"/>
        <v>7710.5165400037886</v>
      </c>
      <c r="AB83" s="12" t="s">
        <v>11</v>
      </c>
    </row>
    <row r="84" spans="1:28" x14ac:dyDescent="0.3">
      <c r="A84" s="1">
        <v>44532</v>
      </c>
      <c r="B84" s="2">
        <v>82.74</v>
      </c>
      <c r="C84" s="2">
        <v>89.48</v>
      </c>
      <c r="D84" s="9">
        <f>B84-B83</f>
        <v>0.65999999999999659</v>
      </c>
      <c r="E84" s="9">
        <f>C84-C83</f>
        <v>0.46999999999999886</v>
      </c>
      <c r="F84" s="3">
        <f>F$1/B84</f>
        <v>1208.6052695189751</v>
      </c>
      <c r="G84" s="3">
        <f>F$1/C84</f>
        <v>1117.5681716584711</v>
      </c>
      <c r="H84" s="2">
        <f>D84*F83</f>
        <v>804.0935672514579</v>
      </c>
      <c r="I84" s="2">
        <f>E84*G83</f>
        <v>528.03055836422743</v>
      </c>
      <c r="J84" s="2">
        <f>I84-H84</f>
        <v>-276.06300888723047</v>
      </c>
      <c r="K84" s="2">
        <f t="shared" si="12"/>
        <v>276.06300888723047</v>
      </c>
      <c r="L84" s="14">
        <f>C84/B84</f>
        <v>1.081459995165579</v>
      </c>
      <c r="M84" s="14">
        <f t="shared" si="13"/>
        <v>1.1420395570516564</v>
      </c>
      <c r="N84" s="14">
        <f t="shared" si="10"/>
        <v>1.1534337464241253</v>
      </c>
      <c r="O84" s="14">
        <f t="shared" si="11"/>
        <v>1.1625728700427842</v>
      </c>
      <c r="P84" s="15" t="s">
        <v>11</v>
      </c>
      <c r="Q84" s="4" t="str">
        <f t="shared" si="16"/>
        <v>UNDER</v>
      </c>
      <c r="R84" s="4" t="str">
        <f t="shared" si="16"/>
        <v>UNDER</v>
      </c>
      <c r="S84" s="4" t="str">
        <f t="shared" si="14"/>
        <v>UNDER</v>
      </c>
      <c r="T84" s="12" t="s">
        <v>11</v>
      </c>
      <c r="U84" s="2">
        <f>IF(Q84="OVER",$J84,$K84)</f>
        <v>276.06300888723047</v>
      </c>
      <c r="V84" s="2">
        <f>IF(R84="OVER",$J84,$K84)</f>
        <v>276.06300888723047</v>
      </c>
      <c r="W84" s="2">
        <f>IF(S84="OVER",$J84,$K84)</f>
        <v>276.06300888723047</v>
      </c>
      <c r="X84" s="12" t="s">
        <v>11</v>
      </c>
      <c r="Y84" s="9">
        <f t="shared" si="15"/>
        <v>6480.8917519639663</v>
      </c>
      <c r="Z84" s="9">
        <f t="shared" si="15"/>
        <v>6204.3601727005907</v>
      </c>
      <c r="AA84" s="9">
        <f t="shared" si="15"/>
        <v>7986.5795488910189</v>
      </c>
      <c r="AB84" s="12" t="s">
        <v>11</v>
      </c>
    </row>
    <row r="85" spans="1:28" x14ac:dyDescent="0.3">
      <c r="A85" s="1">
        <v>44533</v>
      </c>
      <c r="B85" s="2">
        <v>81.64</v>
      </c>
      <c r="C85" s="2">
        <v>88.11</v>
      </c>
      <c r="D85" s="9">
        <f>B85-B84</f>
        <v>-1.0999999999999943</v>
      </c>
      <c r="E85" s="9">
        <f>C85-C84</f>
        <v>-1.3700000000000045</v>
      </c>
      <c r="F85" s="3">
        <f>F$1/B85</f>
        <v>1224.889759921607</v>
      </c>
      <c r="G85" s="3">
        <f>F$1/C85</f>
        <v>1134.9449551696744</v>
      </c>
      <c r="H85" s="2">
        <f>D85*F84</f>
        <v>-1329.4657964708658</v>
      </c>
      <c r="I85" s="2">
        <f>E85*G84</f>
        <v>-1531.0683951721105</v>
      </c>
      <c r="J85" s="2">
        <f>I85-H85</f>
        <v>-201.60259870124469</v>
      </c>
      <c r="K85" s="2">
        <f t="shared" si="12"/>
        <v>201.60259870124469</v>
      </c>
      <c r="L85" s="14">
        <f>C85/B85</f>
        <v>1.079250367466928</v>
      </c>
      <c r="M85" s="14">
        <f t="shared" si="13"/>
        <v>1.133954095110685</v>
      </c>
      <c r="N85" s="14">
        <f t="shared" si="10"/>
        <v>1.1493248442725197</v>
      </c>
      <c r="O85" s="14">
        <f t="shared" si="11"/>
        <v>1.1607892887420601</v>
      </c>
      <c r="P85" s="15" t="s">
        <v>11</v>
      </c>
      <c r="Q85" s="4" t="str">
        <f t="shared" si="16"/>
        <v>UNDER</v>
      </c>
      <c r="R85" s="4" t="str">
        <f t="shared" si="16"/>
        <v>UNDER</v>
      </c>
      <c r="S85" s="4" t="str">
        <f t="shared" si="14"/>
        <v>UNDER</v>
      </c>
      <c r="T85" s="12" t="s">
        <v>11</v>
      </c>
      <c r="U85" s="2">
        <f>IF(Q85="OVER",$J85,$K85)</f>
        <v>201.60259870124469</v>
      </c>
      <c r="V85" s="2">
        <f>IF(R85="OVER",$J85,$K85)</f>
        <v>201.60259870124469</v>
      </c>
      <c r="W85" s="2">
        <f>IF(S85="OVER",$J85,$K85)</f>
        <v>201.60259870124469</v>
      </c>
      <c r="X85" s="12" t="s">
        <v>11</v>
      </c>
      <c r="Y85" s="9">
        <f t="shared" si="15"/>
        <v>6682.4943506652107</v>
      </c>
      <c r="Z85" s="9">
        <f t="shared" si="15"/>
        <v>6405.9627714018352</v>
      </c>
      <c r="AA85" s="9">
        <f t="shared" si="15"/>
        <v>8188.1821475922634</v>
      </c>
      <c r="AB85" s="12" t="s">
        <v>11</v>
      </c>
    </row>
    <row r="86" spans="1:28" x14ac:dyDescent="0.3">
      <c r="A86" s="1">
        <v>44536</v>
      </c>
      <c r="B86" s="2">
        <v>81.93</v>
      </c>
      <c r="C86" s="2">
        <v>88.53</v>
      </c>
      <c r="D86" s="9">
        <f>B86-B85</f>
        <v>0.29000000000000625</v>
      </c>
      <c r="E86" s="9">
        <f>C86-C85</f>
        <v>0.42000000000000171</v>
      </c>
      <c r="F86" s="3">
        <f>F$1/B86</f>
        <v>1220.5541315757353</v>
      </c>
      <c r="G86" s="3">
        <f>F$1/C86</f>
        <v>1129.5606009262397</v>
      </c>
      <c r="H86" s="2">
        <f>D86*F85</f>
        <v>355.21803037727369</v>
      </c>
      <c r="I86" s="2">
        <f>E86*G85</f>
        <v>476.67688117126517</v>
      </c>
      <c r="J86" s="2">
        <f>I86-H86</f>
        <v>121.45885079399147</v>
      </c>
      <c r="K86" s="2">
        <f t="shared" si="12"/>
        <v>-121.45885079399147</v>
      </c>
      <c r="L86" s="14">
        <f>C86/B86</f>
        <v>1.0805565726839985</v>
      </c>
      <c r="M86" s="14">
        <f t="shared" si="13"/>
        <v>1.1261605660394103</v>
      </c>
      <c r="N86" s="14">
        <f t="shared" si="10"/>
        <v>1.1451633078629682</v>
      </c>
      <c r="O86" s="14">
        <f t="shared" si="11"/>
        <v>1.1590071157092903</v>
      </c>
      <c r="P86" s="15" t="s">
        <v>11</v>
      </c>
      <c r="Q86" s="4" t="str">
        <f t="shared" si="16"/>
        <v>UNDER</v>
      </c>
      <c r="R86" s="4" t="str">
        <f t="shared" si="16"/>
        <v>UNDER</v>
      </c>
      <c r="S86" s="4" t="str">
        <f t="shared" si="14"/>
        <v>UNDER</v>
      </c>
      <c r="T86" s="12" t="s">
        <v>11</v>
      </c>
      <c r="U86" s="2">
        <f>IF(Q86="OVER",$J86,$K86)</f>
        <v>-121.45885079399147</v>
      </c>
      <c r="V86" s="2">
        <f>IF(R86="OVER",$J86,$K86)</f>
        <v>-121.45885079399147</v>
      </c>
      <c r="W86" s="2">
        <f>IF(S86="OVER",$J86,$K86)</f>
        <v>-121.45885079399147</v>
      </c>
      <c r="X86" s="12" t="s">
        <v>11</v>
      </c>
      <c r="Y86" s="9">
        <f t="shared" si="15"/>
        <v>6561.0354998712191</v>
      </c>
      <c r="Z86" s="9">
        <f t="shared" si="15"/>
        <v>6284.5039206078436</v>
      </c>
      <c r="AA86" s="9">
        <f t="shared" si="15"/>
        <v>8066.7232967982718</v>
      </c>
      <c r="AB86" s="12" t="s">
        <v>11</v>
      </c>
    </row>
    <row r="87" spans="1:28" x14ac:dyDescent="0.3">
      <c r="A87" s="1">
        <v>44537</v>
      </c>
      <c r="B87" s="2">
        <v>83.63</v>
      </c>
      <c r="C87" s="2">
        <v>90.39</v>
      </c>
      <c r="D87" s="9">
        <f>B87-B86</f>
        <v>1.6999999999999886</v>
      </c>
      <c r="E87" s="9">
        <f>C87-C86</f>
        <v>1.8599999999999994</v>
      </c>
      <c r="F87" s="3">
        <f>F$1/B87</f>
        <v>1195.7431543704413</v>
      </c>
      <c r="G87" s="3">
        <f>F$1/C87</f>
        <v>1106.3170704723973</v>
      </c>
      <c r="H87" s="2">
        <f>D87*F86</f>
        <v>2074.9420236787359</v>
      </c>
      <c r="I87" s="2">
        <f>E87*G86</f>
        <v>2100.9827177228053</v>
      </c>
      <c r="J87" s="2">
        <f>I87-H87</f>
        <v>26.040694044069369</v>
      </c>
      <c r="K87" s="2">
        <f t="shared" si="12"/>
        <v>-26.040694044069369</v>
      </c>
      <c r="L87" s="14">
        <f>C87/B87</f>
        <v>1.080832237235442</v>
      </c>
      <c r="M87" s="14">
        <f t="shared" si="13"/>
        <v>1.1184329161570066</v>
      </c>
      <c r="N87" s="14">
        <f t="shared" ref="N87:N150" si="17">AVERAGE(L68:L87)</f>
        <v>1.1409265150772152</v>
      </c>
      <c r="O87" s="14">
        <f t="shared" si="11"/>
        <v>1.1571872244092147</v>
      </c>
      <c r="P87" s="15" t="s">
        <v>11</v>
      </c>
      <c r="Q87" s="4" t="str">
        <f t="shared" si="16"/>
        <v>UNDER</v>
      </c>
      <c r="R87" s="4" t="str">
        <f t="shared" si="16"/>
        <v>UNDER</v>
      </c>
      <c r="S87" s="4" t="str">
        <f t="shared" si="14"/>
        <v>UNDER</v>
      </c>
      <c r="T87" s="12" t="s">
        <v>11</v>
      </c>
      <c r="U87" s="2">
        <f>IF(Q87="OVER",$J87,$K87)</f>
        <v>-26.040694044069369</v>
      </c>
      <c r="V87" s="2">
        <f>IF(R87="OVER",$J87,$K87)</f>
        <v>-26.040694044069369</v>
      </c>
      <c r="W87" s="2">
        <f>IF(S87="OVER",$J87,$K87)</f>
        <v>-26.040694044069369</v>
      </c>
      <c r="X87" s="12" t="s">
        <v>11</v>
      </c>
      <c r="Y87" s="9">
        <f t="shared" si="15"/>
        <v>6534.9948058271493</v>
      </c>
      <c r="Z87" s="9">
        <f t="shared" si="15"/>
        <v>6258.4632265637738</v>
      </c>
      <c r="AA87" s="9">
        <f t="shared" si="15"/>
        <v>8040.6826027542029</v>
      </c>
      <c r="AB87" s="12" t="s">
        <v>11</v>
      </c>
    </row>
    <row r="88" spans="1:28" x14ac:dyDescent="0.3">
      <c r="A88" s="1">
        <v>44538</v>
      </c>
      <c r="B88" s="2">
        <v>84.58</v>
      </c>
      <c r="C88" s="2">
        <v>91.54</v>
      </c>
      <c r="D88" s="9">
        <f>B88-B87</f>
        <v>0.95000000000000284</v>
      </c>
      <c r="E88" s="9">
        <f>C88-C87</f>
        <v>1.1500000000000057</v>
      </c>
      <c r="F88" s="3">
        <f>F$1/B88</f>
        <v>1182.3126034523527</v>
      </c>
      <c r="G88" s="3">
        <f>F$1/C88</f>
        <v>1092.4186148131964</v>
      </c>
      <c r="H88" s="2">
        <f>D88*F87</f>
        <v>1135.9559966519225</v>
      </c>
      <c r="I88" s="2">
        <f>E88*G87</f>
        <v>1272.2646310432631</v>
      </c>
      <c r="J88" s="2">
        <f>I88-H88</f>
        <v>136.30863439134055</v>
      </c>
      <c r="K88" s="2">
        <f t="shared" si="12"/>
        <v>-136.30863439134055</v>
      </c>
      <c r="L88" s="14">
        <f>C88/B88</f>
        <v>1.0822889572002838</v>
      </c>
      <c r="M88" s="14">
        <f t="shared" si="13"/>
        <v>1.1108458437196949</v>
      </c>
      <c r="N88" s="14">
        <f t="shared" si="17"/>
        <v>1.1366404704366695</v>
      </c>
      <c r="O88" s="14">
        <f t="shared" si="11"/>
        <v>1.1554137615707127</v>
      </c>
      <c r="P88" s="15" t="s">
        <v>11</v>
      </c>
      <c r="Q88" s="4" t="str">
        <f t="shared" si="16"/>
        <v>UNDER</v>
      </c>
      <c r="R88" s="4" t="str">
        <f t="shared" si="16"/>
        <v>UNDER</v>
      </c>
      <c r="S88" s="4" t="str">
        <f t="shared" si="14"/>
        <v>UNDER</v>
      </c>
      <c r="T88" s="12" t="s">
        <v>11</v>
      </c>
      <c r="U88" s="2">
        <f>IF(Q88="OVER",$J88,$K88)</f>
        <v>-136.30863439134055</v>
      </c>
      <c r="V88" s="2">
        <f>IF(R88="OVER",$J88,$K88)</f>
        <v>-136.30863439134055</v>
      </c>
      <c r="W88" s="2">
        <f>IF(S88="OVER",$J88,$K88)</f>
        <v>-136.30863439134055</v>
      </c>
      <c r="X88" s="12" t="s">
        <v>11</v>
      </c>
      <c r="Y88" s="9">
        <f t="shared" si="15"/>
        <v>6398.6861714358092</v>
      </c>
      <c r="Z88" s="9">
        <f t="shared" si="15"/>
        <v>6122.1545921724337</v>
      </c>
      <c r="AA88" s="9">
        <f t="shared" si="15"/>
        <v>7904.3739683628628</v>
      </c>
      <c r="AB88" s="12" t="s">
        <v>11</v>
      </c>
    </row>
    <row r="89" spans="1:28" x14ac:dyDescent="0.3">
      <c r="A89" s="1">
        <v>44539</v>
      </c>
      <c r="B89" s="2">
        <v>83.31</v>
      </c>
      <c r="C89" s="2">
        <v>90.02</v>
      </c>
      <c r="D89" s="9">
        <f>B89-B88</f>
        <v>-1.269999999999996</v>
      </c>
      <c r="E89" s="9">
        <f>C89-C88</f>
        <v>-1.5200000000000102</v>
      </c>
      <c r="F89" s="3">
        <f>F$1/B89</f>
        <v>1200.3360941063497</v>
      </c>
      <c r="G89" s="3">
        <f>F$1/C89</f>
        <v>1110.8642523883582</v>
      </c>
      <c r="H89" s="2">
        <f>D89*F88</f>
        <v>-1501.5370063844832</v>
      </c>
      <c r="I89" s="2">
        <f>E89*G88</f>
        <v>-1660.4762945160699</v>
      </c>
      <c r="J89" s="2">
        <f>I89-H89</f>
        <v>-158.93928813158664</v>
      </c>
      <c r="K89" s="2">
        <f t="shared" si="12"/>
        <v>158.93928813158664</v>
      </c>
      <c r="L89" s="14">
        <f>C89/B89</f>
        <v>1.080542551914536</v>
      </c>
      <c r="M89" s="14">
        <f t="shared" si="13"/>
        <v>1.102940057094445</v>
      </c>
      <c r="N89" s="14">
        <f t="shared" si="17"/>
        <v>1.1323427767862271</v>
      </c>
      <c r="O89" s="14">
        <f t="shared" si="11"/>
        <v>1.1536662812286429</v>
      </c>
      <c r="P89" s="15" t="s">
        <v>11</v>
      </c>
      <c r="Q89" s="4" t="str">
        <f t="shared" si="16"/>
        <v>UNDER</v>
      </c>
      <c r="R89" s="4" t="str">
        <f t="shared" si="16"/>
        <v>UNDER</v>
      </c>
      <c r="S89" s="4" t="str">
        <f t="shared" si="14"/>
        <v>UNDER</v>
      </c>
      <c r="T89" s="12" t="s">
        <v>11</v>
      </c>
      <c r="U89" s="2">
        <f>IF(Q89="OVER",$J89,$K89)</f>
        <v>158.93928813158664</v>
      </c>
      <c r="V89" s="2">
        <f>IF(R89="OVER",$J89,$K89)</f>
        <v>158.93928813158664</v>
      </c>
      <c r="W89" s="2">
        <f>IF(S89="OVER",$J89,$K89)</f>
        <v>158.93928813158664</v>
      </c>
      <c r="X89" s="12" t="s">
        <v>11</v>
      </c>
      <c r="Y89" s="9">
        <f t="shared" si="15"/>
        <v>6557.6254595673963</v>
      </c>
      <c r="Z89" s="9">
        <f t="shared" si="15"/>
        <v>6281.0938803040208</v>
      </c>
      <c r="AA89" s="9">
        <f t="shared" si="15"/>
        <v>8063.3132564944499</v>
      </c>
      <c r="AB89" s="12" t="s">
        <v>11</v>
      </c>
    </row>
    <row r="90" spans="1:28" x14ac:dyDescent="0.3">
      <c r="A90" s="1">
        <v>44540</v>
      </c>
      <c r="B90" s="2">
        <v>83.31</v>
      </c>
      <c r="C90" s="2">
        <v>89.64</v>
      </c>
      <c r="D90" s="9">
        <f>B90-B89</f>
        <v>0</v>
      </c>
      <c r="E90" s="9">
        <f>C90-C89</f>
        <v>-0.37999999999999545</v>
      </c>
      <c r="F90" s="3">
        <f>F$1/B90</f>
        <v>1200.3360941063497</v>
      </c>
      <c r="G90" s="3">
        <f>F$1/C90</f>
        <v>1115.5734047300311</v>
      </c>
      <c r="H90" s="2">
        <f>D90*F89</f>
        <v>0</v>
      </c>
      <c r="I90" s="2">
        <f>E90*G89</f>
        <v>-422.12841590757108</v>
      </c>
      <c r="J90" s="2">
        <f>I90-H90</f>
        <v>-422.12841590757108</v>
      </c>
      <c r="K90" s="2">
        <f t="shared" si="12"/>
        <v>422.12841590757108</v>
      </c>
      <c r="L90" s="14">
        <f>C90/B90</f>
        <v>1.0759812747569319</v>
      </c>
      <c r="M90" s="14">
        <f t="shared" si="13"/>
        <v>1.0957871593797457</v>
      </c>
      <c r="N90" s="14">
        <f t="shared" si="17"/>
        <v>1.1278527683125241</v>
      </c>
      <c r="O90" s="14">
        <f t="shared" si="11"/>
        <v>1.1518139090670736</v>
      </c>
      <c r="P90" s="15" t="s">
        <v>11</v>
      </c>
      <c r="Q90" s="4" t="str">
        <f t="shared" si="16"/>
        <v>UNDER</v>
      </c>
      <c r="R90" s="4" t="str">
        <f t="shared" si="16"/>
        <v>UNDER</v>
      </c>
      <c r="S90" s="4" t="str">
        <f t="shared" si="14"/>
        <v>UNDER</v>
      </c>
      <c r="T90" s="12" t="s">
        <v>11</v>
      </c>
      <c r="U90" s="2">
        <f>IF(Q90="OVER",$J90,$K90)</f>
        <v>422.12841590757108</v>
      </c>
      <c r="V90" s="2">
        <f>IF(R90="OVER",$J90,$K90)</f>
        <v>422.12841590757108</v>
      </c>
      <c r="W90" s="2">
        <f>IF(S90="OVER",$J90,$K90)</f>
        <v>422.12841590757108</v>
      </c>
      <c r="X90" s="12" t="s">
        <v>11</v>
      </c>
      <c r="Y90" s="9">
        <f t="shared" si="15"/>
        <v>6979.7538754749676</v>
      </c>
      <c r="Z90" s="9">
        <f t="shared" si="15"/>
        <v>6703.222296211592</v>
      </c>
      <c r="AA90" s="9">
        <f t="shared" si="15"/>
        <v>8485.4416724020211</v>
      </c>
      <c r="AB90" s="12" t="s">
        <v>11</v>
      </c>
    </row>
    <row r="91" spans="1:28" x14ac:dyDescent="0.3">
      <c r="A91" s="1">
        <v>44543</v>
      </c>
      <c r="B91" s="2">
        <v>82.55</v>
      </c>
      <c r="C91" s="2">
        <v>88.77</v>
      </c>
      <c r="D91" s="9">
        <f>B91-B90</f>
        <v>-0.76000000000000512</v>
      </c>
      <c r="E91" s="9">
        <f>C91-C90</f>
        <v>-0.87000000000000455</v>
      </c>
      <c r="F91" s="3">
        <f>F$1/B91</f>
        <v>1211.3870381586917</v>
      </c>
      <c r="G91" s="3">
        <f>F$1/C91</f>
        <v>1126.5067027148812</v>
      </c>
      <c r="H91" s="2">
        <f>D91*F90</f>
        <v>-912.25543152083196</v>
      </c>
      <c r="I91" s="2">
        <f>E91*G90</f>
        <v>-970.54886211513212</v>
      </c>
      <c r="J91" s="2">
        <f>I91-H91</f>
        <v>-58.293430594300162</v>
      </c>
      <c r="K91" s="2">
        <f t="shared" si="12"/>
        <v>58.293430594300162</v>
      </c>
      <c r="L91" s="14">
        <f>C91/B91</f>
        <v>1.0753482737734705</v>
      </c>
      <c r="M91" s="14">
        <f t="shared" si="13"/>
        <v>1.0878164742072449</v>
      </c>
      <c r="N91" s="14">
        <f t="shared" si="17"/>
        <v>1.1233842926375819</v>
      </c>
      <c r="O91" s="14">
        <f t="shared" si="11"/>
        <v>1.1498701867365277</v>
      </c>
      <c r="P91" s="15" t="s">
        <v>11</v>
      </c>
      <c r="Q91" s="4" t="str">
        <f t="shared" si="16"/>
        <v>UNDER</v>
      </c>
      <c r="R91" s="4" t="str">
        <f t="shared" si="16"/>
        <v>UNDER</v>
      </c>
      <c r="S91" s="4" t="str">
        <f t="shared" si="14"/>
        <v>UNDER</v>
      </c>
      <c r="T91" s="12" t="s">
        <v>11</v>
      </c>
      <c r="U91" s="2">
        <f>IF(Q91="OVER",$J91,$K91)</f>
        <v>58.293430594300162</v>
      </c>
      <c r="V91" s="2">
        <f>IF(R91="OVER",$J91,$K91)</f>
        <v>58.293430594300162</v>
      </c>
      <c r="W91" s="2">
        <f>IF(S91="OVER",$J91,$K91)</f>
        <v>58.293430594300162</v>
      </c>
      <c r="X91" s="12" t="s">
        <v>11</v>
      </c>
      <c r="Y91" s="9">
        <f t="shared" si="15"/>
        <v>7038.0473060692675</v>
      </c>
      <c r="Z91" s="9">
        <f t="shared" si="15"/>
        <v>6761.515726805892</v>
      </c>
      <c r="AA91" s="9">
        <f t="shared" si="15"/>
        <v>8543.7351029963211</v>
      </c>
      <c r="AB91" s="12" t="s">
        <v>11</v>
      </c>
    </row>
    <row r="92" spans="1:28" x14ac:dyDescent="0.3">
      <c r="A92" s="1">
        <v>44544</v>
      </c>
      <c r="B92" s="2">
        <v>81.849999999999994</v>
      </c>
      <c r="C92" s="2">
        <v>87.95</v>
      </c>
      <c r="D92" s="9">
        <f>B92-B91</f>
        <v>-0.70000000000000284</v>
      </c>
      <c r="E92" s="9">
        <f>C92-C91</f>
        <v>-0.81999999999999318</v>
      </c>
      <c r="F92" s="3">
        <f>F$1/B92</f>
        <v>1221.7470983506414</v>
      </c>
      <c r="G92" s="3">
        <f>F$1/C92</f>
        <v>1137.0096645821488</v>
      </c>
      <c r="H92" s="2">
        <f>D92*F91</f>
        <v>-847.9709267110876</v>
      </c>
      <c r="I92" s="2">
        <f>E92*G91</f>
        <v>-923.73549622619487</v>
      </c>
      <c r="J92" s="2">
        <f>I92-H92</f>
        <v>-75.764569515107269</v>
      </c>
      <c r="K92" s="2">
        <f t="shared" si="12"/>
        <v>75.764569515107269</v>
      </c>
      <c r="L92" s="14">
        <f>C92/B92</f>
        <v>1.0745265729993891</v>
      </c>
      <c r="M92" s="14">
        <f t="shared" si="13"/>
        <v>1.0795216627757962</v>
      </c>
      <c r="N92" s="14">
        <f t="shared" si="17"/>
        <v>1.1187998257049503</v>
      </c>
      <c r="O92" s="14">
        <f t="shared" si="11"/>
        <v>1.1479276175221984</v>
      </c>
      <c r="P92" s="15" t="s">
        <v>11</v>
      </c>
      <c r="Q92" s="4" t="str">
        <f t="shared" si="16"/>
        <v>UNDER</v>
      </c>
      <c r="R92" s="4" t="str">
        <f t="shared" si="16"/>
        <v>UNDER</v>
      </c>
      <c r="S92" s="4" t="str">
        <f t="shared" si="14"/>
        <v>UNDER</v>
      </c>
      <c r="T92" s="12" t="s">
        <v>11</v>
      </c>
      <c r="U92" s="2">
        <f>IF(Q92="OVER",$J92,$K92)</f>
        <v>75.764569515107269</v>
      </c>
      <c r="V92" s="2">
        <f>IF(R92="OVER",$J92,$K92)</f>
        <v>75.764569515107269</v>
      </c>
      <c r="W92" s="2">
        <f>IF(S92="OVER",$J92,$K92)</f>
        <v>75.764569515107269</v>
      </c>
      <c r="X92" s="12" t="s">
        <v>11</v>
      </c>
      <c r="Y92" s="9">
        <f t="shared" si="15"/>
        <v>7113.8118755843752</v>
      </c>
      <c r="Z92" s="9">
        <f t="shared" si="15"/>
        <v>6837.2802963209997</v>
      </c>
      <c r="AA92" s="9">
        <f t="shared" si="15"/>
        <v>8619.4996725114288</v>
      </c>
      <c r="AB92" s="12" t="s">
        <v>11</v>
      </c>
    </row>
    <row r="93" spans="1:28" x14ac:dyDescent="0.3">
      <c r="A93" s="1">
        <v>44545</v>
      </c>
      <c r="B93" s="2">
        <v>82.63</v>
      </c>
      <c r="C93" s="2">
        <v>88.54</v>
      </c>
      <c r="D93" s="9">
        <f>B93-B92</f>
        <v>0.78000000000000114</v>
      </c>
      <c r="E93" s="9">
        <f>C93-C92</f>
        <v>0.59000000000000341</v>
      </c>
      <c r="F93" s="3">
        <f>F$1/B93</f>
        <v>1210.2142079148009</v>
      </c>
      <c r="G93" s="3">
        <f>F$1/C93</f>
        <v>1129.4330246216398</v>
      </c>
      <c r="H93" s="2">
        <f>D93*F92</f>
        <v>952.96273671350173</v>
      </c>
      <c r="I93" s="2">
        <f>E93*G92</f>
        <v>670.8357021034717</v>
      </c>
      <c r="J93" s="2">
        <f>I93-H93</f>
        <v>-282.12703461003002</v>
      </c>
      <c r="K93" s="2">
        <f t="shared" si="12"/>
        <v>282.12703461003002</v>
      </c>
      <c r="L93" s="14">
        <f>C93/B93</f>
        <v>1.0715236596877649</v>
      </c>
      <c r="M93" s="14">
        <f t="shared" si="13"/>
        <v>1.0782310462884324</v>
      </c>
      <c r="N93" s="14">
        <f t="shared" si="17"/>
        <v>1.1141633669468889</v>
      </c>
      <c r="O93" s="14">
        <f t="shared" si="11"/>
        <v>1.1459652755011147</v>
      </c>
      <c r="P93" s="15" t="s">
        <v>11</v>
      </c>
      <c r="Q93" s="4" t="str">
        <f t="shared" si="16"/>
        <v>UNDER</v>
      </c>
      <c r="R93" s="4" t="str">
        <f t="shared" si="16"/>
        <v>UNDER</v>
      </c>
      <c r="S93" s="4" t="str">
        <f t="shared" si="14"/>
        <v>UNDER</v>
      </c>
      <c r="T93" s="12" t="s">
        <v>11</v>
      </c>
      <c r="U93" s="2">
        <f>IF(Q93="OVER",$J93,$K93)</f>
        <v>282.12703461003002</v>
      </c>
      <c r="V93" s="2">
        <f>IF(R93="OVER",$J93,$K93)</f>
        <v>282.12703461003002</v>
      </c>
      <c r="W93" s="2">
        <f>IF(S93="OVER",$J93,$K93)</f>
        <v>282.12703461003002</v>
      </c>
      <c r="X93" s="12" t="s">
        <v>11</v>
      </c>
      <c r="Y93" s="9">
        <f t="shared" si="15"/>
        <v>7395.9389101944053</v>
      </c>
      <c r="Z93" s="9">
        <f t="shared" si="15"/>
        <v>7119.4073309310297</v>
      </c>
      <c r="AA93" s="9">
        <f t="shared" si="15"/>
        <v>8901.6267071214588</v>
      </c>
      <c r="AB93" s="12" t="s">
        <v>11</v>
      </c>
    </row>
    <row r="94" spans="1:28" x14ac:dyDescent="0.3">
      <c r="A94" s="1">
        <v>44546</v>
      </c>
      <c r="B94" s="2">
        <v>81.489999999999995</v>
      </c>
      <c r="C94" s="2">
        <v>86.93</v>
      </c>
      <c r="D94" s="9">
        <f>B94-B93</f>
        <v>-1.1400000000000006</v>
      </c>
      <c r="E94" s="9">
        <f>C94-C93</f>
        <v>-1.6099999999999994</v>
      </c>
      <c r="F94" s="3">
        <f>F$1/B94</f>
        <v>1227.1444348999878</v>
      </c>
      <c r="G94" s="3">
        <f>F$1/C94</f>
        <v>1150.3508570113884</v>
      </c>
      <c r="H94" s="2">
        <f>D94*F93</f>
        <v>-1379.6441970228736</v>
      </c>
      <c r="I94" s="2">
        <f>E94*G93</f>
        <v>-1818.3871696408394</v>
      </c>
      <c r="J94" s="2">
        <f>I94-H94</f>
        <v>-438.74297261796573</v>
      </c>
      <c r="K94" s="2">
        <f t="shared" si="12"/>
        <v>438.74297261796573</v>
      </c>
      <c r="L94" s="14">
        <f>C94/B94</f>
        <v>1.0667566572585594</v>
      </c>
      <c r="M94" s="14">
        <f t="shared" si="13"/>
        <v>1.0767607124977303</v>
      </c>
      <c r="N94" s="14">
        <f t="shared" si="17"/>
        <v>1.1094001347746931</v>
      </c>
      <c r="O94" s="14">
        <f t="shared" si="11"/>
        <v>1.143952638542107</v>
      </c>
      <c r="P94" s="15" t="s">
        <v>11</v>
      </c>
      <c r="Q94" s="4" t="str">
        <f t="shared" si="16"/>
        <v>UNDER</v>
      </c>
      <c r="R94" s="4" t="str">
        <f t="shared" si="16"/>
        <v>UNDER</v>
      </c>
      <c r="S94" s="4" t="str">
        <f t="shared" si="14"/>
        <v>UNDER</v>
      </c>
      <c r="T94" s="12" t="s">
        <v>11</v>
      </c>
      <c r="U94" s="2">
        <f>IF(Q94="OVER",$J94,$K94)</f>
        <v>438.74297261796573</v>
      </c>
      <c r="V94" s="2">
        <f>IF(R94="OVER",$J94,$K94)</f>
        <v>438.74297261796573</v>
      </c>
      <c r="W94" s="2">
        <f>IF(S94="OVER",$J94,$K94)</f>
        <v>438.74297261796573</v>
      </c>
      <c r="X94" s="12" t="s">
        <v>11</v>
      </c>
      <c r="Y94" s="9">
        <f t="shared" si="15"/>
        <v>7834.6818828123705</v>
      </c>
      <c r="Z94" s="9">
        <f t="shared" si="15"/>
        <v>7558.150303548995</v>
      </c>
      <c r="AA94" s="9">
        <f t="shared" si="15"/>
        <v>9340.3696797394241</v>
      </c>
      <c r="AB94" s="12" t="s">
        <v>11</v>
      </c>
    </row>
    <row r="95" spans="1:28" x14ac:dyDescent="0.3">
      <c r="A95" s="1">
        <v>44547</v>
      </c>
      <c r="B95" s="2">
        <v>81.31</v>
      </c>
      <c r="C95" s="2">
        <v>87.64</v>
      </c>
      <c r="D95" s="9">
        <f>B95-B94</f>
        <v>-0.17999999999999261</v>
      </c>
      <c r="E95" s="9">
        <f>C95-C94</f>
        <v>0.70999999999999375</v>
      </c>
      <c r="F95" s="3">
        <f>F$1/B95</f>
        <v>1229.8610257040955</v>
      </c>
      <c r="G95" s="3">
        <f>F$1/C95</f>
        <v>1141.0314924691922</v>
      </c>
      <c r="H95" s="2">
        <f>D95*F94</f>
        <v>-220.88599828198875</v>
      </c>
      <c r="I95" s="2">
        <f>E95*G94</f>
        <v>816.7491084780786</v>
      </c>
      <c r="J95" s="2">
        <f>I95-H95</f>
        <v>1037.6351067600674</v>
      </c>
      <c r="K95" s="2">
        <f t="shared" si="12"/>
        <v>-1037.6351067600674</v>
      </c>
      <c r="L95" s="14">
        <f>C95/B95</f>
        <v>1.0778502029270691</v>
      </c>
      <c r="M95" s="14">
        <f t="shared" si="13"/>
        <v>1.0766206960437441</v>
      </c>
      <c r="N95" s="14">
        <f t="shared" si="17"/>
        <v>1.1052873955772147</v>
      </c>
      <c r="O95" s="14">
        <f t="shared" si="11"/>
        <v>1.142043502514692</v>
      </c>
      <c r="P95" s="15" t="s">
        <v>11</v>
      </c>
      <c r="Q95" s="4" t="str">
        <f t="shared" si="16"/>
        <v>UNDER</v>
      </c>
      <c r="R95" s="4" t="str">
        <f t="shared" si="16"/>
        <v>UNDER</v>
      </c>
      <c r="S95" s="4" t="str">
        <f t="shared" si="14"/>
        <v>UNDER</v>
      </c>
      <c r="T95" s="12" t="s">
        <v>11</v>
      </c>
      <c r="U95" s="2">
        <f>IF(Q95="OVER",$J95,$K95)</f>
        <v>-1037.6351067600674</v>
      </c>
      <c r="V95" s="2">
        <f>IF(R95="OVER",$J95,$K95)</f>
        <v>-1037.6351067600674</v>
      </c>
      <c r="W95" s="2">
        <f>IF(S95="OVER",$J95,$K95)</f>
        <v>-1037.6351067600674</v>
      </c>
      <c r="X95" s="12" t="s">
        <v>11</v>
      </c>
      <c r="Y95" s="9">
        <f t="shared" si="15"/>
        <v>6797.0467760523034</v>
      </c>
      <c r="Z95" s="9">
        <f t="shared" si="15"/>
        <v>6520.5151967889278</v>
      </c>
      <c r="AA95" s="9">
        <f t="shared" si="15"/>
        <v>8302.734572979356</v>
      </c>
      <c r="AB95" s="12" t="s">
        <v>11</v>
      </c>
    </row>
    <row r="96" spans="1:28" x14ac:dyDescent="0.3">
      <c r="A96" s="1">
        <v>44550</v>
      </c>
      <c r="B96" s="2">
        <v>80.7</v>
      </c>
      <c r="C96" s="2">
        <v>86.86</v>
      </c>
      <c r="D96" s="9">
        <f>B96-B95</f>
        <v>-0.60999999999999943</v>
      </c>
      <c r="E96" s="9">
        <f>C96-C95</f>
        <v>-0.78000000000000114</v>
      </c>
      <c r="F96" s="3">
        <f>F$1/B96</f>
        <v>1239.1573729863692</v>
      </c>
      <c r="G96" s="3">
        <f>F$1/C96</f>
        <v>1151.2779184895235</v>
      </c>
      <c r="H96" s="2">
        <f>D96*F95</f>
        <v>-750.21522567949751</v>
      </c>
      <c r="I96" s="2">
        <f>E96*G95</f>
        <v>-890.00456412597123</v>
      </c>
      <c r="J96" s="2">
        <f>I96-H96</f>
        <v>-139.78933844647372</v>
      </c>
      <c r="K96" s="2">
        <f t="shared" si="12"/>
        <v>139.78933844647372</v>
      </c>
      <c r="L96" s="14">
        <f>C96/B96</f>
        <v>1.0763320941759602</v>
      </c>
      <c r="M96" s="14">
        <f t="shared" si="13"/>
        <v>1.0761982481929406</v>
      </c>
      <c r="N96" s="14">
        <f t="shared" si="17"/>
        <v>1.1011794071161753</v>
      </c>
      <c r="O96" s="14">
        <f t="shared" si="11"/>
        <v>1.1401574459855126</v>
      </c>
      <c r="P96" s="15" t="s">
        <v>11</v>
      </c>
      <c r="Q96" s="4" t="str">
        <f t="shared" si="16"/>
        <v>OVER</v>
      </c>
      <c r="R96" s="4" t="str">
        <f t="shared" si="16"/>
        <v>UNDER</v>
      </c>
      <c r="S96" s="4" t="str">
        <f t="shared" si="14"/>
        <v>UNDER</v>
      </c>
      <c r="T96" s="12" t="s">
        <v>11</v>
      </c>
      <c r="U96" s="2">
        <f>IF(Q96="OVER",$J96,$K96)</f>
        <v>-139.78933844647372</v>
      </c>
      <c r="V96" s="2">
        <f>IF(R96="OVER",$J96,$K96)</f>
        <v>139.78933844647372</v>
      </c>
      <c r="W96" s="2">
        <f>IF(S96="OVER",$J96,$K96)</f>
        <v>139.78933844647372</v>
      </c>
      <c r="X96" s="12" t="s">
        <v>11</v>
      </c>
      <c r="Y96" s="9">
        <f t="shared" si="15"/>
        <v>6657.2574376058292</v>
      </c>
      <c r="Z96" s="9">
        <f t="shared" si="15"/>
        <v>6660.304535235402</v>
      </c>
      <c r="AA96" s="9">
        <f t="shared" si="15"/>
        <v>8442.5239114258293</v>
      </c>
      <c r="AB96" s="12" t="s">
        <v>11</v>
      </c>
    </row>
    <row r="97" spans="1:28" x14ac:dyDescent="0.3">
      <c r="A97" s="1">
        <v>44551</v>
      </c>
      <c r="B97" s="2">
        <v>82.49</v>
      </c>
      <c r="C97" s="2">
        <v>88.9</v>
      </c>
      <c r="D97" s="9">
        <f>B97-B96</f>
        <v>1.789999999999992</v>
      </c>
      <c r="E97" s="9">
        <f>C97-C96</f>
        <v>2.0400000000000063</v>
      </c>
      <c r="F97" s="3">
        <f>F$1/B97</f>
        <v>1212.268153715602</v>
      </c>
      <c r="G97" s="3">
        <f>F$1/C97</f>
        <v>1124.859392575928</v>
      </c>
      <c r="H97" s="2">
        <f>D97*F96</f>
        <v>2218.091697645591</v>
      </c>
      <c r="I97" s="2">
        <f>E97*G96</f>
        <v>2348.6069537186349</v>
      </c>
      <c r="J97" s="2">
        <f>I97-H97</f>
        <v>130.51525607304393</v>
      </c>
      <c r="K97" s="2">
        <f t="shared" si="12"/>
        <v>-130.51525607304393</v>
      </c>
      <c r="L97" s="14">
        <f>C97/B97</f>
        <v>1.0777063886531701</v>
      </c>
      <c r="M97" s="14">
        <f t="shared" si="13"/>
        <v>1.0758856633347136</v>
      </c>
      <c r="N97" s="14">
        <f t="shared" si="17"/>
        <v>1.0971592897458602</v>
      </c>
      <c r="O97" s="14">
        <f t="shared" si="11"/>
        <v>1.1382773014581065</v>
      </c>
      <c r="P97" s="15" t="s">
        <v>11</v>
      </c>
      <c r="Q97" s="4" t="str">
        <f t="shared" si="16"/>
        <v>OVER</v>
      </c>
      <c r="R97" s="4" t="str">
        <f t="shared" si="16"/>
        <v>UNDER</v>
      </c>
      <c r="S97" s="4" t="str">
        <f t="shared" si="14"/>
        <v>UNDER</v>
      </c>
      <c r="T97" s="12" t="s">
        <v>11</v>
      </c>
      <c r="U97" s="2">
        <f>IF(Q97="OVER",$J97,$K97)</f>
        <v>130.51525607304393</v>
      </c>
      <c r="V97" s="2">
        <f>IF(R97="OVER",$J97,$K97)</f>
        <v>-130.51525607304393</v>
      </c>
      <c r="W97" s="2">
        <f>IF(S97="OVER",$J97,$K97)</f>
        <v>-130.51525607304393</v>
      </c>
      <c r="X97" s="12" t="s">
        <v>11</v>
      </c>
      <c r="Y97" s="9">
        <f t="shared" si="15"/>
        <v>6787.7726936788731</v>
      </c>
      <c r="Z97" s="9">
        <f t="shared" si="15"/>
        <v>6529.7892791623581</v>
      </c>
      <c r="AA97" s="9">
        <f t="shared" si="15"/>
        <v>8312.0086553527854</v>
      </c>
      <c r="AB97" s="12" t="s">
        <v>11</v>
      </c>
    </row>
    <row r="98" spans="1:28" x14ac:dyDescent="0.3">
      <c r="A98" s="1">
        <v>44552</v>
      </c>
      <c r="B98" s="2">
        <v>82.79</v>
      </c>
      <c r="C98" s="2">
        <v>89.25</v>
      </c>
      <c r="D98" s="9">
        <f>B98-B97</f>
        <v>0.30000000000001137</v>
      </c>
      <c r="E98" s="9">
        <f>C98-C97</f>
        <v>0.34999999999999432</v>
      </c>
      <c r="F98" s="3">
        <f>F$1/B98</f>
        <v>1207.8753472641622</v>
      </c>
      <c r="G98" s="3">
        <f>F$1/C98</f>
        <v>1120.4481792717088</v>
      </c>
      <c r="H98" s="2">
        <f>D98*F97</f>
        <v>363.6804461146944</v>
      </c>
      <c r="I98" s="2">
        <f>E98*G97</f>
        <v>393.70078740156845</v>
      </c>
      <c r="J98" s="2">
        <f>I98-H98</f>
        <v>30.020341286874043</v>
      </c>
      <c r="K98" s="2">
        <f t="shared" si="12"/>
        <v>-30.020341286874043</v>
      </c>
      <c r="L98" s="14">
        <f>C98/B98</f>
        <v>1.0780287474332648</v>
      </c>
      <c r="M98" s="14">
        <f t="shared" si="13"/>
        <v>1.0754596423580118</v>
      </c>
      <c r="N98" s="14">
        <f t="shared" si="17"/>
        <v>1.0931527430388532</v>
      </c>
      <c r="O98" s="14">
        <f t="shared" si="11"/>
        <v>1.1364023793784535</v>
      </c>
      <c r="P98" s="15" t="s">
        <v>11</v>
      </c>
      <c r="Q98" s="4" t="str">
        <f t="shared" si="16"/>
        <v>OVER</v>
      </c>
      <c r="R98" s="4" t="str">
        <f t="shared" si="16"/>
        <v>UNDER</v>
      </c>
      <c r="S98" s="4" t="str">
        <f t="shared" si="14"/>
        <v>UNDER</v>
      </c>
      <c r="T98" s="12" t="s">
        <v>11</v>
      </c>
      <c r="U98" s="2">
        <f>IF(Q98="OVER",$J98,$K98)</f>
        <v>30.020341286874043</v>
      </c>
      <c r="V98" s="2">
        <f>IF(R98="OVER",$J98,$K98)</f>
        <v>-30.020341286874043</v>
      </c>
      <c r="W98" s="2">
        <f>IF(S98="OVER",$J98,$K98)</f>
        <v>-30.020341286874043</v>
      </c>
      <c r="X98" s="12" t="s">
        <v>11</v>
      </c>
      <c r="Y98" s="9">
        <f t="shared" si="15"/>
        <v>6817.7930349657472</v>
      </c>
      <c r="Z98" s="9">
        <f t="shared" si="15"/>
        <v>6499.768937875484</v>
      </c>
      <c r="AA98" s="9">
        <f t="shared" si="15"/>
        <v>8281.9883140659113</v>
      </c>
      <c r="AB98" s="12" t="s">
        <v>11</v>
      </c>
    </row>
    <row r="99" spans="1:28" x14ac:dyDescent="0.3">
      <c r="A99" s="1">
        <v>44553</v>
      </c>
      <c r="B99" s="2">
        <v>83.27</v>
      </c>
      <c r="C99" s="2">
        <v>89.65</v>
      </c>
      <c r="D99" s="9">
        <f>B99-B98</f>
        <v>0.47999999999998977</v>
      </c>
      <c r="E99" s="9">
        <f>C99-C98</f>
        <v>0.40000000000000568</v>
      </c>
      <c r="F99" s="3">
        <f>F$1/B99</f>
        <v>1200.9126936471719</v>
      </c>
      <c r="G99" s="3">
        <f>F$1/C99</f>
        <v>1115.4489682097044</v>
      </c>
      <c r="H99" s="2">
        <f>D99*F98</f>
        <v>579.78016668678549</v>
      </c>
      <c r="I99" s="2">
        <f>E99*G98</f>
        <v>448.1792717086899</v>
      </c>
      <c r="J99" s="2">
        <f>I99-H99</f>
        <v>-131.6008949780956</v>
      </c>
      <c r="K99" s="2">
        <f t="shared" si="12"/>
        <v>131.6008949780956</v>
      </c>
      <c r="L99" s="14">
        <f>C99/B99</f>
        <v>1.0766182298546896</v>
      </c>
      <c r="M99" s="14">
        <f t="shared" si="13"/>
        <v>1.0750672101520271</v>
      </c>
      <c r="N99" s="14">
        <f t="shared" si="17"/>
        <v>1.089003633623236</v>
      </c>
      <c r="O99" s="14">
        <f t="shared" si="11"/>
        <v>1.1344633253224579</v>
      </c>
      <c r="P99" s="15" t="s">
        <v>11</v>
      </c>
      <c r="Q99" s="4" t="str">
        <f t="shared" si="16"/>
        <v>OVER</v>
      </c>
      <c r="R99" s="4" t="str">
        <f t="shared" si="16"/>
        <v>UNDER</v>
      </c>
      <c r="S99" s="4" t="str">
        <f t="shared" si="14"/>
        <v>UNDER</v>
      </c>
      <c r="T99" s="12" t="s">
        <v>11</v>
      </c>
      <c r="U99" s="2">
        <f>IF(Q99="OVER",$J99,$K99)</f>
        <v>-131.6008949780956</v>
      </c>
      <c r="V99" s="2">
        <f>IF(R99="OVER",$J99,$K99)</f>
        <v>131.6008949780956</v>
      </c>
      <c r="W99" s="2">
        <f>IF(S99="OVER",$J99,$K99)</f>
        <v>131.6008949780956</v>
      </c>
      <c r="X99" s="12" t="s">
        <v>11</v>
      </c>
      <c r="Y99" s="9">
        <f t="shared" si="15"/>
        <v>6686.1921399876519</v>
      </c>
      <c r="Z99" s="9">
        <f t="shared" si="15"/>
        <v>6631.3698328535793</v>
      </c>
      <c r="AA99" s="9">
        <f t="shared" si="15"/>
        <v>8413.5892090440066</v>
      </c>
      <c r="AB99" s="12" t="s">
        <v>11</v>
      </c>
    </row>
    <row r="100" spans="1:28" x14ac:dyDescent="0.3">
      <c r="A100" s="1">
        <v>44557</v>
      </c>
      <c r="B100" s="2">
        <v>83.29</v>
      </c>
      <c r="C100" s="2">
        <v>89.84</v>
      </c>
      <c r="D100" s="9">
        <f>B100-B99</f>
        <v>2.0000000000010232E-2</v>
      </c>
      <c r="E100" s="9">
        <f>C100-C99</f>
        <v>0.18999999999999773</v>
      </c>
      <c r="F100" s="3">
        <f>F$1/B100</f>
        <v>1200.6243246488173</v>
      </c>
      <c r="G100" s="3">
        <f>F$1/C100</f>
        <v>1113.0899376669634</v>
      </c>
      <c r="H100" s="2">
        <f>D100*F99</f>
        <v>24.018253872955725</v>
      </c>
      <c r="I100" s="2">
        <f>E100*G99</f>
        <v>211.93530395984129</v>
      </c>
      <c r="J100" s="2">
        <f>I100-H100</f>
        <v>187.91705008688558</v>
      </c>
      <c r="K100" s="2">
        <f t="shared" si="12"/>
        <v>-187.91705008688558</v>
      </c>
      <c r="L100" s="14">
        <f>C100/B100</f>
        <v>1.0786408932644975</v>
      </c>
      <c r="M100" s="14">
        <f t="shared" si="13"/>
        <v>1.0753331720027834</v>
      </c>
      <c r="N100" s="14">
        <f t="shared" si="17"/>
        <v>1.0855601656912648</v>
      </c>
      <c r="O100" s="14">
        <f t="shared" si="11"/>
        <v>1.1326305704323296</v>
      </c>
      <c r="P100" s="15" t="s">
        <v>11</v>
      </c>
      <c r="Q100" s="4" t="str">
        <f t="shared" si="16"/>
        <v>OVER</v>
      </c>
      <c r="R100" s="4" t="str">
        <f t="shared" si="16"/>
        <v>UNDER</v>
      </c>
      <c r="S100" s="4" t="str">
        <f t="shared" si="14"/>
        <v>UNDER</v>
      </c>
      <c r="T100" s="12" t="s">
        <v>11</v>
      </c>
      <c r="U100" s="2">
        <f>IF(Q100="OVER",$J100,$K100)</f>
        <v>187.91705008688558</v>
      </c>
      <c r="V100" s="2">
        <f>IF(R100="OVER",$J100,$K100)</f>
        <v>-187.91705008688558</v>
      </c>
      <c r="W100" s="2">
        <f>IF(S100="OVER",$J100,$K100)</f>
        <v>-187.91705008688558</v>
      </c>
      <c r="X100" s="12" t="s">
        <v>11</v>
      </c>
      <c r="Y100" s="9">
        <f t="shared" si="15"/>
        <v>6874.1091900745378</v>
      </c>
      <c r="Z100" s="9">
        <f t="shared" si="15"/>
        <v>6443.4527827666934</v>
      </c>
      <c r="AA100" s="9">
        <f t="shared" si="15"/>
        <v>8225.6721589571207</v>
      </c>
      <c r="AB100" s="12" t="s">
        <v>11</v>
      </c>
    </row>
    <row r="101" spans="1:28" x14ac:dyDescent="0.3">
      <c r="A101" s="1">
        <v>44558</v>
      </c>
      <c r="B101" s="2">
        <v>82.8</v>
      </c>
      <c r="C101" s="2">
        <v>89.21</v>
      </c>
      <c r="D101" s="9">
        <f>B101-B100</f>
        <v>-0.49000000000000909</v>
      </c>
      <c r="E101" s="9">
        <f>C101-C100</f>
        <v>-0.63000000000000966</v>
      </c>
      <c r="F101" s="3">
        <f>F$1/B101</f>
        <v>1207.7294685990339</v>
      </c>
      <c r="G101" s="3">
        <f>F$1/C101</f>
        <v>1120.950566080036</v>
      </c>
      <c r="H101" s="2">
        <f>D101*F100</f>
        <v>-588.30591907793143</v>
      </c>
      <c r="I101" s="2">
        <f>E101*G100</f>
        <v>-701.24666073019762</v>
      </c>
      <c r="J101" s="2">
        <f>I101-H101</f>
        <v>-112.94074165226618</v>
      </c>
      <c r="K101" s="2">
        <f t="shared" si="12"/>
        <v>112.94074165226618</v>
      </c>
      <c r="L101" s="14">
        <f>C101/B101</f>
        <v>1.077415458937198</v>
      </c>
      <c r="M101" s="14">
        <f t="shared" si="13"/>
        <v>1.0755398905191562</v>
      </c>
      <c r="N101" s="14">
        <f t="shared" si="17"/>
        <v>1.0816781823632007</v>
      </c>
      <c r="O101" s="14">
        <f t="shared" si="11"/>
        <v>1.1307688257922255</v>
      </c>
      <c r="P101" s="15" t="s">
        <v>11</v>
      </c>
      <c r="Q101" s="4" t="str">
        <f t="shared" si="16"/>
        <v>OVER</v>
      </c>
      <c r="R101" s="4" t="str">
        <f t="shared" si="16"/>
        <v>UNDER</v>
      </c>
      <c r="S101" s="4" t="str">
        <f t="shared" si="14"/>
        <v>UNDER</v>
      </c>
      <c r="T101" s="12" t="s">
        <v>11</v>
      </c>
      <c r="U101" s="2">
        <f>IF(Q101="OVER",$J101,$K101)</f>
        <v>-112.94074165226618</v>
      </c>
      <c r="V101" s="2">
        <f>IF(R101="OVER",$J101,$K101)</f>
        <v>112.94074165226618</v>
      </c>
      <c r="W101" s="2">
        <f>IF(S101="OVER",$J101,$K101)</f>
        <v>112.94074165226618</v>
      </c>
      <c r="X101" s="12" t="s">
        <v>11</v>
      </c>
      <c r="Y101" s="9">
        <f t="shared" si="15"/>
        <v>6761.1684484222715</v>
      </c>
      <c r="Z101" s="9">
        <f t="shared" si="15"/>
        <v>6556.3935244189597</v>
      </c>
      <c r="AA101" s="9">
        <f t="shared" si="15"/>
        <v>8338.612900609387</v>
      </c>
      <c r="AB101" s="12" t="s">
        <v>11</v>
      </c>
    </row>
    <row r="102" spans="1:28" x14ac:dyDescent="0.3">
      <c r="A102" s="1">
        <v>44559</v>
      </c>
      <c r="B102" s="2">
        <v>82.74</v>
      </c>
      <c r="C102" s="2">
        <v>88.97</v>
      </c>
      <c r="D102" s="9">
        <f>B102-B101</f>
        <v>-6.0000000000002274E-2</v>
      </c>
      <c r="E102" s="9">
        <f>C102-C101</f>
        <v>-0.23999999999999488</v>
      </c>
      <c r="F102" s="3">
        <f>F$1/B102</f>
        <v>1208.6052695189751</v>
      </c>
      <c r="G102" s="3">
        <f>F$1/C102</f>
        <v>1123.9743733842868</v>
      </c>
      <c r="H102" s="2">
        <f>D102*F101</f>
        <v>-72.463768115944774</v>
      </c>
      <c r="I102" s="2">
        <f>E102*G101</f>
        <v>-269.02813585920291</v>
      </c>
      <c r="J102" s="2">
        <f>I102-H102</f>
        <v>-196.56436774325812</v>
      </c>
      <c r="K102" s="2">
        <f t="shared" si="12"/>
        <v>196.56436774325812</v>
      </c>
      <c r="L102" s="14">
        <f>C102/B102</f>
        <v>1.0752961082910322</v>
      </c>
      <c r="M102" s="14">
        <f t="shared" si="13"/>
        <v>1.0756168440483207</v>
      </c>
      <c r="N102" s="14">
        <f t="shared" si="17"/>
        <v>1.0775692534120584</v>
      </c>
      <c r="O102" s="14">
        <f t="shared" si="11"/>
        <v>1.1288705898588915</v>
      </c>
      <c r="P102" s="15" t="s">
        <v>11</v>
      </c>
      <c r="Q102" s="4" t="str">
        <f t="shared" si="16"/>
        <v>OVER</v>
      </c>
      <c r="R102" s="4" t="str">
        <f t="shared" si="16"/>
        <v>UNDER</v>
      </c>
      <c r="S102" s="4" t="str">
        <f t="shared" si="14"/>
        <v>UNDER</v>
      </c>
      <c r="T102" s="12" t="s">
        <v>11</v>
      </c>
      <c r="U102" s="2">
        <f>IF(Q102="OVER",$J102,$K102)</f>
        <v>-196.56436774325812</v>
      </c>
      <c r="V102" s="2">
        <f>IF(R102="OVER",$J102,$K102)</f>
        <v>196.56436774325812</v>
      </c>
      <c r="W102" s="2">
        <f>IF(S102="OVER",$J102,$K102)</f>
        <v>196.56436774325812</v>
      </c>
      <c r="X102" s="12" t="s">
        <v>11</v>
      </c>
      <c r="Y102" s="9">
        <f t="shared" si="15"/>
        <v>6564.6040806790134</v>
      </c>
      <c r="Z102" s="9">
        <f t="shared" si="15"/>
        <v>6752.9578921622178</v>
      </c>
      <c r="AA102" s="9">
        <f t="shared" si="15"/>
        <v>8535.1772683526451</v>
      </c>
      <c r="AB102" s="12" t="s">
        <v>11</v>
      </c>
    </row>
    <row r="103" spans="1:28" x14ac:dyDescent="0.3">
      <c r="A103" s="1">
        <v>44560</v>
      </c>
      <c r="B103" s="2">
        <v>83.02</v>
      </c>
      <c r="C103" s="2">
        <v>89.62</v>
      </c>
      <c r="D103" s="9">
        <f>B103-B102</f>
        <v>0.28000000000000114</v>
      </c>
      <c r="E103" s="9">
        <f>C103-C102</f>
        <v>0.65000000000000568</v>
      </c>
      <c r="F103" s="3">
        <f>F$1/B103</f>
        <v>1204.5290291496026</v>
      </c>
      <c r="G103" s="3">
        <f>F$1/C103</f>
        <v>1115.822361080116</v>
      </c>
      <c r="H103" s="2">
        <f>D103*F102</f>
        <v>338.40947546531442</v>
      </c>
      <c r="I103" s="2">
        <f>E103*G102</f>
        <v>730.58334269979275</v>
      </c>
      <c r="J103" s="2">
        <f>I103-H103</f>
        <v>392.17386723447834</v>
      </c>
      <c r="K103" s="2">
        <f t="shared" si="12"/>
        <v>-392.17386723447834</v>
      </c>
      <c r="L103" s="14">
        <f>C103/B103</f>
        <v>1.0794989159238739</v>
      </c>
      <c r="M103" s="14">
        <f t="shared" si="13"/>
        <v>1.0764143696719315</v>
      </c>
      <c r="N103" s="14">
        <f t="shared" si="17"/>
        <v>1.0773227079801821</v>
      </c>
      <c r="O103" s="14">
        <f t="shared" si="11"/>
        <v>1.1270521495198036</v>
      </c>
      <c r="P103" s="15" t="s">
        <v>11</v>
      </c>
      <c r="Q103" s="4" t="str">
        <f t="shared" si="16"/>
        <v>UNDER</v>
      </c>
      <c r="R103" s="4" t="str">
        <f t="shared" si="16"/>
        <v>UNDER</v>
      </c>
      <c r="S103" s="4" t="str">
        <f t="shared" si="14"/>
        <v>UNDER</v>
      </c>
      <c r="T103" s="12" t="s">
        <v>11</v>
      </c>
      <c r="U103" s="2">
        <f>IF(Q103="OVER",$J103,$K103)</f>
        <v>-392.17386723447834</v>
      </c>
      <c r="V103" s="2">
        <f>IF(R103="OVER",$J103,$K103)</f>
        <v>-392.17386723447834</v>
      </c>
      <c r="W103" s="2">
        <f>IF(S103="OVER",$J103,$K103)</f>
        <v>-392.17386723447834</v>
      </c>
      <c r="X103" s="12" t="s">
        <v>11</v>
      </c>
      <c r="Y103" s="9">
        <f t="shared" si="15"/>
        <v>6172.4302134445352</v>
      </c>
      <c r="Z103" s="9">
        <f t="shared" si="15"/>
        <v>6360.7840249277397</v>
      </c>
      <c r="AA103" s="9">
        <f t="shared" si="15"/>
        <v>8143.0034011181669</v>
      </c>
      <c r="AB103" s="12" t="s">
        <v>11</v>
      </c>
    </row>
    <row r="104" spans="1:28" x14ac:dyDescent="0.3">
      <c r="A104" s="1">
        <v>44561</v>
      </c>
      <c r="B104" s="2">
        <v>82.96</v>
      </c>
      <c r="C104" s="2">
        <v>89.18</v>
      </c>
      <c r="D104" s="9">
        <f>B104-B103</f>
        <v>-6.0000000000002274E-2</v>
      </c>
      <c r="E104" s="9">
        <f>C104-C103</f>
        <v>-0.43999999999999773</v>
      </c>
      <c r="F104" s="3">
        <f>F$1/B104</f>
        <v>1205.4001928640309</v>
      </c>
      <c r="G104" s="3">
        <f>F$1/C104</f>
        <v>1121.3276519398967</v>
      </c>
      <c r="H104" s="2">
        <f>D104*F103</f>
        <v>-72.271741748978897</v>
      </c>
      <c r="I104" s="2">
        <f>E104*G103</f>
        <v>-490.96183887524853</v>
      </c>
      <c r="J104" s="2">
        <f>I104-H104</f>
        <v>-418.69009712626962</v>
      </c>
      <c r="K104" s="2">
        <f t="shared" si="12"/>
        <v>418.69009712626962</v>
      </c>
      <c r="L104" s="14">
        <f>C104/B104</f>
        <v>1.074975891996143</v>
      </c>
      <c r="M104" s="14">
        <f t="shared" si="13"/>
        <v>1.07723629314569</v>
      </c>
      <c r="N104" s="14">
        <f t="shared" si="17"/>
        <v>1.0769985028217102</v>
      </c>
      <c r="O104" s="14">
        <f t="shared" si="11"/>
        <v>1.1251892169910365</v>
      </c>
      <c r="P104" s="15" t="s">
        <v>11</v>
      </c>
      <c r="Q104" s="4" t="str">
        <f t="shared" si="16"/>
        <v>OVER</v>
      </c>
      <c r="R104" s="4" t="str">
        <f t="shared" si="16"/>
        <v>OVER</v>
      </c>
      <c r="S104" s="4" t="str">
        <f t="shared" si="14"/>
        <v>UNDER</v>
      </c>
      <c r="T104" s="12" t="s">
        <v>11</v>
      </c>
      <c r="U104" s="2">
        <f>IF(Q104="OVER",$J104,$K104)</f>
        <v>-418.69009712626962</v>
      </c>
      <c r="V104" s="2">
        <f>IF(R104="OVER",$J104,$K104)</f>
        <v>-418.69009712626962</v>
      </c>
      <c r="W104" s="2">
        <f>IF(S104="OVER",$J104,$K104)</f>
        <v>418.69009712626962</v>
      </c>
      <c r="X104" s="12" t="s">
        <v>11</v>
      </c>
      <c r="Y104" s="9">
        <f t="shared" si="15"/>
        <v>5753.7401163182658</v>
      </c>
      <c r="Z104" s="9">
        <f t="shared" si="15"/>
        <v>5942.0939278014703</v>
      </c>
      <c r="AA104" s="9">
        <f t="shared" si="15"/>
        <v>8561.6934982444363</v>
      </c>
      <c r="AB104" s="12" t="s">
        <v>11</v>
      </c>
    </row>
    <row r="105" spans="1:28" x14ac:dyDescent="0.3">
      <c r="A105" s="1">
        <v>44564</v>
      </c>
      <c r="B105" s="2">
        <v>82.66</v>
      </c>
      <c r="C105" s="2">
        <v>89.29</v>
      </c>
      <c r="D105" s="9">
        <f>B105-B104</f>
        <v>-0.29999999999999716</v>
      </c>
      <c r="E105" s="9">
        <f>C105-C104</f>
        <v>0.10999999999999943</v>
      </c>
      <c r="F105" s="3">
        <f>F$1/B105</f>
        <v>1209.7749818533753</v>
      </c>
      <c r="G105" s="3">
        <f>F$1/C105</f>
        <v>1119.9462425803561</v>
      </c>
      <c r="H105" s="2">
        <f>D105*F104</f>
        <v>-361.62005785920587</v>
      </c>
      <c r="I105" s="2">
        <f>E105*G104</f>
        <v>123.34604171338799</v>
      </c>
      <c r="J105" s="2">
        <f>I105-H105</f>
        <v>484.96609957259386</v>
      </c>
      <c r="K105" s="2">
        <f t="shared" si="12"/>
        <v>-484.96609957259386</v>
      </c>
      <c r="L105" s="14">
        <f>C105/B105</f>
        <v>1.0802080812968788</v>
      </c>
      <c r="M105" s="14">
        <f t="shared" si="13"/>
        <v>1.0774720809826708</v>
      </c>
      <c r="N105" s="14">
        <f t="shared" si="17"/>
        <v>1.0770463885132076</v>
      </c>
      <c r="O105" s="14">
        <f t="shared" si="11"/>
        <v>1.1234412213998972</v>
      </c>
      <c r="P105" s="15" t="s">
        <v>11</v>
      </c>
      <c r="Q105" s="4" t="str">
        <f t="shared" si="16"/>
        <v>UNDER</v>
      </c>
      <c r="R105" s="4" t="str">
        <f t="shared" si="16"/>
        <v>UNDER</v>
      </c>
      <c r="S105" s="4" t="str">
        <f t="shared" si="14"/>
        <v>UNDER</v>
      </c>
      <c r="T105" s="12" t="s">
        <v>11</v>
      </c>
      <c r="U105" s="2">
        <f>IF(Q105="OVER",$J105,$K105)</f>
        <v>-484.96609957259386</v>
      </c>
      <c r="V105" s="2">
        <f>IF(R105="OVER",$J105,$K105)</f>
        <v>-484.96609957259386</v>
      </c>
      <c r="W105" s="2">
        <f>IF(S105="OVER",$J105,$K105)</f>
        <v>-484.96609957259386</v>
      </c>
      <c r="X105" s="12" t="s">
        <v>11</v>
      </c>
      <c r="Y105" s="9">
        <f t="shared" si="15"/>
        <v>5268.7740167456723</v>
      </c>
      <c r="Z105" s="9">
        <f t="shared" si="15"/>
        <v>5457.1278282288768</v>
      </c>
      <c r="AA105" s="9">
        <f t="shared" si="15"/>
        <v>8076.7273986718428</v>
      </c>
      <c r="AB105" s="12" t="s">
        <v>11</v>
      </c>
    </row>
    <row r="106" spans="1:28" x14ac:dyDescent="0.3">
      <c r="A106" s="1">
        <v>44565</v>
      </c>
      <c r="B106" s="2">
        <v>81.93</v>
      </c>
      <c r="C106" s="2">
        <v>88.1</v>
      </c>
      <c r="D106" s="9">
        <f>B106-B105</f>
        <v>-0.72999999999998977</v>
      </c>
      <c r="E106" s="9">
        <f>C106-C105</f>
        <v>-1.1900000000000119</v>
      </c>
      <c r="F106" s="3">
        <f>F$1/B106</f>
        <v>1220.5541315757353</v>
      </c>
      <c r="G106" s="3">
        <f>F$1/C106</f>
        <v>1135.0737797956867</v>
      </c>
      <c r="H106" s="2">
        <f>D106*F105</f>
        <v>-883.13573675295152</v>
      </c>
      <c r="I106" s="2">
        <f>E106*G105</f>
        <v>-1332.7360286706371</v>
      </c>
      <c r="J106" s="2">
        <f>I106-H106</f>
        <v>-449.60029191768558</v>
      </c>
      <c r="K106" s="2">
        <f t="shared" si="12"/>
        <v>449.60029191768558</v>
      </c>
      <c r="L106" s="14">
        <f>C106/B106</f>
        <v>1.0753081899182226</v>
      </c>
      <c r="M106" s="14">
        <f t="shared" si="13"/>
        <v>1.077369690556897</v>
      </c>
      <c r="N106" s="14">
        <f t="shared" si="17"/>
        <v>1.0767839693749188</v>
      </c>
      <c r="O106" s="14">
        <f t="shared" si="11"/>
        <v>1.1216368205352378</v>
      </c>
      <c r="P106" s="15" t="s">
        <v>11</v>
      </c>
      <c r="Q106" s="4" t="str">
        <f t="shared" si="16"/>
        <v>OVER</v>
      </c>
      <c r="R106" s="4" t="str">
        <f t="shared" si="16"/>
        <v>OVER</v>
      </c>
      <c r="S106" s="4" t="str">
        <f t="shared" si="14"/>
        <v>UNDER</v>
      </c>
      <c r="T106" s="12" t="s">
        <v>11</v>
      </c>
      <c r="U106" s="2">
        <f>IF(Q106="OVER",$J106,$K106)</f>
        <v>-449.60029191768558</v>
      </c>
      <c r="V106" s="2">
        <f>IF(R106="OVER",$J106,$K106)</f>
        <v>-449.60029191768558</v>
      </c>
      <c r="W106" s="2">
        <f>IF(S106="OVER",$J106,$K106)</f>
        <v>449.60029191768558</v>
      </c>
      <c r="X106" s="12" t="s">
        <v>11</v>
      </c>
      <c r="Y106" s="9">
        <f t="shared" si="15"/>
        <v>4819.1737248279869</v>
      </c>
      <c r="Z106" s="9">
        <f t="shared" si="15"/>
        <v>5007.5275363111914</v>
      </c>
      <c r="AA106" s="9">
        <f t="shared" si="15"/>
        <v>8526.3276905895291</v>
      </c>
      <c r="AB106" s="12" t="s">
        <v>11</v>
      </c>
    </row>
    <row r="107" spans="1:28" x14ac:dyDescent="0.3">
      <c r="A107" s="1">
        <v>44566</v>
      </c>
      <c r="B107" s="2">
        <v>80.3</v>
      </c>
      <c r="C107" s="2">
        <v>86.6</v>
      </c>
      <c r="D107" s="9">
        <f>B107-B106</f>
        <v>-1.6300000000000097</v>
      </c>
      <c r="E107" s="9">
        <f>C107-C106</f>
        <v>-1.5</v>
      </c>
      <c r="F107" s="3">
        <f>F$1/B107</f>
        <v>1245.3300124533002</v>
      </c>
      <c r="G107" s="3">
        <f>F$1/C107</f>
        <v>1154.7344110854503</v>
      </c>
      <c r="H107" s="2">
        <f>D107*F106</f>
        <v>-1989.5032344684603</v>
      </c>
      <c r="I107" s="2">
        <f>E107*G106</f>
        <v>-1702.6106696935301</v>
      </c>
      <c r="J107" s="2">
        <f>I107-H107</f>
        <v>286.89256477493018</v>
      </c>
      <c r="K107" s="2">
        <f t="shared" si="12"/>
        <v>-286.89256477493018</v>
      </c>
      <c r="L107" s="14">
        <f>C107/B107</f>
        <v>1.0784557907845578</v>
      </c>
      <c r="M107" s="14">
        <f t="shared" si="13"/>
        <v>1.0774446307700358</v>
      </c>
      <c r="N107" s="14">
        <f t="shared" si="17"/>
        <v>1.0766651470523747</v>
      </c>
      <c r="O107" s="14">
        <f t="shared" si="11"/>
        <v>1.1198373717413146</v>
      </c>
      <c r="P107" s="15" t="s">
        <v>11</v>
      </c>
      <c r="Q107" s="4" t="str">
        <f t="shared" si="16"/>
        <v>UNDER</v>
      </c>
      <c r="R107" s="4" t="str">
        <f t="shared" si="16"/>
        <v>UNDER</v>
      </c>
      <c r="S107" s="4" t="str">
        <f t="shared" si="14"/>
        <v>UNDER</v>
      </c>
      <c r="T107" s="12" t="s">
        <v>11</v>
      </c>
      <c r="U107" s="2">
        <f>IF(Q107="OVER",$J107,$K107)</f>
        <v>-286.89256477493018</v>
      </c>
      <c r="V107" s="2">
        <f>IF(R107="OVER",$J107,$K107)</f>
        <v>-286.89256477493018</v>
      </c>
      <c r="W107" s="2">
        <f>IF(S107="OVER",$J107,$K107)</f>
        <v>-286.89256477493018</v>
      </c>
      <c r="X107" s="12" t="s">
        <v>11</v>
      </c>
      <c r="Y107" s="9">
        <f t="shared" si="15"/>
        <v>4532.2811600530567</v>
      </c>
      <c r="Z107" s="9">
        <f t="shared" si="15"/>
        <v>4720.6349715362612</v>
      </c>
      <c r="AA107" s="9">
        <f t="shared" si="15"/>
        <v>8239.435125814598</v>
      </c>
      <c r="AB107" s="12" t="s">
        <v>11</v>
      </c>
    </row>
    <row r="108" spans="1:28" x14ac:dyDescent="0.3">
      <c r="A108" s="1">
        <v>44567</v>
      </c>
      <c r="B108" s="2">
        <v>80.33</v>
      </c>
      <c r="C108" s="2">
        <v>86.23</v>
      </c>
      <c r="D108" s="9">
        <f>B108-B107</f>
        <v>3.0000000000001137E-2</v>
      </c>
      <c r="E108" s="9">
        <f>C108-C107</f>
        <v>-0.36999999999999034</v>
      </c>
      <c r="F108" s="3">
        <f>F$1/B108</f>
        <v>1244.8649321548612</v>
      </c>
      <c r="G108" s="3">
        <f>F$1/C108</f>
        <v>1159.6892032935173</v>
      </c>
      <c r="H108" s="2">
        <f>D108*F107</f>
        <v>37.359900373600425</v>
      </c>
      <c r="I108" s="2">
        <f>E108*G107</f>
        <v>-427.25173210160546</v>
      </c>
      <c r="J108" s="2">
        <f>I108-H108</f>
        <v>-464.61163247520585</v>
      </c>
      <c r="K108" s="2">
        <f t="shared" si="12"/>
        <v>464.61163247520585</v>
      </c>
      <c r="L108" s="14">
        <f>C108/B108</f>
        <v>1.0734470309971369</v>
      </c>
      <c r="M108" s="14">
        <f t="shared" si="13"/>
        <v>1.0769864591264231</v>
      </c>
      <c r="N108" s="14">
        <f t="shared" si="17"/>
        <v>1.0762230507422175</v>
      </c>
      <c r="O108" s="14">
        <f t="shared" si="11"/>
        <v>1.1180105858655305</v>
      </c>
      <c r="P108" s="15" t="s">
        <v>11</v>
      </c>
      <c r="Q108" s="4" t="str">
        <f t="shared" si="16"/>
        <v>OVER</v>
      </c>
      <c r="R108" s="4" t="str">
        <f t="shared" si="16"/>
        <v>OVER</v>
      </c>
      <c r="S108" s="4" t="str">
        <f t="shared" si="14"/>
        <v>UNDER</v>
      </c>
      <c r="T108" s="12" t="s">
        <v>11</v>
      </c>
      <c r="U108" s="2">
        <f>IF(Q108="OVER",$J108,$K108)</f>
        <v>-464.61163247520585</v>
      </c>
      <c r="V108" s="2">
        <f>IF(R108="OVER",$J108,$K108)</f>
        <v>-464.61163247520585</v>
      </c>
      <c r="W108" s="2">
        <f>IF(S108="OVER",$J108,$K108)</f>
        <v>464.61163247520585</v>
      </c>
      <c r="X108" s="12" t="s">
        <v>11</v>
      </c>
      <c r="Y108" s="9">
        <f t="shared" si="15"/>
        <v>4067.6695275778511</v>
      </c>
      <c r="Z108" s="9">
        <f t="shared" si="15"/>
        <v>4256.0233390610556</v>
      </c>
      <c r="AA108" s="9">
        <f t="shared" si="15"/>
        <v>8704.0467582898036</v>
      </c>
      <c r="AB108" s="12" t="s">
        <v>11</v>
      </c>
    </row>
    <row r="109" spans="1:28" x14ac:dyDescent="0.3">
      <c r="A109" s="1">
        <v>44568</v>
      </c>
      <c r="B109" s="2">
        <v>79.7</v>
      </c>
      <c r="C109" s="2">
        <v>85.88</v>
      </c>
      <c r="D109" s="9">
        <f>B109-B108</f>
        <v>-0.62999999999999545</v>
      </c>
      <c r="E109" s="9">
        <f>C109-C108</f>
        <v>-0.35000000000000853</v>
      </c>
      <c r="F109" s="3">
        <f>F$1/B109</f>
        <v>1254.7051442910915</v>
      </c>
      <c r="G109" s="3">
        <f>F$1/C109</f>
        <v>1164.4154634373544</v>
      </c>
      <c r="H109" s="2">
        <f>D109*F108</f>
        <v>-784.26490725755696</v>
      </c>
      <c r="I109" s="2">
        <f>E109*G108</f>
        <v>-405.89122115274091</v>
      </c>
      <c r="J109" s="2">
        <f>I109-H109</f>
        <v>378.37368610481604</v>
      </c>
      <c r="K109" s="2">
        <f t="shared" si="12"/>
        <v>-378.37368610481604</v>
      </c>
      <c r="L109" s="14">
        <f>C109/B109</f>
        <v>1.0775407779171893</v>
      </c>
      <c r="M109" s="14">
        <f t="shared" si="13"/>
        <v>1.077078713932673</v>
      </c>
      <c r="N109" s="14">
        <f t="shared" si="17"/>
        <v>1.0760729620423499</v>
      </c>
      <c r="O109" s="14">
        <f t="shared" si="11"/>
        <v>1.1162679331626049</v>
      </c>
      <c r="P109" s="15" t="s">
        <v>11</v>
      </c>
      <c r="Q109" s="4" t="str">
        <f t="shared" si="16"/>
        <v>UNDER</v>
      </c>
      <c r="R109" s="4" t="str">
        <f t="shared" si="16"/>
        <v>UNDER</v>
      </c>
      <c r="S109" s="4" t="str">
        <f t="shared" si="14"/>
        <v>UNDER</v>
      </c>
      <c r="T109" s="12" t="s">
        <v>11</v>
      </c>
      <c r="U109" s="2">
        <f>IF(Q109="OVER",$J109,$K109)</f>
        <v>-378.37368610481604</v>
      </c>
      <c r="V109" s="2">
        <f>IF(R109="OVER",$J109,$K109)</f>
        <v>-378.37368610481604</v>
      </c>
      <c r="W109" s="2">
        <f>IF(S109="OVER",$J109,$K109)</f>
        <v>-378.37368610481604</v>
      </c>
      <c r="X109" s="12" t="s">
        <v>11</v>
      </c>
      <c r="Y109" s="9">
        <f t="shared" si="15"/>
        <v>3689.2958414730351</v>
      </c>
      <c r="Z109" s="9">
        <f t="shared" si="15"/>
        <v>3877.6496529562396</v>
      </c>
      <c r="AA109" s="9">
        <f t="shared" si="15"/>
        <v>8325.6730721849872</v>
      </c>
      <c r="AB109" s="12" t="s">
        <v>11</v>
      </c>
    </row>
    <row r="110" spans="1:28" x14ac:dyDescent="0.3">
      <c r="A110" s="1">
        <v>44571</v>
      </c>
      <c r="B110" s="2">
        <v>79.98</v>
      </c>
      <c r="C110" s="2">
        <v>85.91</v>
      </c>
      <c r="D110" s="9">
        <f>B110-B109</f>
        <v>0.28000000000000114</v>
      </c>
      <c r="E110" s="9">
        <f>C110-C109</f>
        <v>3.0000000000001137E-2</v>
      </c>
      <c r="F110" s="3">
        <f>F$1/B110</f>
        <v>1250.312578144536</v>
      </c>
      <c r="G110" s="3">
        <f>F$1/C110</f>
        <v>1164.0088464672333</v>
      </c>
      <c r="H110" s="2">
        <f>D110*F109</f>
        <v>351.31744040150704</v>
      </c>
      <c r="I110" s="2">
        <f>E110*G109</f>
        <v>34.932463903121956</v>
      </c>
      <c r="J110" s="2">
        <f>I110-H110</f>
        <v>-316.38497649838507</v>
      </c>
      <c r="K110" s="2">
        <f t="shared" si="12"/>
        <v>316.38497649838507</v>
      </c>
      <c r="L110" s="14">
        <f>C110/B110</f>
        <v>1.0741435358839708</v>
      </c>
      <c r="M110" s="14">
        <f t="shared" si="13"/>
        <v>1.0766289781946203</v>
      </c>
      <c r="N110" s="14">
        <f t="shared" si="17"/>
        <v>1.0759810750987016</v>
      </c>
      <c r="O110" s="14">
        <f t="shared" si="11"/>
        <v>1.1144572749368065</v>
      </c>
      <c r="P110" s="15" t="s">
        <v>11</v>
      </c>
      <c r="Q110" s="4" t="str">
        <f t="shared" si="16"/>
        <v>OVER</v>
      </c>
      <c r="R110" s="4" t="str">
        <f t="shared" si="16"/>
        <v>OVER</v>
      </c>
      <c r="S110" s="4" t="str">
        <f t="shared" si="14"/>
        <v>UNDER</v>
      </c>
      <c r="T110" s="12" t="s">
        <v>11</v>
      </c>
      <c r="U110" s="2">
        <f>IF(Q110="OVER",$J110,$K110)</f>
        <v>-316.38497649838507</v>
      </c>
      <c r="V110" s="2">
        <f>IF(R110="OVER",$J110,$K110)</f>
        <v>-316.38497649838507</v>
      </c>
      <c r="W110" s="2">
        <f>IF(S110="OVER",$J110,$K110)</f>
        <v>316.38497649838507</v>
      </c>
      <c r="X110" s="12" t="s">
        <v>11</v>
      </c>
      <c r="Y110" s="9">
        <f t="shared" si="15"/>
        <v>3372.9108649746499</v>
      </c>
      <c r="Z110" s="9">
        <f t="shared" si="15"/>
        <v>3561.2646764578544</v>
      </c>
      <c r="AA110" s="9">
        <f t="shared" si="15"/>
        <v>8642.0580486833715</v>
      </c>
      <c r="AB110" s="12" t="s">
        <v>11</v>
      </c>
    </row>
    <row r="111" spans="1:28" x14ac:dyDescent="0.3">
      <c r="A111" s="1">
        <v>44572</v>
      </c>
      <c r="B111" s="2">
        <v>80.680000000000007</v>
      </c>
      <c r="C111" s="2">
        <v>86.97</v>
      </c>
      <c r="D111" s="9">
        <f>B111-B110</f>
        <v>0.70000000000000284</v>
      </c>
      <c r="E111" s="9">
        <f>C111-C110</f>
        <v>1.0600000000000023</v>
      </c>
      <c r="F111" s="3">
        <f>F$1/B111</f>
        <v>1239.4645513138323</v>
      </c>
      <c r="G111" s="3">
        <f>F$1/C111</f>
        <v>1149.8217776244683</v>
      </c>
      <c r="H111" s="2">
        <f>D111*F110</f>
        <v>875.21880470117878</v>
      </c>
      <c r="I111" s="2">
        <f>E111*G110</f>
        <v>1233.8493772552699</v>
      </c>
      <c r="J111" s="2">
        <f>I111-H111</f>
        <v>358.63057255409115</v>
      </c>
      <c r="K111" s="2">
        <f t="shared" si="12"/>
        <v>-358.63057255409115</v>
      </c>
      <c r="L111" s="14">
        <f>C111/B111</f>
        <v>1.0779623202776401</v>
      </c>
      <c r="M111" s="14">
        <f t="shared" si="13"/>
        <v>1.0766836643286646</v>
      </c>
      <c r="N111" s="14">
        <f t="shared" si="17"/>
        <v>1.0761117774239104</v>
      </c>
      <c r="O111" s="14">
        <f t="shared" si="11"/>
        <v>1.1127339571232187</v>
      </c>
      <c r="P111" s="15" t="s">
        <v>11</v>
      </c>
      <c r="Q111" s="4" t="str">
        <f t="shared" si="16"/>
        <v>UNDER</v>
      </c>
      <c r="R111" s="4" t="str">
        <f t="shared" si="16"/>
        <v>UNDER</v>
      </c>
      <c r="S111" s="4" t="str">
        <f t="shared" si="14"/>
        <v>UNDER</v>
      </c>
      <c r="T111" s="12" t="s">
        <v>11</v>
      </c>
      <c r="U111" s="2">
        <f>IF(Q111="OVER",$J111,$K111)</f>
        <v>-358.63057255409115</v>
      </c>
      <c r="V111" s="2">
        <f>IF(R111="OVER",$J111,$K111)</f>
        <v>-358.63057255409115</v>
      </c>
      <c r="W111" s="2">
        <f>IF(S111="OVER",$J111,$K111)</f>
        <v>-358.63057255409115</v>
      </c>
      <c r="X111" s="12" t="s">
        <v>11</v>
      </c>
      <c r="Y111" s="9">
        <f t="shared" si="15"/>
        <v>3014.2802924205589</v>
      </c>
      <c r="Z111" s="9">
        <f t="shared" si="15"/>
        <v>3202.6341039037634</v>
      </c>
      <c r="AA111" s="9">
        <f t="shared" si="15"/>
        <v>8283.42747612928</v>
      </c>
      <c r="AB111" s="12" t="s">
        <v>11</v>
      </c>
    </row>
    <row r="112" spans="1:28" x14ac:dyDescent="0.3">
      <c r="A112" s="1">
        <v>44573</v>
      </c>
      <c r="B112" s="2">
        <v>80.72</v>
      </c>
      <c r="C112" s="2">
        <v>86.98</v>
      </c>
      <c r="D112" s="9">
        <f>B112-B111</f>
        <v>3.9999999999992042E-2</v>
      </c>
      <c r="E112" s="9">
        <f>C112-C111</f>
        <v>1.0000000000005116E-2</v>
      </c>
      <c r="F112" s="3">
        <f>F$1/B112</f>
        <v>1238.8503468780971</v>
      </c>
      <c r="G112" s="3">
        <f>F$1/C112</f>
        <v>1149.6895838123705</v>
      </c>
      <c r="H112" s="2">
        <f>D112*F111</f>
        <v>49.578582052543432</v>
      </c>
      <c r="I112" s="2">
        <f>E112*G111</f>
        <v>11.498217776250565</v>
      </c>
      <c r="J112" s="2">
        <f>I112-H112</f>
        <v>-38.080364276292869</v>
      </c>
      <c r="K112" s="2">
        <f t="shared" si="12"/>
        <v>38.080364276292869</v>
      </c>
      <c r="L112" s="14">
        <f>C112/B112</f>
        <v>1.077552031714569</v>
      </c>
      <c r="M112" s="14">
        <f t="shared" si="13"/>
        <v>1.0769092566710183</v>
      </c>
      <c r="N112" s="14">
        <f t="shared" si="17"/>
        <v>1.0762630503596693</v>
      </c>
      <c r="O112" s="14">
        <f t="shared" si="11"/>
        <v>1.1109884429275168</v>
      </c>
      <c r="P112" s="15" t="s">
        <v>11</v>
      </c>
      <c r="Q112" s="4" t="str">
        <f t="shared" si="16"/>
        <v>OVER</v>
      </c>
      <c r="R112" s="4" t="str">
        <f t="shared" si="16"/>
        <v>OVER</v>
      </c>
      <c r="S112" s="4" t="str">
        <f t="shared" si="14"/>
        <v>UNDER</v>
      </c>
      <c r="T112" s="12" t="s">
        <v>11</v>
      </c>
      <c r="U112" s="2">
        <f>IF(Q112="OVER",$J112,$K112)</f>
        <v>-38.080364276292869</v>
      </c>
      <c r="V112" s="2">
        <f>IF(R112="OVER",$J112,$K112)</f>
        <v>-38.080364276292869</v>
      </c>
      <c r="W112" s="2">
        <f>IF(S112="OVER",$J112,$K112)</f>
        <v>38.080364276292869</v>
      </c>
      <c r="X112" s="12" t="s">
        <v>11</v>
      </c>
      <c r="Y112" s="9">
        <f t="shared" si="15"/>
        <v>2976.1999281442659</v>
      </c>
      <c r="Z112" s="9">
        <f t="shared" si="15"/>
        <v>3164.5537396274703</v>
      </c>
      <c r="AA112" s="9">
        <f t="shared" si="15"/>
        <v>8321.507840405573</v>
      </c>
      <c r="AB112" s="12" t="s">
        <v>11</v>
      </c>
    </row>
    <row r="113" spans="1:28" x14ac:dyDescent="0.3">
      <c r="A113" s="1">
        <v>44574</v>
      </c>
      <c r="B113" s="2">
        <v>79.510000000000005</v>
      </c>
      <c r="C113" s="2">
        <v>85.66</v>
      </c>
      <c r="D113" s="9">
        <f>B113-B112</f>
        <v>-1.2099999999999937</v>
      </c>
      <c r="E113" s="9">
        <f>C113-C112</f>
        <v>-1.3200000000000074</v>
      </c>
      <c r="F113" s="3">
        <f>F$1/B113</f>
        <v>1257.7034335303736</v>
      </c>
      <c r="G113" s="3">
        <f>F$1/C113</f>
        <v>1167.406023815083</v>
      </c>
      <c r="H113" s="2">
        <f>D113*F112</f>
        <v>-1499.0089197224897</v>
      </c>
      <c r="I113" s="2">
        <f>E113*G112</f>
        <v>-1517.5902506323375</v>
      </c>
      <c r="J113" s="2">
        <f>I113-H113</f>
        <v>-18.581330909847793</v>
      </c>
      <c r="K113" s="2">
        <f t="shared" si="12"/>
        <v>18.581330909847793</v>
      </c>
      <c r="L113" s="14">
        <f>C113/B113</f>
        <v>1.0773487611621178</v>
      </c>
      <c r="M113" s="14">
        <f t="shared" si="13"/>
        <v>1.0766942411948426</v>
      </c>
      <c r="N113" s="14">
        <f t="shared" si="17"/>
        <v>1.0765543054333868</v>
      </c>
      <c r="O113" s="14">
        <f t="shared" si="11"/>
        <v>1.1092728786116721</v>
      </c>
      <c r="P113" s="15" t="s">
        <v>11</v>
      </c>
      <c r="Q113" s="4" t="str">
        <f t="shared" si="16"/>
        <v>OVER</v>
      </c>
      <c r="R113" s="4" t="str">
        <f t="shared" si="16"/>
        <v>OVER</v>
      </c>
      <c r="S113" s="4" t="str">
        <f t="shared" si="14"/>
        <v>UNDER</v>
      </c>
      <c r="T113" s="12" t="s">
        <v>11</v>
      </c>
      <c r="U113" s="2">
        <f>IF(Q113="OVER",$J113,$K113)</f>
        <v>-18.581330909847793</v>
      </c>
      <c r="V113" s="2">
        <f>IF(R113="OVER",$J113,$K113)</f>
        <v>-18.581330909847793</v>
      </c>
      <c r="W113" s="2">
        <f>IF(S113="OVER",$J113,$K113)</f>
        <v>18.581330909847793</v>
      </c>
      <c r="X113" s="12" t="s">
        <v>11</v>
      </c>
      <c r="Y113" s="9">
        <f t="shared" si="15"/>
        <v>2957.6185972344183</v>
      </c>
      <c r="Z113" s="9">
        <f t="shared" si="15"/>
        <v>3145.9724087176228</v>
      </c>
      <c r="AA113" s="9">
        <f t="shared" si="15"/>
        <v>8340.0891713154215</v>
      </c>
      <c r="AB113" s="12" t="s">
        <v>11</v>
      </c>
    </row>
    <row r="114" spans="1:28" x14ac:dyDescent="0.3">
      <c r="A114" s="1">
        <v>44575</v>
      </c>
      <c r="B114" s="2">
        <v>79.22</v>
      </c>
      <c r="C114" s="2">
        <v>85.38</v>
      </c>
      <c r="D114" s="9">
        <f>B114-B113</f>
        <v>-0.29000000000000625</v>
      </c>
      <c r="E114" s="9">
        <f>C114-C113</f>
        <v>-0.28000000000000114</v>
      </c>
      <c r="F114" s="3">
        <f>F$1/B114</f>
        <v>1262.3074981065388</v>
      </c>
      <c r="G114" s="3">
        <f>F$1/C114</f>
        <v>1171.2344811431249</v>
      </c>
      <c r="H114" s="2">
        <f>D114*F113</f>
        <v>-364.73399572381618</v>
      </c>
      <c r="I114" s="2">
        <f>E114*G113</f>
        <v>-326.87368666822459</v>
      </c>
      <c r="J114" s="2">
        <f>I114-H114</f>
        <v>37.860309055591586</v>
      </c>
      <c r="K114" s="2">
        <f t="shared" si="12"/>
        <v>-37.860309055591586</v>
      </c>
      <c r="L114" s="14">
        <f>C114/B114</f>
        <v>1.0777581418833628</v>
      </c>
      <c r="M114" s="14">
        <f t="shared" si="13"/>
        <v>1.0769724661835647</v>
      </c>
      <c r="N114" s="14">
        <f t="shared" si="17"/>
        <v>1.0771043796646269</v>
      </c>
      <c r="O114" s="14">
        <f t="shared" si="11"/>
        <v>1.1075673929350471</v>
      </c>
      <c r="P114" s="15" t="s">
        <v>11</v>
      </c>
      <c r="Q114" s="4" t="str">
        <f t="shared" si="16"/>
        <v>OVER</v>
      </c>
      <c r="R114" s="4" t="str">
        <f t="shared" si="16"/>
        <v>OVER</v>
      </c>
      <c r="S114" s="4" t="str">
        <f t="shared" si="14"/>
        <v>UNDER</v>
      </c>
      <c r="T114" s="12" t="s">
        <v>11</v>
      </c>
      <c r="U114" s="2">
        <f>IF(Q114="OVER",$J114,$K114)</f>
        <v>37.860309055591586</v>
      </c>
      <c r="V114" s="2">
        <f>IF(R114="OVER",$J114,$K114)</f>
        <v>37.860309055591586</v>
      </c>
      <c r="W114" s="2">
        <f>IF(S114="OVER",$J114,$K114)</f>
        <v>-37.860309055591586</v>
      </c>
      <c r="X114" s="12" t="s">
        <v>11</v>
      </c>
      <c r="Y114" s="9">
        <f t="shared" si="15"/>
        <v>2995.4789062900099</v>
      </c>
      <c r="Z114" s="9">
        <f t="shared" si="15"/>
        <v>3183.8327177732144</v>
      </c>
      <c r="AA114" s="9">
        <f t="shared" si="15"/>
        <v>8302.2288622598298</v>
      </c>
      <c r="AB114" s="12" t="s">
        <v>11</v>
      </c>
    </row>
    <row r="115" spans="1:28" x14ac:dyDescent="0.3">
      <c r="A115" s="1">
        <v>44579</v>
      </c>
      <c r="B115" s="2">
        <v>78.010000000000005</v>
      </c>
      <c r="C115" s="2">
        <v>84.12</v>
      </c>
      <c r="D115" s="9">
        <f>B115-B114</f>
        <v>-1.2099999999999937</v>
      </c>
      <c r="E115" s="9">
        <f>C115-C114</f>
        <v>-1.2599999999999909</v>
      </c>
      <c r="F115" s="3">
        <f>F$1/B115</f>
        <v>1281.886937572106</v>
      </c>
      <c r="G115" s="3">
        <f>F$1/C115</f>
        <v>1188.7779362815027</v>
      </c>
      <c r="H115" s="2">
        <f>D115*F114</f>
        <v>-1527.3920727089042</v>
      </c>
      <c r="I115" s="2">
        <f>E115*G114</f>
        <v>-1475.7554462403266</v>
      </c>
      <c r="J115" s="2">
        <f>I115-H115</f>
        <v>51.63662646857756</v>
      </c>
      <c r="K115" s="2">
        <f t="shared" si="12"/>
        <v>-51.63662646857756</v>
      </c>
      <c r="L115" s="14">
        <f>C115/B115</f>
        <v>1.0783232918856556</v>
      </c>
      <c r="M115" s="14">
        <f t="shared" si="13"/>
        <v>1.0767839872424423</v>
      </c>
      <c r="N115" s="14">
        <f t="shared" si="17"/>
        <v>1.0771280341125562</v>
      </c>
      <c r="O115" s="14">
        <f t="shared" si="11"/>
        <v>1.1059052905627795</v>
      </c>
      <c r="P115" s="15" t="s">
        <v>11</v>
      </c>
      <c r="Q115" s="4" t="str">
        <f t="shared" si="16"/>
        <v>OVER</v>
      </c>
      <c r="R115" s="4" t="str">
        <f t="shared" si="16"/>
        <v>OVER</v>
      </c>
      <c r="S115" s="4" t="str">
        <f t="shared" si="14"/>
        <v>UNDER</v>
      </c>
      <c r="T115" s="12" t="s">
        <v>11</v>
      </c>
      <c r="U115" s="2">
        <f>IF(Q115="OVER",$J115,$K115)</f>
        <v>51.63662646857756</v>
      </c>
      <c r="V115" s="2">
        <f>IF(R115="OVER",$J115,$K115)</f>
        <v>51.63662646857756</v>
      </c>
      <c r="W115" s="2">
        <f>IF(S115="OVER",$J115,$K115)</f>
        <v>-51.63662646857756</v>
      </c>
      <c r="X115" s="12" t="s">
        <v>11</v>
      </c>
      <c r="Y115" s="9">
        <f t="shared" si="15"/>
        <v>3047.1155327585875</v>
      </c>
      <c r="Z115" s="9">
        <f t="shared" si="15"/>
        <v>3235.469344241792</v>
      </c>
      <c r="AA115" s="9">
        <f t="shared" si="15"/>
        <v>8250.5922357912532</v>
      </c>
      <c r="AB115" s="12" t="s">
        <v>11</v>
      </c>
    </row>
    <row r="116" spans="1:28" x14ac:dyDescent="0.3">
      <c r="A116" s="1">
        <v>44580</v>
      </c>
      <c r="B116" s="2">
        <v>77.400000000000006</v>
      </c>
      <c r="C116" s="2">
        <v>83.64</v>
      </c>
      <c r="D116" s="9">
        <f>B116-B115</f>
        <v>-0.60999999999999943</v>
      </c>
      <c r="E116" s="9">
        <f>C116-C115</f>
        <v>-0.48000000000000398</v>
      </c>
      <c r="F116" s="3">
        <f>F$1/B116</f>
        <v>1291.9896640826873</v>
      </c>
      <c r="G116" s="3">
        <f>F$1/C116</f>
        <v>1195.6001912960305</v>
      </c>
      <c r="H116" s="2">
        <f>D116*F115</f>
        <v>-781.95103191898397</v>
      </c>
      <c r="I116" s="2">
        <f>E116*G115</f>
        <v>-570.61340941512606</v>
      </c>
      <c r="J116" s="2">
        <f>I116-H116</f>
        <v>211.33762250385792</v>
      </c>
      <c r="K116" s="2">
        <f t="shared" si="12"/>
        <v>-211.33762250385792</v>
      </c>
      <c r="L116" s="14">
        <f>C116/B116</f>
        <v>1.0806201550387595</v>
      </c>
      <c r="M116" s="14">
        <f t="shared" si="13"/>
        <v>1.0773151837544961</v>
      </c>
      <c r="N116" s="14">
        <f t="shared" si="17"/>
        <v>1.0773424371556963</v>
      </c>
      <c r="O116" s="14">
        <f t="shared" si="11"/>
        <v>1.1042419476460541</v>
      </c>
      <c r="P116" s="15" t="s">
        <v>11</v>
      </c>
      <c r="Q116" s="4" t="str">
        <f t="shared" si="16"/>
        <v>OVER</v>
      </c>
      <c r="R116" s="4" t="str">
        <f t="shared" si="16"/>
        <v>OVER</v>
      </c>
      <c r="S116" s="4" t="str">
        <f t="shared" si="14"/>
        <v>UNDER</v>
      </c>
      <c r="T116" s="12" t="s">
        <v>11</v>
      </c>
      <c r="U116" s="2">
        <f>IF(Q116="OVER",$J116,$K116)</f>
        <v>211.33762250385792</v>
      </c>
      <c r="V116" s="2">
        <f>IF(R116="OVER",$J116,$K116)</f>
        <v>211.33762250385792</v>
      </c>
      <c r="W116" s="2">
        <f>IF(S116="OVER",$J116,$K116)</f>
        <v>-211.33762250385792</v>
      </c>
      <c r="X116" s="12" t="s">
        <v>11</v>
      </c>
      <c r="Y116" s="9">
        <f t="shared" si="15"/>
        <v>3258.4531552624453</v>
      </c>
      <c r="Z116" s="9">
        <f t="shared" si="15"/>
        <v>3446.8069667456498</v>
      </c>
      <c r="AA116" s="9">
        <f t="shared" si="15"/>
        <v>8039.2546132873949</v>
      </c>
      <c r="AB116" s="12" t="s">
        <v>11</v>
      </c>
    </row>
    <row r="117" spans="1:28" x14ac:dyDescent="0.3">
      <c r="A117" s="1">
        <v>44581</v>
      </c>
      <c r="B117" s="2">
        <v>77.41</v>
      </c>
      <c r="C117" s="2">
        <v>83.37</v>
      </c>
      <c r="D117" s="9">
        <f>B117-B116</f>
        <v>9.9999999999909051E-3</v>
      </c>
      <c r="E117" s="9">
        <f>C117-C116</f>
        <v>-0.26999999999999602</v>
      </c>
      <c r="F117" s="3">
        <f>F$1/B117</f>
        <v>1291.822761917065</v>
      </c>
      <c r="G117" s="3">
        <f>F$1/C117</f>
        <v>1199.4722322178241</v>
      </c>
      <c r="H117" s="2">
        <f>D117*F116</f>
        <v>12.919896640815123</v>
      </c>
      <c r="I117" s="2">
        <f>E117*G116</f>
        <v>-322.81205164992349</v>
      </c>
      <c r="J117" s="2">
        <f>I117-H117</f>
        <v>-335.73194829073861</v>
      </c>
      <c r="K117" s="2">
        <f t="shared" si="12"/>
        <v>335.73194829073861</v>
      </c>
      <c r="L117" s="14">
        <f>C117/B117</f>
        <v>1.0769926366102571</v>
      </c>
      <c r="M117" s="14">
        <f t="shared" si="13"/>
        <v>1.0771688683370659</v>
      </c>
      <c r="N117" s="14">
        <f t="shared" si="17"/>
        <v>1.0773067495535507</v>
      </c>
      <c r="O117" s="14">
        <f t="shared" ref="O117:O180" si="18">AVERAGE(L68:L117)</f>
        <v>1.102470438519249</v>
      </c>
      <c r="P117" s="15" t="s">
        <v>11</v>
      </c>
      <c r="Q117" s="4" t="str">
        <f t="shared" si="16"/>
        <v>OVER</v>
      </c>
      <c r="R117" s="4" t="str">
        <f t="shared" si="16"/>
        <v>OVER</v>
      </c>
      <c r="S117" s="4" t="str">
        <f t="shared" si="14"/>
        <v>UNDER</v>
      </c>
      <c r="T117" s="12" t="s">
        <v>11</v>
      </c>
      <c r="U117" s="2">
        <f>IF(Q117="OVER",$J117,$K117)</f>
        <v>-335.73194829073861</v>
      </c>
      <c r="V117" s="2">
        <f>IF(R117="OVER",$J117,$K117)</f>
        <v>-335.73194829073861</v>
      </c>
      <c r="W117" s="2">
        <f>IF(S117="OVER",$J117,$K117)</f>
        <v>335.73194829073861</v>
      </c>
      <c r="X117" s="12" t="s">
        <v>11</v>
      </c>
      <c r="Y117" s="9">
        <f t="shared" si="15"/>
        <v>2922.7212069717066</v>
      </c>
      <c r="Z117" s="9">
        <f t="shared" si="15"/>
        <v>3111.0750184549111</v>
      </c>
      <c r="AA117" s="9">
        <f t="shared" si="15"/>
        <v>8374.9865615781328</v>
      </c>
      <c r="AB117" s="12" t="s">
        <v>11</v>
      </c>
    </row>
    <row r="118" spans="1:28" x14ac:dyDescent="0.3">
      <c r="A118" s="1">
        <v>44582</v>
      </c>
      <c r="B118" s="2">
        <v>75.94</v>
      </c>
      <c r="C118" s="2">
        <v>82.14</v>
      </c>
      <c r="D118" s="9">
        <f>B118-B117</f>
        <v>-1.4699999999999989</v>
      </c>
      <c r="E118" s="9">
        <f>C118-C117</f>
        <v>-1.230000000000004</v>
      </c>
      <c r="F118" s="3">
        <f>F$1/B118</f>
        <v>1316.8290755859889</v>
      </c>
      <c r="G118" s="3">
        <f>F$1/C118</f>
        <v>1217.4336498660823</v>
      </c>
      <c r="H118" s="2">
        <f>D118*F117</f>
        <v>-1898.9794600180842</v>
      </c>
      <c r="I118" s="2">
        <f>E118*G117</f>
        <v>-1475.3508456279283</v>
      </c>
      <c r="J118" s="2">
        <f>I118-H118</f>
        <v>423.62861439015592</v>
      </c>
      <c r="K118" s="2">
        <f t="shared" si="12"/>
        <v>-423.62861439015592</v>
      </c>
      <c r="L118" s="14">
        <f>C118/B118</f>
        <v>1.0816434026863313</v>
      </c>
      <c r="M118" s="14">
        <f t="shared" si="13"/>
        <v>1.0779885055059855</v>
      </c>
      <c r="N118" s="14">
        <f t="shared" si="17"/>
        <v>1.0774874823162042</v>
      </c>
      <c r="O118" s="14">
        <f t="shared" si="18"/>
        <v>1.1007431095727518</v>
      </c>
      <c r="P118" s="15" t="s">
        <v>11</v>
      </c>
      <c r="Q118" s="4" t="str">
        <f t="shared" si="16"/>
        <v>UNDER</v>
      </c>
      <c r="R118" s="4" t="str">
        <f t="shared" si="16"/>
        <v>UNDER</v>
      </c>
      <c r="S118" s="4" t="str">
        <f t="shared" si="14"/>
        <v>UNDER</v>
      </c>
      <c r="T118" s="12" t="s">
        <v>11</v>
      </c>
      <c r="U118" s="2">
        <f>IF(Q118="OVER",$J118,$K118)</f>
        <v>-423.62861439015592</v>
      </c>
      <c r="V118" s="2">
        <f>IF(R118="OVER",$J118,$K118)</f>
        <v>-423.62861439015592</v>
      </c>
      <c r="W118" s="2">
        <f>IF(S118="OVER",$J118,$K118)</f>
        <v>-423.62861439015592</v>
      </c>
      <c r="X118" s="12" t="s">
        <v>11</v>
      </c>
      <c r="Y118" s="9">
        <f t="shared" si="15"/>
        <v>2499.0925925815509</v>
      </c>
      <c r="Z118" s="9">
        <f t="shared" si="15"/>
        <v>2687.4464040647554</v>
      </c>
      <c r="AA118" s="9">
        <f t="shared" si="15"/>
        <v>7951.3579471879766</v>
      </c>
      <c r="AB118" s="12" t="s">
        <v>11</v>
      </c>
    </row>
    <row r="119" spans="1:28" x14ac:dyDescent="0.3">
      <c r="A119" s="1">
        <v>44585</v>
      </c>
      <c r="B119" s="2">
        <v>76</v>
      </c>
      <c r="C119" s="2">
        <v>82.1</v>
      </c>
      <c r="D119" s="9">
        <f>B119-B118</f>
        <v>6.0000000000002274E-2</v>
      </c>
      <c r="E119" s="9">
        <f>C119-C118</f>
        <v>-4.0000000000006253E-2</v>
      </c>
      <c r="F119" s="3">
        <f>F$1/B119</f>
        <v>1315.7894736842106</v>
      </c>
      <c r="G119" s="3">
        <f>F$1/C119</f>
        <v>1218.026796589525</v>
      </c>
      <c r="H119" s="2">
        <f>D119*F118</f>
        <v>79.009744535162326</v>
      </c>
      <c r="I119" s="2">
        <f>E119*G118</f>
        <v>-48.697345994650902</v>
      </c>
      <c r="J119" s="2">
        <f>I119-H119</f>
        <v>-127.70709052981323</v>
      </c>
      <c r="K119" s="2">
        <f t="shared" si="12"/>
        <v>127.70709052981323</v>
      </c>
      <c r="L119" s="14">
        <f>C119/B119</f>
        <v>1.0802631578947368</v>
      </c>
      <c r="M119" s="14">
        <f t="shared" si="13"/>
        <v>1.0782607435037401</v>
      </c>
      <c r="N119" s="14">
        <f t="shared" si="17"/>
        <v>1.0776697287182064</v>
      </c>
      <c r="O119" s="14">
        <f t="shared" si="18"/>
        <v>1.0990184442321786</v>
      </c>
      <c r="P119" s="15" t="s">
        <v>11</v>
      </c>
      <c r="Q119" s="4" t="str">
        <f t="shared" si="16"/>
        <v>OVER</v>
      </c>
      <c r="R119" s="4" t="str">
        <f t="shared" si="16"/>
        <v>OVER</v>
      </c>
      <c r="S119" s="4" t="str">
        <f t="shared" si="14"/>
        <v>UNDER</v>
      </c>
      <c r="T119" s="12" t="s">
        <v>11</v>
      </c>
      <c r="U119" s="2">
        <f>IF(Q119="OVER",$J119,$K119)</f>
        <v>-127.70709052981323</v>
      </c>
      <c r="V119" s="2">
        <f>IF(R119="OVER",$J119,$K119)</f>
        <v>-127.70709052981323</v>
      </c>
      <c r="W119" s="2">
        <f>IF(S119="OVER",$J119,$K119)</f>
        <v>127.70709052981323</v>
      </c>
      <c r="X119" s="12" t="s">
        <v>11</v>
      </c>
      <c r="Y119" s="9">
        <f t="shared" si="15"/>
        <v>2371.3855020517376</v>
      </c>
      <c r="Z119" s="9">
        <f t="shared" si="15"/>
        <v>2559.7393135349421</v>
      </c>
      <c r="AA119" s="9">
        <f t="shared" si="15"/>
        <v>8079.0650377177899</v>
      </c>
      <c r="AB119" s="12" t="s">
        <v>11</v>
      </c>
    </row>
    <row r="120" spans="1:28" x14ac:dyDescent="0.3">
      <c r="A120" s="1">
        <v>44586</v>
      </c>
      <c r="B120" s="2">
        <v>74.97</v>
      </c>
      <c r="C120" s="2">
        <v>81.12</v>
      </c>
      <c r="D120" s="9">
        <f>B120-B119</f>
        <v>-1.0300000000000011</v>
      </c>
      <c r="E120" s="9">
        <f>C120-C119</f>
        <v>-0.97999999999998977</v>
      </c>
      <c r="F120" s="3">
        <f>F$1/B120</f>
        <v>1333.8668800853675</v>
      </c>
      <c r="G120" s="3">
        <f>F$1/C120</f>
        <v>1232.7416173570018</v>
      </c>
      <c r="H120" s="2">
        <f>D120*F119</f>
        <v>-1355.2631578947385</v>
      </c>
      <c r="I120" s="2">
        <f>E120*G119</f>
        <v>-1193.666260657722</v>
      </c>
      <c r="J120" s="2">
        <f>I120-H120</f>
        <v>161.59689723701649</v>
      </c>
      <c r="K120" s="2">
        <f t="shared" si="12"/>
        <v>-161.59689723701649</v>
      </c>
      <c r="L120" s="14">
        <f>C120/B120</f>
        <v>1.0820328131252501</v>
      </c>
      <c r="M120" s="14">
        <f t="shared" si="13"/>
        <v>1.0790496712278679</v>
      </c>
      <c r="N120" s="14">
        <f t="shared" si="17"/>
        <v>1.0778393247112441</v>
      </c>
      <c r="O120" s="14">
        <f t="shared" si="18"/>
        <v>1.0973434716100643</v>
      </c>
      <c r="P120" s="15" t="s">
        <v>11</v>
      </c>
      <c r="Q120" s="4" t="str">
        <f t="shared" si="16"/>
        <v>OVER</v>
      </c>
      <c r="R120" s="4" t="str">
        <f t="shared" si="16"/>
        <v>OVER</v>
      </c>
      <c r="S120" s="4" t="str">
        <f t="shared" si="14"/>
        <v>UNDER</v>
      </c>
      <c r="T120" s="12" t="s">
        <v>11</v>
      </c>
      <c r="U120" s="2">
        <f>IF(Q120="OVER",$J120,$K120)</f>
        <v>161.59689723701649</v>
      </c>
      <c r="V120" s="2">
        <f>IF(R120="OVER",$J120,$K120)</f>
        <v>161.59689723701649</v>
      </c>
      <c r="W120" s="2">
        <f>IF(S120="OVER",$J120,$K120)</f>
        <v>-161.59689723701649</v>
      </c>
      <c r="X120" s="12" t="s">
        <v>11</v>
      </c>
      <c r="Y120" s="9">
        <f t="shared" si="15"/>
        <v>2532.9823992887541</v>
      </c>
      <c r="Z120" s="9">
        <f t="shared" si="15"/>
        <v>2721.3362107719586</v>
      </c>
      <c r="AA120" s="9">
        <f t="shared" si="15"/>
        <v>7917.4681404807734</v>
      </c>
      <c r="AB120" s="12" t="s">
        <v>11</v>
      </c>
    </row>
    <row r="121" spans="1:28" x14ac:dyDescent="0.3">
      <c r="A121" s="1">
        <v>44587</v>
      </c>
      <c r="B121" s="2">
        <v>74.62</v>
      </c>
      <c r="C121" s="2">
        <v>80.930000000000007</v>
      </c>
      <c r="D121" s="9">
        <f>B121-B120</f>
        <v>-0.34999999999999432</v>
      </c>
      <c r="E121" s="9">
        <f>C121-C120</f>
        <v>-0.18999999999999773</v>
      </c>
      <c r="F121" s="3">
        <f>F$1/B121</f>
        <v>1340.1232913428034</v>
      </c>
      <c r="G121" s="3">
        <f>F$1/C121</f>
        <v>1235.6357345854442</v>
      </c>
      <c r="H121" s="2">
        <f>D121*F120</f>
        <v>-466.85340802987105</v>
      </c>
      <c r="I121" s="2">
        <f>E121*G120</f>
        <v>-234.22090729782755</v>
      </c>
      <c r="J121" s="2">
        <f>I121-H121</f>
        <v>232.6325007320435</v>
      </c>
      <c r="K121" s="2">
        <f t="shared" si="12"/>
        <v>-232.6325007320435</v>
      </c>
      <c r="L121" s="14">
        <f>C121/B121</f>
        <v>1.084561779683731</v>
      </c>
      <c r="M121" s="14">
        <f t="shared" si="13"/>
        <v>1.079709617168477</v>
      </c>
      <c r="N121" s="14">
        <f t="shared" si="17"/>
        <v>1.078196640748571</v>
      </c>
      <c r="O121" s="14">
        <f t="shared" si="18"/>
        <v>1.0957403514582922</v>
      </c>
      <c r="P121" s="15" t="s">
        <v>11</v>
      </c>
      <c r="Q121" s="4" t="str">
        <f t="shared" si="16"/>
        <v>OVER</v>
      </c>
      <c r="R121" s="4" t="str">
        <f t="shared" si="16"/>
        <v>OVER</v>
      </c>
      <c r="S121" s="4" t="str">
        <f t="shared" si="14"/>
        <v>UNDER</v>
      </c>
      <c r="T121" s="12" t="s">
        <v>11</v>
      </c>
      <c r="U121" s="2">
        <f>IF(Q121="OVER",$J121,$K121)</f>
        <v>232.6325007320435</v>
      </c>
      <c r="V121" s="2">
        <f>IF(R121="OVER",$J121,$K121)</f>
        <v>232.6325007320435</v>
      </c>
      <c r="W121" s="2">
        <f>IF(S121="OVER",$J121,$K121)</f>
        <v>-232.6325007320435</v>
      </c>
      <c r="X121" s="12" t="s">
        <v>11</v>
      </c>
      <c r="Y121" s="9">
        <f t="shared" si="15"/>
        <v>2765.6149000207974</v>
      </c>
      <c r="Z121" s="9">
        <f t="shared" si="15"/>
        <v>2953.9687115040019</v>
      </c>
      <c r="AA121" s="9">
        <f t="shared" si="15"/>
        <v>7684.8356397487296</v>
      </c>
      <c r="AB121" s="12" t="s">
        <v>11</v>
      </c>
    </row>
    <row r="122" spans="1:28" x14ac:dyDescent="0.3">
      <c r="A122" s="1">
        <v>44588</v>
      </c>
      <c r="B122" s="2">
        <v>74</v>
      </c>
      <c r="C122" s="2">
        <v>80.22</v>
      </c>
      <c r="D122" s="9">
        <f>B122-B121</f>
        <v>-0.62000000000000455</v>
      </c>
      <c r="E122" s="9">
        <f>C122-C121</f>
        <v>-0.71000000000000796</v>
      </c>
      <c r="F122" s="3">
        <f>F$1/B122</f>
        <v>1351.3513513513512</v>
      </c>
      <c r="G122" s="3">
        <f>F$1/C122</f>
        <v>1246.5719272001995</v>
      </c>
      <c r="H122" s="2">
        <f>D122*F121</f>
        <v>-830.87644063254425</v>
      </c>
      <c r="I122" s="2">
        <f>E122*G121</f>
        <v>-877.30137155567525</v>
      </c>
      <c r="J122" s="2">
        <f>I122-H122</f>
        <v>-46.424930923131001</v>
      </c>
      <c r="K122" s="2">
        <f t="shared" si="12"/>
        <v>46.424930923131001</v>
      </c>
      <c r="L122" s="14">
        <f>C122/B122</f>
        <v>1.084054054054054</v>
      </c>
      <c r="M122" s="14">
        <f t="shared" si="13"/>
        <v>1.0803598194024258</v>
      </c>
      <c r="N122" s="14">
        <f t="shared" si="17"/>
        <v>1.0786345380367222</v>
      </c>
      <c r="O122" s="14">
        <f t="shared" si="18"/>
        <v>1.0940971143063332</v>
      </c>
      <c r="P122" s="15" t="s">
        <v>11</v>
      </c>
      <c r="Q122" s="4" t="str">
        <f t="shared" si="16"/>
        <v>OVER</v>
      </c>
      <c r="R122" s="4" t="str">
        <f t="shared" si="16"/>
        <v>OVER</v>
      </c>
      <c r="S122" s="4" t="str">
        <f t="shared" si="14"/>
        <v>UNDER</v>
      </c>
      <c r="T122" s="12" t="s">
        <v>11</v>
      </c>
      <c r="U122" s="2">
        <f>IF(Q122="OVER",$J122,$K122)</f>
        <v>-46.424930923131001</v>
      </c>
      <c r="V122" s="2">
        <f>IF(R122="OVER",$J122,$K122)</f>
        <v>-46.424930923131001</v>
      </c>
      <c r="W122" s="2">
        <f>IF(S122="OVER",$J122,$K122)</f>
        <v>46.424930923131001</v>
      </c>
      <c r="X122" s="12" t="s">
        <v>11</v>
      </c>
      <c r="Y122" s="9">
        <f t="shared" si="15"/>
        <v>2719.1899690976666</v>
      </c>
      <c r="Z122" s="9">
        <f t="shared" si="15"/>
        <v>2907.543780580871</v>
      </c>
      <c r="AA122" s="9">
        <f t="shared" si="15"/>
        <v>7731.2605706718605</v>
      </c>
      <c r="AB122" s="12" t="s">
        <v>11</v>
      </c>
    </row>
    <row r="123" spans="1:28" x14ac:dyDescent="0.3">
      <c r="A123" s="1">
        <v>44589</v>
      </c>
      <c r="B123" s="2">
        <v>74.790000000000006</v>
      </c>
      <c r="C123" s="2">
        <v>80.930000000000007</v>
      </c>
      <c r="D123" s="9">
        <f>B123-B122</f>
        <v>0.79000000000000625</v>
      </c>
      <c r="E123" s="9">
        <f>C123-C122</f>
        <v>0.71000000000000796</v>
      </c>
      <c r="F123" s="3">
        <f>F$1/B123</f>
        <v>1337.0771493515174</v>
      </c>
      <c r="G123" s="3">
        <f>F$1/C123</f>
        <v>1235.6357345854442</v>
      </c>
      <c r="H123" s="2">
        <f>D123*F122</f>
        <v>1067.5675675675759</v>
      </c>
      <c r="I123" s="2">
        <f>E123*G122</f>
        <v>885.06606831215163</v>
      </c>
      <c r="J123" s="2">
        <f>I123-H123</f>
        <v>-182.50149925542428</v>
      </c>
      <c r="K123" s="2">
        <f t="shared" si="12"/>
        <v>182.50149925542428</v>
      </c>
      <c r="L123" s="14">
        <f>C123/B123</f>
        <v>1.0820965369701832</v>
      </c>
      <c r="M123" s="14">
        <f t="shared" si="13"/>
        <v>1.0808345969832323</v>
      </c>
      <c r="N123" s="14">
        <f t="shared" si="17"/>
        <v>1.0787644190890373</v>
      </c>
      <c r="O123" s="14">
        <f t="shared" si="18"/>
        <v>1.092453988348757</v>
      </c>
      <c r="P123" s="15" t="s">
        <v>11</v>
      </c>
      <c r="Q123" s="4" t="str">
        <f t="shared" si="16"/>
        <v>OVER</v>
      </c>
      <c r="R123" s="4" t="str">
        <f t="shared" si="16"/>
        <v>OVER</v>
      </c>
      <c r="S123" s="4" t="str">
        <f t="shared" si="14"/>
        <v>UNDER</v>
      </c>
      <c r="T123" s="12" t="s">
        <v>11</v>
      </c>
      <c r="U123" s="2">
        <f>IF(Q123="OVER",$J123,$K123)</f>
        <v>-182.50149925542428</v>
      </c>
      <c r="V123" s="2">
        <f>IF(R123="OVER",$J123,$K123)</f>
        <v>-182.50149925542428</v>
      </c>
      <c r="W123" s="2">
        <f>IF(S123="OVER",$J123,$K123)</f>
        <v>182.50149925542428</v>
      </c>
      <c r="X123" s="12" t="s">
        <v>11</v>
      </c>
      <c r="Y123" s="9">
        <f t="shared" si="15"/>
        <v>2536.6884698422423</v>
      </c>
      <c r="Z123" s="9">
        <f t="shared" si="15"/>
        <v>2725.0422813254468</v>
      </c>
      <c r="AA123" s="9">
        <f t="shared" si="15"/>
        <v>7913.7620699272848</v>
      </c>
      <c r="AB123" s="12" t="s">
        <v>11</v>
      </c>
    </row>
    <row r="124" spans="1:28" x14ac:dyDescent="0.3">
      <c r="A124" s="1">
        <v>44592</v>
      </c>
      <c r="B124" s="2">
        <v>76.819999999999993</v>
      </c>
      <c r="C124" s="2">
        <v>82.73</v>
      </c>
      <c r="D124" s="9">
        <f>B124-B123</f>
        <v>2.0299999999999869</v>
      </c>
      <c r="E124" s="9">
        <f>C124-C123</f>
        <v>1.7999999999999972</v>
      </c>
      <c r="F124" s="3">
        <f>F$1/B124</f>
        <v>1301.7443374121324</v>
      </c>
      <c r="G124" s="3">
        <f>F$1/C124</f>
        <v>1208.7513598452797</v>
      </c>
      <c r="H124" s="2">
        <f>D124*F123</f>
        <v>2714.2666131835626</v>
      </c>
      <c r="I124" s="2">
        <f>E124*G123</f>
        <v>2224.144322253796</v>
      </c>
      <c r="J124" s="2">
        <f>I124-H124</f>
        <v>-490.12229092976668</v>
      </c>
      <c r="K124" s="2">
        <f t="shared" si="12"/>
        <v>490.12229092976668</v>
      </c>
      <c r="L124" s="14">
        <f>C124/B124</f>
        <v>1.0769330903410572</v>
      </c>
      <c r="M124" s="14">
        <f t="shared" si="13"/>
        <v>1.0807520918290017</v>
      </c>
      <c r="N124" s="14">
        <f t="shared" si="17"/>
        <v>1.0788622790062832</v>
      </c>
      <c r="O124" s="14">
        <f t="shared" si="18"/>
        <v>1.0907522241415286</v>
      </c>
      <c r="P124" s="15" t="s">
        <v>11</v>
      </c>
      <c r="Q124" s="4" t="str">
        <f t="shared" si="16"/>
        <v>OVER</v>
      </c>
      <c r="R124" s="4" t="str">
        <f t="shared" si="16"/>
        <v>OVER</v>
      </c>
      <c r="S124" s="4" t="str">
        <f t="shared" si="14"/>
        <v>UNDER</v>
      </c>
      <c r="T124" s="12" t="s">
        <v>11</v>
      </c>
      <c r="U124" s="2">
        <f>IF(Q124="OVER",$J124,$K124)</f>
        <v>-490.12229092976668</v>
      </c>
      <c r="V124" s="2">
        <f>IF(R124="OVER",$J124,$K124)</f>
        <v>-490.12229092976668</v>
      </c>
      <c r="W124" s="2">
        <f>IF(S124="OVER",$J124,$K124)</f>
        <v>490.12229092976668</v>
      </c>
      <c r="X124" s="12" t="s">
        <v>11</v>
      </c>
      <c r="Y124" s="9">
        <f t="shared" si="15"/>
        <v>2046.5661789124756</v>
      </c>
      <c r="Z124" s="9">
        <f t="shared" si="15"/>
        <v>2234.9199903956801</v>
      </c>
      <c r="AA124" s="9">
        <f t="shared" si="15"/>
        <v>8403.8843608570514</v>
      </c>
      <c r="AB124" s="12" t="s">
        <v>11</v>
      </c>
    </row>
    <row r="125" spans="1:28" x14ac:dyDescent="0.3">
      <c r="A125" s="1">
        <v>44593</v>
      </c>
      <c r="B125" s="2">
        <v>77.290000000000006</v>
      </c>
      <c r="C125" s="2">
        <v>83.84</v>
      </c>
      <c r="D125" s="9">
        <f>B125-B124</f>
        <v>0.47000000000001307</v>
      </c>
      <c r="E125" s="9">
        <f>C125-C124</f>
        <v>1.1099999999999994</v>
      </c>
      <c r="F125" s="3">
        <f>F$1/B125</f>
        <v>1293.8284383490748</v>
      </c>
      <c r="G125" s="3">
        <f>F$1/C125</f>
        <v>1192.7480916030534</v>
      </c>
      <c r="H125" s="2">
        <f>D125*F124</f>
        <v>611.81983858371927</v>
      </c>
      <c r="I125" s="2">
        <f>E125*G124</f>
        <v>1341.7140094282597</v>
      </c>
      <c r="J125" s="2">
        <f>I125-H125</f>
        <v>729.89417084454044</v>
      </c>
      <c r="K125" s="2">
        <f t="shared" si="12"/>
        <v>-729.89417084454044</v>
      </c>
      <c r="L125" s="14">
        <f>C125/B125</f>
        <v>1.0847457627118644</v>
      </c>
      <c r="M125" s="14">
        <f t="shared" si="13"/>
        <v>1.0813943389116225</v>
      </c>
      <c r="N125" s="14">
        <f t="shared" si="17"/>
        <v>1.0790891630770325</v>
      </c>
      <c r="O125" s="14">
        <f t="shared" si="18"/>
        <v>1.0892450396582332</v>
      </c>
      <c r="P125" s="15" t="s">
        <v>11</v>
      </c>
      <c r="Q125" s="4" t="str">
        <f t="shared" si="16"/>
        <v>UNDER</v>
      </c>
      <c r="R125" s="4" t="str">
        <f t="shared" si="16"/>
        <v>UNDER</v>
      </c>
      <c r="S125" s="4" t="str">
        <f t="shared" si="14"/>
        <v>UNDER</v>
      </c>
      <c r="T125" s="12" t="s">
        <v>11</v>
      </c>
      <c r="U125" s="2">
        <f>IF(Q125="OVER",$J125,$K125)</f>
        <v>-729.89417084454044</v>
      </c>
      <c r="V125" s="2">
        <f>IF(R125="OVER",$J125,$K125)</f>
        <v>-729.89417084454044</v>
      </c>
      <c r="W125" s="2">
        <f>IF(S125="OVER",$J125,$K125)</f>
        <v>-729.89417084454044</v>
      </c>
      <c r="X125" s="12" t="s">
        <v>11</v>
      </c>
      <c r="Y125" s="9">
        <f t="shared" si="15"/>
        <v>1316.6720080679352</v>
      </c>
      <c r="Z125" s="9">
        <f t="shared" si="15"/>
        <v>1505.0258195511396</v>
      </c>
      <c r="AA125" s="9">
        <f t="shared" si="15"/>
        <v>7673.9901900125114</v>
      </c>
      <c r="AB125" s="12" t="s">
        <v>11</v>
      </c>
    </row>
    <row r="126" spans="1:28" x14ac:dyDescent="0.3">
      <c r="A126" s="1">
        <v>44594</v>
      </c>
      <c r="B126" s="2">
        <v>76.849999999999994</v>
      </c>
      <c r="C126" s="2">
        <v>83.07</v>
      </c>
      <c r="D126" s="9">
        <f>B126-B125</f>
        <v>-0.44000000000001194</v>
      </c>
      <c r="E126" s="9">
        <f>C126-C125</f>
        <v>-0.77000000000001023</v>
      </c>
      <c r="F126" s="3">
        <f>F$1/B126</f>
        <v>1301.2361743656475</v>
      </c>
      <c r="G126" s="3">
        <f>F$1/C126</f>
        <v>1203.8040207054294</v>
      </c>
      <c r="H126" s="2">
        <f>D126*F125</f>
        <v>-569.28451287360838</v>
      </c>
      <c r="I126" s="2">
        <f>E126*G125</f>
        <v>-918.41603053436324</v>
      </c>
      <c r="J126" s="2">
        <f>I126-H126</f>
        <v>-349.13151766075487</v>
      </c>
      <c r="K126" s="2">
        <f t="shared" si="12"/>
        <v>349.13151766075487</v>
      </c>
      <c r="L126" s="14">
        <f>C126/B126</f>
        <v>1.0809368900455432</v>
      </c>
      <c r="M126" s="14">
        <f t="shared" si="13"/>
        <v>1.0814260124123007</v>
      </c>
      <c r="N126" s="14">
        <f t="shared" si="17"/>
        <v>1.0793705980833985</v>
      </c>
      <c r="O126" s="14">
        <f t="shared" si="18"/>
        <v>1.0876939401912091</v>
      </c>
      <c r="P126" s="15" t="s">
        <v>11</v>
      </c>
      <c r="Q126" s="4" t="str">
        <f t="shared" si="16"/>
        <v>OVER</v>
      </c>
      <c r="R126" s="4" t="str">
        <f t="shared" si="16"/>
        <v>OVER</v>
      </c>
      <c r="S126" s="4" t="str">
        <f t="shared" si="14"/>
        <v>UNDER</v>
      </c>
      <c r="T126" s="12" t="s">
        <v>11</v>
      </c>
      <c r="U126" s="2">
        <f>IF(Q126="OVER",$J126,$K126)</f>
        <v>-349.13151766075487</v>
      </c>
      <c r="V126" s="2">
        <f>IF(R126="OVER",$J126,$K126)</f>
        <v>-349.13151766075487</v>
      </c>
      <c r="W126" s="2">
        <f>IF(S126="OVER",$J126,$K126)</f>
        <v>349.13151766075487</v>
      </c>
      <c r="X126" s="12" t="s">
        <v>11</v>
      </c>
      <c r="Y126" s="9">
        <f t="shared" si="15"/>
        <v>967.5404904071803</v>
      </c>
      <c r="Z126" s="9">
        <f t="shared" si="15"/>
        <v>1155.8943018903847</v>
      </c>
      <c r="AA126" s="9">
        <f t="shared" si="15"/>
        <v>8023.1217076732664</v>
      </c>
      <c r="AB126" s="12" t="s">
        <v>11</v>
      </c>
    </row>
    <row r="127" spans="1:28" x14ac:dyDescent="0.3">
      <c r="A127" s="1">
        <v>44595</v>
      </c>
      <c r="B127" s="2">
        <v>75.599999999999994</v>
      </c>
      <c r="C127" s="2">
        <v>81.56</v>
      </c>
      <c r="D127" s="9">
        <f>B127-B126</f>
        <v>-1.25</v>
      </c>
      <c r="E127" s="9">
        <f>C127-C126</f>
        <v>-1.5099999999999909</v>
      </c>
      <c r="F127" s="3">
        <f>F$1/B127</f>
        <v>1322.751322751323</v>
      </c>
      <c r="G127" s="3">
        <f>F$1/C127</f>
        <v>1226.0912211868563</v>
      </c>
      <c r="H127" s="2">
        <f>D127*F126</f>
        <v>-1626.5452179570593</v>
      </c>
      <c r="I127" s="2">
        <f>E127*G126</f>
        <v>-1817.7440712651874</v>
      </c>
      <c r="J127" s="2">
        <f>I127-H127</f>
        <v>-191.19885330812804</v>
      </c>
      <c r="K127" s="2">
        <f t="shared" si="12"/>
        <v>191.19885330812804</v>
      </c>
      <c r="L127" s="14">
        <f>C127/B127</f>
        <v>1.0788359788359789</v>
      </c>
      <c r="M127" s="14">
        <f t="shared" si="13"/>
        <v>1.081610346634873</v>
      </c>
      <c r="N127" s="14">
        <f t="shared" si="17"/>
        <v>1.0793896074859697</v>
      </c>
      <c r="O127" s="14">
        <f t="shared" si="18"/>
        <v>1.0861084850467388</v>
      </c>
      <c r="P127" s="15" t="s">
        <v>11</v>
      </c>
      <c r="Q127" s="4" t="str">
        <f t="shared" si="16"/>
        <v>UNDER</v>
      </c>
      <c r="R127" s="4" t="str">
        <f t="shared" si="16"/>
        <v>OVER</v>
      </c>
      <c r="S127" s="4" t="str">
        <f t="shared" si="14"/>
        <v>UNDER</v>
      </c>
      <c r="T127" s="12" t="s">
        <v>11</v>
      </c>
      <c r="U127" s="2">
        <f>IF(Q127="OVER",$J127,$K127)</f>
        <v>191.19885330812804</v>
      </c>
      <c r="V127" s="2">
        <f>IF(R127="OVER",$J127,$K127)</f>
        <v>-191.19885330812804</v>
      </c>
      <c r="W127" s="2">
        <f>IF(S127="OVER",$J127,$K127)</f>
        <v>191.19885330812804</v>
      </c>
      <c r="X127" s="12" t="s">
        <v>11</v>
      </c>
      <c r="Y127" s="9">
        <f t="shared" si="15"/>
        <v>1158.7393437153082</v>
      </c>
      <c r="Z127" s="9">
        <f t="shared" si="15"/>
        <v>964.69544858225663</v>
      </c>
      <c r="AA127" s="9">
        <f t="shared" si="15"/>
        <v>8214.320560981394</v>
      </c>
      <c r="AB127" s="12" t="s">
        <v>11</v>
      </c>
    </row>
    <row r="128" spans="1:28" x14ac:dyDescent="0.3">
      <c r="A128" s="1">
        <v>44596</v>
      </c>
      <c r="B128" s="2">
        <v>76.61</v>
      </c>
      <c r="C128" s="2">
        <v>82.71</v>
      </c>
      <c r="D128" s="9">
        <f>B128-B127</f>
        <v>1.0100000000000051</v>
      </c>
      <c r="E128" s="9">
        <f>C128-C127</f>
        <v>1.1499999999999915</v>
      </c>
      <c r="F128" s="3">
        <f>F$1/B128</f>
        <v>1305.3126223730583</v>
      </c>
      <c r="G128" s="3">
        <f>F$1/C128</f>
        <v>1209.0436464756378</v>
      </c>
      <c r="H128" s="2">
        <f>D128*F127</f>
        <v>1335.9788359788429</v>
      </c>
      <c r="I128" s="2">
        <f>E128*G127</f>
        <v>1410.0049043648742</v>
      </c>
      <c r="J128" s="2">
        <f>I128-H128</f>
        <v>74.026068386031284</v>
      </c>
      <c r="K128" s="2">
        <f t="shared" si="12"/>
        <v>-74.026068386031284</v>
      </c>
      <c r="L128" s="14">
        <f>C128/B128</f>
        <v>1.0796240699647566</v>
      </c>
      <c r="M128" s="14">
        <f t="shared" si="13"/>
        <v>1.0814084133627155</v>
      </c>
      <c r="N128" s="14">
        <f t="shared" si="17"/>
        <v>1.0796984594343506</v>
      </c>
      <c r="O128" s="14">
        <f t="shared" si="18"/>
        <v>1.0845377728145662</v>
      </c>
      <c r="P128" s="15" t="s">
        <v>11</v>
      </c>
      <c r="Q128" s="4" t="str">
        <f t="shared" si="16"/>
        <v>UNDER</v>
      </c>
      <c r="R128" s="4" t="str">
        <f t="shared" si="16"/>
        <v>UNDER</v>
      </c>
      <c r="S128" s="4" t="str">
        <f t="shared" si="14"/>
        <v>UNDER</v>
      </c>
      <c r="T128" s="12" t="s">
        <v>11</v>
      </c>
      <c r="U128" s="2">
        <f>IF(Q128="OVER",$J128,$K128)</f>
        <v>-74.026068386031284</v>
      </c>
      <c r="V128" s="2">
        <f>IF(R128="OVER",$J128,$K128)</f>
        <v>-74.026068386031284</v>
      </c>
      <c r="W128" s="2">
        <f>IF(S128="OVER",$J128,$K128)</f>
        <v>-74.026068386031284</v>
      </c>
      <c r="X128" s="12" t="s">
        <v>11</v>
      </c>
      <c r="Y128" s="9">
        <f t="shared" si="15"/>
        <v>1084.7132753292769</v>
      </c>
      <c r="Z128" s="9">
        <f t="shared" si="15"/>
        <v>890.66938019622535</v>
      </c>
      <c r="AA128" s="9">
        <f t="shared" si="15"/>
        <v>8140.2944925953625</v>
      </c>
      <c r="AB128" s="12" t="s">
        <v>11</v>
      </c>
    </row>
    <row r="129" spans="1:28" x14ac:dyDescent="0.3">
      <c r="A129" s="1">
        <v>44599</v>
      </c>
      <c r="B129" s="2">
        <v>76.52</v>
      </c>
      <c r="C129" s="2">
        <v>83.1</v>
      </c>
      <c r="D129" s="9">
        <f>B129-B128</f>
        <v>-9.0000000000003411E-2</v>
      </c>
      <c r="E129" s="9">
        <f>C129-C128</f>
        <v>0.39000000000000057</v>
      </c>
      <c r="F129" s="3">
        <f>F$1/B129</f>
        <v>1306.8478829064297</v>
      </c>
      <c r="G129" s="3">
        <f>F$1/C129</f>
        <v>1203.3694344163659</v>
      </c>
      <c r="H129" s="2">
        <f>D129*F128</f>
        <v>-117.4781360135797</v>
      </c>
      <c r="I129" s="2">
        <f>E129*G128</f>
        <v>471.52702212549946</v>
      </c>
      <c r="J129" s="2">
        <f>I129-H129</f>
        <v>589.00515813907919</v>
      </c>
      <c r="K129" s="2">
        <f t="shared" si="12"/>
        <v>-589.00515813907919</v>
      </c>
      <c r="L129" s="14">
        <f>C129/B129</f>
        <v>1.085990590695243</v>
      </c>
      <c r="M129" s="14">
        <f t="shared" si="13"/>
        <v>1.0819811566427662</v>
      </c>
      <c r="N129" s="14">
        <f t="shared" si="17"/>
        <v>1.0801209500732531</v>
      </c>
      <c r="O129" s="14">
        <f t="shared" si="18"/>
        <v>1.0830655762651304</v>
      </c>
      <c r="P129" s="15" t="s">
        <v>11</v>
      </c>
      <c r="Q129" s="4" t="str">
        <f t="shared" si="16"/>
        <v>UNDER</v>
      </c>
      <c r="R129" s="4" t="str">
        <f t="shared" si="16"/>
        <v>UNDER</v>
      </c>
      <c r="S129" s="4" t="str">
        <f t="shared" si="14"/>
        <v>OVER</v>
      </c>
      <c r="T129" s="12" t="s">
        <v>11</v>
      </c>
      <c r="U129" s="2">
        <f>IF(Q129="OVER",$J129,$K129)</f>
        <v>-589.00515813907919</v>
      </c>
      <c r="V129" s="2">
        <f>IF(R129="OVER",$J129,$K129)</f>
        <v>-589.00515813907919</v>
      </c>
      <c r="W129" s="2">
        <f>IF(S129="OVER",$J129,$K129)</f>
        <v>589.00515813907919</v>
      </c>
      <c r="X129" s="12" t="s">
        <v>11</v>
      </c>
      <c r="Y129" s="9">
        <f t="shared" si="15"/>
        <v>495.70811719019775</v>
      </c>
      <c r="Z129" s="9">
        <f t="shared" si="15"/>
        <v>301.66422205714616</v>
      </c>
      <c r="AA129" s="9">
        <f t="shared" si="15"/>
        <v>8729.2996507344415</v>
      </c>
      <c r="AB129" s="12" t="s">
        <v>11</v>
      </c>
    </row>
    <row r="130" spans="1:28" x14ac:dyDescent="0.3">
      <c r="A130" s="1">
        <v>44600</v>
      </c>
      <c r="B130" s="2">
        <v>76.989999999999995</v>
      </c>
      <c r="C130" s="2">
        <v>83.73</v>
      </c>
      <c r="D130" s="9">
        <f>B130-B129</f>
        <v>0.46999999999999886</v>
      </c>
      <c r="E130" s="9">
        <f>C130-C129</f>
        <v>0.63000000000000966</v>
      </c>
      <c r="F130" s="3">
        <f>F$1/B130</f>
        <v>1298.8699831146903</v>
      </c>
      <c r="G130" s="3">
        <f>F$1/C130</f>
        <v>1194.3150603129104</v>
      </c>
      <c r="H130" s="2">
        <f>D130*F129</f>
        <v>614.21850496602053</v>
      </c>
      <c r="I130" s="2">
        <f>E130*G129</f>
        <v>758.12274368232215</v>
      </c>
      <c r="J130" s="2">
        <f>I130-H130</f>
        <v>143.90423871630162</v>
      </c>
      <c r="K130" s="2">
        <f t="shared" si="12"/>
        <v>-143.90423871630162</v>
      </c>
      <c r="L130" s="14">
        <f>C130/B130</f>
        <v>1.0875438368619303</v>
      </c>
      <c r="M130" s="14">
        <f t="shared" si="13"/>
        <v>1.0825322590164341</v>
      </c>
      <c r="N130" s="14">
        <f t="shared" si="17"/>
        <v>1.080790965122151</v>
      </c>
      <c r="O130" s="14">
        <f t="shared" si="18"/>
        <v>1.0818662479642907</v>
      </c>
      <c r="P130" s="15" t="s">
        <v>11</v>
      </c>
      <c r="Q130" s="4" t="str">
        <f t="shared" si="16"/>
        <v>OVER</v>
      </c>
      <c r="R130" s="4" t="str">
        <f t="shared" si="16"/>
        <v>OVER</v>
      </c>
      <c r="S130" s="4" t="str">
        <f t="shared" si="14"/>
        <v>OVER</v>
      </c>
      <c r="T130" s="12" t="s">
        <v>11</v>
      </c>
      <c r="U130" s="2">
        <f>IF(Q130="OVER",$J130,$K130)</f>
        <v>143.90423871630162</v>
      </c>
      <c r="V130" s="2">
        <f>IF(R130="OVER",$J130,$K130)</f>
        <v>143.90423871630162</v>
      </c>
      <c r="W130" s="2">
        <f>IF(S130="OVER",$J130,$K130)</f>
        <v>143.90423871630162</v>
      </c>
      <c r="X130" s="12" t="s">
        <v>11</v>
      </c>
      <c r="Y130" s="9">
        <f t="shared" si="15"/>
        <v>639.61235590649937</v>
      </c>
      <c r="Z130" s="9">
        <f t="shared" si="15"/>
        <v>445.56846077344778</v>
      </c>
      <c r="AA130" s="9">
        <f t="shared" si="15"/>
        <v>8873.2038894507423</v>
      </c>
      <c r="AB130" s="12" t="s">
        <v>11</v>
      </c>
    </row>
    <row r="131" spans="1:28" x14ac:dyDescent="0.3">
      <c r="A131" s="1">
        <v>44601</v>
      </c>
      <c r="B131" s="2">
        <v>78.510000000000005</v>
      </c>
      <c r="C131" s="2">
        <v>85.35</v>
      </c>
      <c r="D131" s="9">
        <f>B131-B130</f>
        <v>1.5200000000000102</v>
      </c>
      <c r="E131" s="9">
        <f>C131-C130</f>
        <v>1.6199999999999903</v>
      </c>
      <c r="F131" s="3">
        <f>F$1/B131</f>
        <v>1273.7230925996687</v>
      </c>
      <c r="G131" s="3">
        <f>F$1/C131</f>
        <v>1171.6461628588168</v>
      </c>
      <c r="H131" s="2">
        <f>D131*F130</f>
        <v>1974.2823743343424</v>
      </c>
      <c r="I131" s="2">
        <f>E131*G130</f>
        <v>1934.7903977069034</v>
      </c>
      <c r="J131" s="2">
        <f>I131-H131</f>
        <v>-39.491976627439044</v>
      </c>
      <c r="K131" s="2">
        <f t="shared" si="12"/>
        <v>39.491976627439044</v>
      </c>
      <c r="L131" s="14">
        <f>C131/B131</f>
        <v>1.0871226595338173</v>
      </c>
      <c r="M131" s="14">
        <f t="shared" si="13"/>
        <v>1.082788347001443</v>
      </c>
      <c r="N131" s="14">
        <f t="shared" si="17"/>
        <v>1.08124898208496</v>
      </c>
      <c r="O131" s="14">
        <f t="shared" si="18"/>
        <v>1.0805075986449972</v>
      </c>
      <c r="P131" s="15" t="s">
        <v>11</v>
      </c>
      <c r="Q131" s="4" t="str">
        <f t="shared" si="16"/>
        <v>OVER</v>
      </c>
      <c r="R131" s="4" t="str">
        <f t="shared" si="16"/>
        <v>OVER</v>
      </c>
      <c r="S131" s="4" t="str">
        <f t="shared" si="14"/>
        <v>OVER</v>
      </c>
      <c r="T131" s="12" t="s">
        <v>11</v>
      </c>
      <c r="U131" s="2">
        <f>IF(Q131="OVER",$J131,$K131)</f>
        <v>-39.491976627439044</v>
      </c>
      <c r="V131" s="2">
        <f>IF(R131="OVER",$J131,$K131)</f>
        <v>-39.491976627439044</v>
      </c>
      <c r="W131" s="2">
        <f>IF(S131="OVER",$J131,$K131)</f>
        <v>-39.491976627439044</v>
      </c>
      <c r="X131" s="12" t="s">
        <v>11</v>
      </c>
      <c r="Y131" s="9">
        <f t="shared" si="15"/>
        <v>600.12037927906033</v>
      </c>
      <c r="Z131" s="9">
        <f t="shared" si="15"/>
        <v>406.07648414600874</v>
      </c>
      <c r="AA131" s="9">
        <f t="shared" si="15"/>
        <v>8833.7119128233026</v>
      </c>
      <c r="AB131" s="12" t="s">
        <v>11</v>
      </c>
    </row>
    <row r="132" spans="1:28" x14ac:dyDescent="0.3">
      <c r="A132" s="1">
        <v>44602</v>
      </c>
      <c r="B132" s="2">
        <v>78.11</v>
      </c>
      <c r="C132" s="2">
        <v>85.17</v>
      </c>
      <c r="D132" s="9">
        <f>B132-B131</f>
        <v>-0.40000000000000568</v>
      </c>
      <c r="E132" s="9">
        <f>C132-C131</f>
        <v>-0.17999999999999261</v>
      </c>
      <c r="F132" s="3">
        <f>F$1/B132</f>
        <v>1280.2458071949814</v>
      </c>
      <c r="G132" s="3">
        <f>F$1/C132</f>
        <v>1174.1223435481977</v>
      </c>
      <c r="H132" s="2">
        <f>D132*F131</f>
        <v>-509.48923703987469</v>
      </c>
      <c r="I132" s="2">
        <f>E132*G131</f>
        <v>-210.89630931457836</v>
      </c>
      <c r="J132" s="2">
        <f>I132-H132</f>
        <v>298.59292772529636</v>
      </c>
      <c r="K132" s="2">
        <f t="shared" si="12"/>
        <v>-298.59292772529636</v>
      </c>
      <c r="L132" s="14">
        <f>C132/B132</f>
        <v>1.0903853539879658</v>
      </c>
      <c r="M132" s="14">
        <f t="shared" si="13"/>
        <v>1.0834214769948338</v>
      </c>
      <c r="N132" s="14">
        <f t="shared" si="17"/>
        <v>1.0818906481986299</v>
      </c>
      <c r="O132" s="14">
        <f t="shared" si="18"/>
        <v>1.0791658119784791</v>
      </c>
      <c r="P132" s="15" t="s">
        <v>11</v>
      </c>
      <c r="Q132" s="4" t="str">
        <f t="shared" si="16"/>
        <v>OVER</v>
      </c>
      <c r="R132" s="4" t="str">
        <f t="shared" si="16"/>
        <v>OVER</v>
      </c>
      <c r="S132" s="4" t="str">
        <f t="shared" si="14"/>
        <v>OVER</v>
      </c>
      <c r="T132" s="12" t="s">
        <v>11</v>
      </c>
      <c r="U132" s="2">
        <f>IF(Q132="OVER",$J132,$K132)</f>
        <v>298.59292772529636</v>
      </c>
      <c r="V132" s="2">
        <f>IF(R132="OVER",$J132,$K132)</f>
        <v>298.59292772529636</v>
      </c>
      <c r="W132" s="2">
        <f>IF(S132="OVER",$J132,$K132)</f>
        <v>298.59292772529636</v>
      </c>
      <c r="X132" s="12" t="s">
        <v>11</v>
      </c>
      <c r="Y132" s="9">
        <f t="shared" si="15"/>
        <v>898.71330700435669</v>
      </c>
      <c r="Z132" s="9">
        <f t="shared" si="15"/>
        <v>704.6694118713051</v>
      </c>
      <c r="AA132" s="9">
        <f t="shared" si="15"/>
        <v>9132.3048405485988</v>
      </c>
      <c r="AB132" s="12" t="s">
        <v>11</v>
      </c>
    </row>
    <row r="133" spans="1:28" x14ac:dyDescent="0.3">
      <c r="A133" s="1">
        <v>44603</v>
      </c>
      <c r="B133" s="2">
        <v>76.930000000000007</v>
      </c>
      <c r="C133" s="2">
        <v>83.62</v>
      </c>
      <c r="D133" s="9">
        <f>B133-B132</f>
        <v>-1.1799999999999926</v>
      </c>
      <c r="E133" s="9">
        <f>C133-C132</f>
        <v>-1.5499999999999972</v>
      </c>
      <c r="F133" s="3">
        <f>F$1/B133</f>
        <v>1299.8830105290522</v>
      </c>
      <c r="G133" s="3">
        <f>F$1/C133</f>
        <v>1195.886151638364</v>
      </c>
      <c r="H133" s="2">
        <f>D133*F132</f>
        <v>-1510.6900524900686</v>
      </c>
      <c r="I133" s="2">
        <f>E133*G132</f>
        <v>-1819.8896324997031</v>
      </c>
      <c r="J133" s="2">
        <f>I133-H133</f>
        <v>-309.19958000963447</v>
      </c>
      <c r="K133" s="2">
        <f t="shared" ref="K133:K196" si="19">H133-I133</f>
        <v>309.19958000963447</v>
      </c>
      <c r="L133" s="14">
        <f>C133/B133</f>
        <v>1.0869621734043935</v>
      </c>
      <c r="M133" s="14">
        <f t="shared" si="13"/>
        <v>1.0839080406382551</v>
      </c>
      <c r="N133" s="14">
        <f t="shared" si="17"/>
        <v>1.0823713188107438</v>
      </c>
      <c r="O133" s="14">
        <f t="shared" si="18"/>
        <v>1.0792164589553388</v>
      </c>
      <c r="P133" s="15" t="s">
        <v>11</v>
      </c>
      <c r="Q133" s="4" t="str">
        <f t="shared" si="16"/>
        <v>OVER</v>
      </c>
      <c r="R133" s="4" t="str">
        <f t="shared" si="16"/>
        <v>OVER</v>
      </c>
      <c r="S133" s="4" t="str">
        <f t="shared" si="14"/>
        <v>OVER</v>
      </c>
      <c r="T133" s="12" t="s">
        <v>11</v>
      </c>
      <c r="U133" s="2">
        <f>IF(Q133="OVER",$J133,$K133)</f>
        <v>-309.19958000963447</v>
      </c>
      <c r="V133" s="2">
        <f>IF(R133="OVER",$J133,$K133)</f>
        <v>-309.19958000963447</v>
      </c>
      <c r="W133" s="2">
        <f>IF(S133="OVER",$J133,$K133)</f>
        <v>-309.19958000963447</v>
      </c>
      <c r="X133" s="12" t="s">
        <v>11</v>
      </c>
      <c r="Y133" s="9">
        <f t="shared" si="15"/>
        <v>589.51372699472222</v>
      </c>
      <c r="Z133" s="9">
        <f t="shared" si="15"/>
        <v>395.46983186167063</v>
      </c>
      <c r="AA133" s="9">
        <f t="shared" si="15"/>
        <v>8823.105260538965</v>
      </c>
      <c r="AB133" s="12" t="s">
        <v>11</v>
      </c>
    </row>
    <row r="134" spans="1:28" x14ac:dyDescent="0.3">
      <c r="A134" s="1">
        <v>44606</v>
      </c>
      <c r="B134" s="2">
        <v>76.47</v>
      </c>
      <c r="C134" s="2">
        <v>83.43</v>
      </c>
      <c r="D134" s="9">
        <f>B134-B133</f>
        <v>-0.46000000000000796</v>
      </c>
      <c r="E134" s="9">
        <f>C134-C133</f>
        <v>-0.18999999999999773</v>
      </c>
      <c r="F134" s="3">
        <f>F$1/B134</f>
        <v>1307.7023669412843</v>
      </c>
      <c r="G134" s="3">
        <f>F$1/C134</f>
        <v>1198.6096128490949</v>
      </c>
      <c r="H134" s="2">
        <f>D134*F133</f>
        <v>-597.94618484337434</v>
      </c>
      <c r="I134" s="2">
        <f>E134*G133</f>
        <v>-227.21836881128644</v>
      </c>
      <c r="J134" s="2">
        <f>I134-H134</f>
        <v>370.7278160320879</v>
      </c>
      <c r="K134" s="2">
        <f t="shared" si="19"/>
        <v>-370.7278160320879</v>
      </c>
      <c r="L134" s="14">
        <f>C134/B134</f>
        <v>1.0910160847391135</v>
      </c>
      <c r="M134" s="14">
        <f t="shared" si="13"/>
        <v>1.0853163400780605</v>
      </c>
      <c r="N134" s="14">
        <f t="shared" si="17"/>
        <v>1.0830342159535313</v>
      </c>
      <c r="O134" s="14">
        <f t="shared" si="18"/>
        <v>1.0794075807468095</v>
      </c>
      <c r="P134" s="15" t="s">
        <v>11</v>
      </c>
      <c r="Q134" s="4" t="str">
        <f t="shared" si="16"/>
        <v>OVER</v>
      </c>
      <c r="R134" s="4" t="str">
        <f t="shared" si="16"/>
        <v>OVER</v>
      </c>
      <c r="S134" s="4" t="str">
        <f t="shared" si="14"/>
        <v>OVER</v>
      </c>
      <c r="T134" s="12" t="s">
        <v>11</v>
      </c>
      <c r="U134" s="2">
        <f>IF(Q134="OVER",$J134,$K134)</f>
        <v>370.7278160320879</v>
      </c>
      <c r="V134" s="2">
        <f>IF(R134="OVER",$J134,$K134)</f>
        <v>370.7278160320879</v>
      </c>
      <c r="W134" s="2">
        <f>IF(S134="OVER",$J134,$K134)</f>
        <v>370.7278160320879</v>
      </c>
      <c r="X134" s="12" t="s">
        <v>11</v>
      </c>
      <c r="Y134" s="9">
        <f t="shared" si="15"/>
        <v>960.24154302681018</v>
      </c>
      <c r="Z134" s="9">
        <f t="shared" si="15"/>
        <v>766.19764789375859</v>
      </c>
      <c r="AA134" s="9">
        <f t="shared" si="15"/>
        <v>9193.8330765710525</v>
      </c>
      <c r="AB134" s="12" t="s">
        <v>11</v>
      </c>
    </row>
    <row r="135" spans="1:28" x14ac:dyDescent="0.3">
      <c r="A135" s="1">
        <v>44607</v>
      </c>
      <c r="B135" s="2">
        <v>77.66</v>
      </c>
      <c r="C135" s="2">
        <v>84.85</v>
      </c>
      <c r="D135" s="9">
        <f>B135-B134</f>
        <v>1.1899999999999977</v>
      </c>
      <c r="E135" s="9">
        <f>C135-C134</f>
        <v>1.4199999999999875</v>
      </c>
      <c r="F135" s="3">
        <f>F$1/B135</f>
        <v>1287.6641771825909</v>
      </c>
      <c r="G135" s="3">
        <f>F$1/C135</f>
        <v>1178.5503830288746</v>
      </c>
      <c r="H135" s="2">
        <f>D135*F134</f>
        <v>1556.1658166601253</v>
      </c>
      <c r="I135" s="2">
        <f>E135*G134</f>
        <v>1702.0256502456998</v>
      </c>
      <c r="J135" s="2">
        <f>I135-H135</f>
        <v>145.85983358557451</v>
      </c>
      <c r="K135" s="2">
        <f t="shared" si="19"/>
        <v>-145.85983358557451</v>
      </c>
      <c r="L135" s="14">
        <f>C135/B135</f>
        <v>1.0925830543394282</v>
      </c>
      <c r="M135" s="14">
        <f t="shared" si="13"/>
        <v>1.0861000692408169</v>
      </c>
      <c r="N135" s="14">
        <f t="shared" si="17"/>
        <v>1.0837472040762199</v>
      </c>
      <c r="O135" s="14">
        <f t="shared" si="18"/>
        <v>1.0796742344842594</v>
      </c>
      <c r="P135" s="15" t="s">
        <v>11</v>
      </c>
      <c r="Q135" s="4" t="str">
        <f t="shared" si="16"/>
        <v>OVER</v>
      </c>
      <c r="R135" s="4" t="str">
        <f t="shared" si="16"/>
        <v>OVER</v>
      </c>
      <c r="S135" s="4" t="str">
        <f t="shared" si="14"/>
        <v>OVER</v>
      </c>
      <c r="T135" s="12" t="s">
        <v>11</v>
      </c>
      <c r="U135" s="2">
        <f>IF(Q135="OVER",$J135,$K135)</f>
        <v>145.85983358557451</v>
      </c>
      <c r="V135" s="2">
        <f>IF(R135="OVER",$J135,$K135)</f>
        <v>145.85983358557451</v>
      </c>
      <c r="W135" s="2">
        <f>IF(S135="OVER",$J135,$K135)</f>
        <v>145.85983358557451</v>
      </c>
      <c r="X135" s="12" t="s">
        <v>11</v>
      </c>
      <c r="Y135" s="9">
        <f t="shared" si="15"/>
        <v>1106.1013766123847</v>
      </c>
      <c r="Z135" s="9">
        <f t="shared" si="15"/>
        <v>912.05748147933309</v>
      </c>
      <c r="AA135" s="9">
        <f t="shared" si="15"/>
        <v>9339.6929101566275</v>
      </c>
      <c r="AB135" s="12" t="s">
        <v>11</v>
      </c>
    </row>
    <row r="136" spans="1:28" x14ac:dyDescent="0.3">
      <c r="A136" s="1">
        <v>44608</v>
      </c>
      <c r="B136" s="2">
        <v>77.44</v>
      </c>
      <c r="C136" s="2">
        <v>84.59</v>
      </c>
      <c r="D136" s="9">
        <f>B136-B135</f>
        <v>-0.21999999999999886</v>
      </c>
      <c r="E136" s="9">
        <f>C136-C135</f>
        <v>-0.25999999999999091</v>
      </c>
      <c r="F136" s="3">
        <f>F$1/B136</f>
        <v>1291.3223140495868</v>
      </c>
      <c r="G136" s="3">
        <f>F$1/C136</f>
        <v>1182.1728336682822</v>
      </c>
      <c r="H136" s="2">
        <f>D136*F135</f>
        <v>-283.28611898016857</v>
      </c>
      <c r="I136" s="2">
        <f>E136*G135</f>
        <v>-306.42309958749667</v>
      </c>
      <c r="J136" s="2">
        <f>I136-H136</f>
        <v>-23.136980607328098</v>
      </c>
      <c r="K136" s="2">
        <f t="shared" si="19"/>
        <v>23.136980607328098</v>
      </c>
      <c r="L136" s="14">
        <f>C136/B136</f>
        <v>1.0923295454545456</v>
      </c>
      <c r="M136" s="14">
        <f t="shared" si="13"/>
        <v>1.0872393347817173</v>
      </c>
      <c r="N136" s="14">
        <f t="shared" si="17"/>
        <v>1.0843326735970091</v>
      </c>
      <c r="O136" s="14">
        <f t="shared" si="18"/>
        <v>1.0799096939396706</v>
      </c>
      <c r="P136" s="15" t="s">
        <v>11</v>
      </c>
      <c r="Q136" s="4" t="str">
        <f t="shared" si="16"/>
        <v>OVER</v>
      </c>
      <c r="R136" s="4" t="str">
        <f t="shared" si="16"/>
        <v>OVER</v>
      </c>
      <c r="S136" s="4" t="str">
        <f t="shared" si="14"/>
        <v>OVER</v>
      </c>
      <c r="T136" s="12" t="s">
        <v>11</v>
      </c>
      <c r="U136" s="2">
        <f>IF(Q136="OVER",$J136,$K136)</f>
        <v>-23.136980607328098</v>
      </c>
      <c r="V136" s="2">
        <f>IF(R136="OVER",$J136,$K136)</f>
        <v>-23.136980607328098</v>
      </c>
      <c r="W136" s="2">
        <f>IF(S136="OVER",$J136,$K136)</f>
        <v>-23.136980607328098</v>
      </c>
      <c r="X136" s="12" t="s">
        <v>11</v>
      </c>
      <c r="Y136" s="9">
        <f t="shared" si="15"/>
        <v>1082.9643960050566</v>
      </c>
      <c r="Z136" s="9">
        <f t="shared" si="15"/>
        <v>888.92050087200505</v>
      </c>
      <c r="AA136" s="9">
        <f t="shared" si="15"/>
        <v>9316.5559295492985</v>
      </c>
      <c r="AB136" s="12" t="s">
        <v>11</v>
      </c>
    </row>
    <row r="137" spans="1:28" x14ac:dyDescent="0.3">
      <c r="A137" s="1">
        <v>44609</v>
      </c>
      <c r="B137" s="2">
        <v>76.09</v>
      </c>
      <c r="C137" s="2">
        <v>83.06</v>
      </c>
      <c r="D137" s="9">
        <f>B137-B136</f>
        <v>-1.3499999999999943</v>
      </c>
      <c r="E137" s="9">
        <f>C137-C136</f>
        <v>-1.5300000000000011</v>
      </c>
      <c r="F137" s="3">
        <f>F$1/B137</f>
        <v>1314.2331449599158</v>
      </c>
      <c r="G137" s="3">
        <f>F$1/C137</f>
        <v>1203.9489525644112</v>
      </c>
      <c r="H137" s="2">
        <f>D137*F136</f>
        <v>-1743.2851239669349</v>
      </c>
      <c r="I137" s="2">
        <f>E137*G136</f>
        <v>-1808.7244355124731</v>
      </c>
      <c r="J137" s="2">
        <f>I137-H137</f>
        <v>-65.439311545538203</v>
      </c>
      <c r="K137" s="2">
        <f t="shared" si="19"/>
        <v>65.439311545538203</v>
      </c>
      <c r="L137" s="14">
        <f>C137/B137</f>
        <v>1.091602050203706</v>
      </c>
      <c r="M137" s="14">
        <f t="shared" si="13"/>
        <v>1.0885159419184898</v>
      </c>
      <c r="N137" s="14">
        <f t="shared" si="17"/>
        <v>1.0850631442766816</v>
      </c>
      <c r="O137" s="14">
        <f t="shared" si="18"/>
        <v>1.0801250901990358</v>
      </c>
      <c r="P137" s="15" t="s">
        <v>11</v>
      </c>
      <c r="Q137" s="4" t="str">
        <f t="shared" si="16"/>
        <v>OVER</v>
      </c>
      <c r="R137" s="4" t="str">
        <f t="shared" si="16"/>
        <v>OVER</v>
      </c>
      <c r="S137" s="4" t="str">
        <f t="shared" si="14"/>
        <v>OVER</v>
      </c>
      <c r="T137" s="12" t="s">
        <v>11</v>
      </c>
      <c r="U137" s="2">
        <f>IF(Q137="OVER",$J137,$K137)</f>
        <v>-65.439311545538203</v>
      </c>
      <c r="V137" s="2">
        <f>IF(R137="OVER",$J137,$K137)</f>
        <v>-65.439311545538203</v>
      </c>
      <c r="W137" s="2">
        <f>IF(S137="OVER",$J137,$K137)</f>
        <v>-65.439311545538203</v>
      </c>
      <c r="X137" s="12" t="s">
        <v>11</v>
      </c>
      <c r="Y137" s="9">
        <f t="shared" si="15"/>
        <v>1017.5250844595184</v>
      </c>
      <c r="Z137" s="9">
        <f t="shared" si="15"/>
        <v>823.48118932646685</v>
      </c>
      <c r="AA137" s="9">
        <f t="shared" si="15"/>
        <v>9251.1166180037599</v>
      </c>
      <c r="AB137" s="12" t="s">
        <v>11</v>
      </c>
    </row>
    <row r="138" spans="1:28" x14ac:dyDescent="0.3">
      <c r="A138" s="1">
        <v>44610</v>
      </c>
      <c r="B138" s="2">
        <v>75.400000000000006</v>
      </c>
      <c r="C138" s="2">
        <v>82.04</v>
      </c>
      <c r="D138" s="9">
        <f>B138-B137</f>
        <v>-0.68999999999999773</v>
      </c>
      <c r="E138" s="9">
        <f>C138-C137</f>
        <v>-1.019999999999996</v>
      </c>
      <c r="F138" s="3">
        <f>F$1/B138</f>
        <v>1326.259946949602</v>
      </c>
      <c r="G138" s="3">
        <f>F$1/C138</f>
        <v>1218.9176011701609</v>
      </c>
      <c r="H138" s="2">
        <f>D138*F137</f>
        <v>-906.82087002233891</v>
      </c>
      <c r="I138" s="2">
        <f>E138*G137</f>
        <v>-1228.0279316156946</v>
      </c>
      <c r="J138" s="2">
        <f>I138-H138</f>
        <v>-321.20706159335566</v>
      </c>
      <c r="K138" s="2">
        <f t="shared" si="19"/>
        <v>321.20706159335566</v>
      </c>
      <c r="L138" s="14">
        <f>C138/B138</f>
        <v>1.0880636604774536</v>
      </c>
      <c r="M138" s="14">
        <f t="shared" si="13"/>
        <v>1.0893599009697597</v>
      </c>
      <c r="N138" s="14">
        <f t="shared" si="17"/>
        <v>1.0853841571662375</v>
      </c>
      <c r="O138" s="14">
        <f t="shared" si="18"/>
        <v>1.080240584264579</v>
      </c>
      <c r="P138" s="15" t="s">
        <v>11</v>
      </c>
      <c r="Q138" s="4" t="str">
        <f t="shared" si="16"/>
        <v>OVER</v>
      </c>
      <c r="R138" s="4" t="str">
        <f t="shared" si="16"/>
        <v>OVER</v>
      </c>
      <c r="S138" s="4" t="str">
        <f t="shared" si="14"/>
        <v>OVER</v>
      </c>
      <c r="T138" s="12" t="s">
        <v>11</v>
      </c>
      <c r="U138" s="2">
        <f>IF(Q138="OVER",$J138,$K138)</f>
        <v>-321.20706159335566</v>
      </c>
      <c r="V138" s="2">
        <f>IF(R138="OVER",$J138,$K138)</f>
        <v>-321.20706159335566</v>
      </c>
      <c r="W138" s="2">
        <f>IF(S138="OVER",$J138,$K138)</f>
        <v>-321.20706159335566</v>
      </c>
      <c r="X138" s="12" t="s">
        <v>11</v>
      </c>
      <c r="Y138" s="9">
        <f t="shared" si="15"/>
        <v>696.31802286616278</v>
      </c>
      <c r="Z138" s="9">
        <f t="shared" si="15"/>
        <v>502.27412773311119</v>
      </c>
      <c r="AA138" s="9">
        <f t="shared" si="15"/>
        <v>8929.9095564104045</v>
      </c>
      <c r="AB138" s="12" t="s">
        <v>11</v>
      </c>
    </row>
    <row r="139" spans="1:28" x14ac:dyDescent="0.3">
      <c r="A139" s="1">
        <v>44614</v>
      </c>
      <c r="B139" s="2">
        <v>74.52</v>
      </c>
      <c r="C139" s="2">
        <v>80.8</v>
      </c>
      <c r="D139" s="9">
        <f>B139-B138</f>
        <v>-0.88000000000000966</v>
      </c>
      <c r="E139" s="9">
        <f>C139-C138</f>
        <v>-1.2400000000000091</v>
      </c>
      <c r="F139" s="3">
        <f>F$1/B139</f>
        <v>1341.9216317767043</v>
      </c>
      <c r="G139" s="3">
        <f>F$1/C139</f>
        <v>1237.6237623762377</v>
      </c>
      <c r="H139" s="2">
        <f>D139*F138</f>
        <v>-1167.1087533156626</v>
      </c>
      <c r="I139" s="2">
        <f>E139*G138</f>
        <v>-1511.4578254510106</v>
      </c>
      <c r="J139" s="2">
        <f>I139-H139</f>
        <v>-344.34907213534802</v>
      </c>
      <c r="K139" s="2">
        <f t="shared" si="19"/>
        <v>344.34907213534802</v>
      </c>
      <c r="L139" s="14">
        <f>C139/B139</f>
        <v>1.084272678475577</v>
      </c>
      <c r="M139" s="14">
        <f t="shared" si="13"/>
        <v>1.0891881097477931</v>
      </c>
      <c r="N139" s="14">
        <f t="shared" si="17"/>
        <v>1.0855846331952796</v>
      </c>
      <c r="O139" s="14">
        <f t="shared" si="18"/>
        <v>1.0803151867958001</v>
      </c>
      <c r="P139" s="15" t="s">
        <v>11</v>
      </c>
      <c r="Q139" s="4" t="str">
        <f t="shared" si="16"/>
        <v>UNDER</v>
      </c>
      <c r="R139" s="4" t="str">
        <f t="shared" si="16"/>
        <v>OVER</v>
      </c>
      <c r="S139" s="4" t="str">
        <f t="shared" si="14"/>
        <v>OVER</v>
      </c>
      <c r="T139" s="12" t="s">
        <v>11</v>
      </c>
      <c r="U139" s="2">
        <f>IF(Q139="OVER",$J139,$K139)</f>
        <v>344.34907213534802</v>
      </c>
      <c r="V139" s="2">
        <f>IF(R139="OVER",$J139,$K139)</f>
        <v>-344.34907213534802</v>
      </c>
      <c r="W139" s="2">
        <f>IF(S139="OVER",$J139,$K139)</f>
        <v>-344.34907213534802</v>
      </c>
      <c r="X139" s="12" t="s">
        <v>11</v>
      </c>
      <c r="Y139" s="9">
        <f t="shared" si="15"/>
        <v>1040.6670950015109</v>
      </c>
      <c r="Z139" s="9">
        <f t="shared" si="15"/>
        <v>157.92505559776316</v>
      </c>
      <c r="AA139" s="9">
        <f t="shared" si="15"/>
        <v>8585.5604842750563</v>
      </c>
      <c r="AB139" s="12" t="s">
        <v>11</v>
      </c>
    </row>
    <row r="140" spans="1:28" x14ac:dyDescent="0.3">
      <c r="A140" s="1">
        <v>44615</v>
      </c>
      <c r="B140" s="2">
        <v>73.650000000000006</v>
      </c>
      <c r="C140" s="2">
        <v>79.81</v>
      </c>
      <c r="D140" s="9">
        <f>B140-B139</f>
        <v>-0.86999999999999034</v>
      </c>
      <c r="E140" s="9">
        <f>C140-C139</f>
        <v>-0.98999999999999488</v>
      </c>
      <c r="F140" s="3">
        <f>F$1/B140</f>
        <v>1357.7732518669382</v>
      </c>
      <c r="G140" s="3">
        <f>F$1/C140</f>
        <v>1252.9758175667209</v>
      </c>
      <c r="H140" s="2">
        <f>D140*F139</f>
        <v>-1167.4718196457197</v>
      </c>
      <c r="I140" s="2">
        <f>E140*G139</f>
        <v>-1225.247524752469</v>
      </c>
      <c r="J140" s="2">
        <f>I140-H140</f>
        <v>-57.775705106749228</v>
      </c>
      <c r="K140" s="2">
        <f t="shared" si="19"/>
        <v>57.775705106749228</v>
      </c>
      <c r="L140" s="14">
        <f>C140/B140</f>
        <v>1.0836388323150032</v>
      </c>
      <c r="M140" s="14">
        <f t="shared" si="13"/>
        <v>1.0887976092931004</v>
      </c>
      <c r="N140" s="14">
        <f t="shared" si="17"/>
        <v>1.0856649341547673</v>
      </c>
      <c r="O140" s="14">
        <f t="shared" si="18"/>
        <v>1.0804683379469615</v>
      </c>
      <c r="P140" s="15" t="s">
        <v>11</v>
      </c>
      <c r="Q140" s="4" t="str">
        <f t="shared" si="16"/>
        <v>UNDER</v>
      </c>
      <c r="R140" s="4" t="str">
        <f t="shared" si="16"/>
        <v>UNDER</v>
      </c>
      <c r="S140" s="4" t="str">
        <f t="shared" si="14"/>
        <v>OVER</v>
      </c>
      <c r="T140" s="12" t="s">
        <v>11</v>
      </c>
      <c r="U140" s="2">
        <f>IF(Q140="OVER",$J140,$K140)</f>
        <v>57.775705106749228</v>
      </c>
      <c r="V140" s="2">
        <f>IF(R140="OVER",$J140,$K140)</f>
        <v>57.775705106749228</v>
      </c>
      <c r="W140" s="2">
        <f>IF(S140="OVER",$J140,$K140)</f>
        <v>-57.775705106749228</v>
      </c>
      <c r="X140" s="12" t="s">
        <v>11</v>
      </c>
      <c r="Y140" s="9">
        <f t="shared" si="15"/>
        <v>1098.4428001082601</v>
      </c>
      <c r="Z140" s="9">
        <f t="shared" si="15"/>
        <v>215.70076070451239</v>
      </c>
      <c r="AA140" s="9">
        <f t="shared" si="15"/>
        <v>8527.7847791683071</v>
      </c>
      <c r="AB140" s="12" t="s">
        <v>11</v>
      </c>
    </row>
    <row r="141" spans="1:28" x14ac:dyDescent="0.3">
      <c r="A141" s="1">
        <v>44616</v>
      </c>
      <c r="B141" s="2">
        <v>74.83</v>
      </c>
      <c r="C141" s="2">
        <v>81.34</v>
      </c>
      <c r="D141" s="9">
        <f>B141-B140</f>
        <v>1.1799999999999926</v>
      </c>
      <c r="E141" s="9">
        <f>C141-C140</f>
        <v>1.5300000000000011</v>
      </c>
      <c r="F141" s="3">
        <f>F$1/B141</f>
        <v>1336.3624214887077</v>
      </c>
      <c r="G141" s="3">
        <f>F$1/C141</f>
        <v>1229.4074256208507</v>
      </c>
      <c r="H141" s="2">
        <f>D141*F140</f>
        <v>1602.1724372029769</v>
      </c>
      <c r="I141" s="2">
        <f>E141*G140</f>
        <v>1917.0530008770845</v>
      </c>
      <c r="J141" s="2">
        <f>I141-H141</f>
        <v>314.88056367410763</v>
      </c>
      <c r="K141" s="2">
        <f t="shared" si="19"/>
        <v>-314.88056367410763</v>
      </c>
      <c r="L141" s="14">
        <f>C141/B141</f>
        <v>1.0869971936389149</v>
      </c>
      <c r="M141" s="14">
        <f t="shared" ref="M141:M204" si="20">AVERAGE(L132:L141)</f>
        <v>1.0887850627036102</v>
      </c>
      <c r="N141" s="14">
        <f t="shared" si="17"/>
        <v>1.0857867048525265</v>
      </c>
      <c r="O141" s="14">
        <f t="shared" si="18"/>
        <v>1.0807013163442702</v>
      </c>
      <c r="P141" s="15" t="s">
        <v>11</v>
      </c>
      <c r="Q141" s="4" t="str">
        <f t="shared" si="16"/>
        <v>UNDER</v>
      </c>
      <c r="R141" s="4" t="str">
        <f t="shared" si="16"/>
        <v>UNDER</v>
      </c>
      <c r="S141" s="4" t="str">
        <f t="shared" ref="S141:T204" si="21">IF($L141&gt;O141,"OVER","UNDER")</f>
        <v>OVER</v>
      </c>
      <c r="T141" s="12" t="s">
        <v>11</v>
      </c>
      <c r="U141" s="2">
        <f>IF(Q141="OVER",$J141,$K141)</f>
        <v>-314.88056367410763</v>
      </c>
      <c r="V141" s="2">
        <f>IF(R141="OVER",$J141,$K141)</f>
        <v>-314.88056367410763</v>
      </c>
      <c r="W141" s="2">
        <f>IF(S141="OVER",$J141,$K141)</f>
        <v>314.88056367410763</v>
      </c>
      <c r="X141" s="12" t="s">
        <v>11</v>
      </c>
      <c r="Y141" s="9">
        <f t="shared" ref="Y141:AB204" si="22">Y140+U141</f>
        <v>783.56223643415251</v>
      </c>
      <c r="Z141" s="9">
        <f t="shared" si="22"/>
        <v>-99.179802969595244</v>
      </c>
      <c r="AA141" s="9">
        <f t="shared" si="22"/>
        <v>8842.6653428424142</v>
      </c>
      <c r="AB141" s="12" t="s">
        <v>11</v>
      </c>
    </row>
    <row r="142" spans="1:28" x14ac:dyDescent="0.3">
      <c r="A142" s="1">
        <v>44617</v>
      </c>
      <c r="B142" s="2">
        <v>76.16</v>
      </c>
      <c r="C142" s="2">
        <v>82.43</v>
      </c>
      <c r="D142" s="9">
        <f>B142-B141</f>
        <v>1.3299999999999983</v>
      </c>
      <c r="E142" s="9">
        <f>C142-C141</f>
        <v>1.0900000000000034</v>
      </c>
      <c r="F142" s="3">
        <f>F$1/B142</f>
        <v>1313.0252100840337</v>
      </c>
      <c r="G142" s="3">
        <f>F$1/C142</f>
        <v>1213.1505519835011</v>
      </c>
      <c r="H142" s="2">
        <f>D142*F141</f>
        <v>1777.3620205799789</v>
      </c>
      <c r="I142" s="2">
        <f>E142*G141</f>
        <v>1340.0540939267314</v>
      </c>
      <c r="J142" s="2">
        <f>I142-H142</f>
        <v>-437.30792665324748</v>
      </c>
      <c r="K142" s="2">
        <f t="shared" si="19"/>
        <v>437.30792665324748</v>
      </c>
      <c r="L142" s="14">
        <f>C142/B142</f>
        <v>1.0823266806722691</v>
      </c>
      <c r="M142" s="14">
        <f t="shared" si="20"/>
        <v>1.0879791953720406</v>
      </c>
      <c r="N142" s="14">
        <f t="shared" si="17"/>
        <v>1.0857003361834372</v>
      </c>
      <c r="O142" s="14">
        <f t="shared" si="18"/>
        <v>1.0808573184977279</v>
      </c>
      <c r="P142" s="15" t="s">
        <v>11</v>
      </c>
      <c r="Q142" s="4" t="str">
        <f t="shared" ref="Q142:R205" si="23">IF($L141&gt;M141,"OVER","UNDER")</f>
        <v>UNDER</v>
      </c>
      <c r="R142" s="4" t="str">
        <f t="shared" si="23"/>
        <v>OVER</v>
      </c>
      <c r="S142" s="4" t="str">
        <f t="shared" si="21"/>
        <v>OVER</v>
      </c>
      <c r="T142" s="12" t="s">
        <v>11</v>
      </c>
      <c r="U142" s="2">
        <f>IF(Q142="OVER",$J142,$K142)</f>
        <v>437.30792665324748</v>
      </c>
      <c r="V142" s="2">
        <f>IF(R142="OVER",$J142,$K142)</f>
        <v>-437.30792665324748</v>
      </c>
      <c r="W142" s="2">
        <f>IF(S142="OVER",$J142,$K142)</f>
        <v>-437.30792665324748</v>
      </c>
      <c r="X142" s="12" t="s">
        <v>11</v>
      </c>
      <c r="Y142" s="9">
        <f t="shared" si="22"/>
        <v>1220.8701630874</v>
      </c>
      <c r="Z142" s="9">
        <f t="shared" si="22"/>
        <v>-536.48772962284272</v>
      </c>
      <c r="AA142" s="9">
        <f t="shared" si="22"/>
        <v>8405.3574161891665</v>
      </c>
      <c r="AB142" s="12" t="s">
        <v>11</v>
      </c>
    </row>
    <row r="143" spans="1:28" x14ac:dyDescent="0.3">
      <c r="A143" s="1">
        <v>44620</v>
      </c>
      <c r="B143" s="2">
        <v>75.900000000000006</v>
      </c>
      <c r="C143" s="2">
        <v>83.06</v>
      </c>
      <c r="D143" s="9">
        <f>B143-B142</f>
        <v>-0.25999999999999091</v>
      </c>
      <c r="E143" s="9">
        <f>C143-C142</f>
        <v>0.62999999999999545</v>
      </c>
      <c r="F143" s="3">
        <f>F$1/B143</f>
        <v>1317.5230566534913</v>
      </c>
      <c r="G143" s="3">
        <f>F$1/C143</f>
        <v>1203.9489525644112</v>
      </c>
      <c r="H143" s="2">
        <f>D143*F142</f>
        <v>-341.38655462183681</v>
      </c>
      <c r="I143" s="2">
        <f>E143*G142</f>
        <v>764.2848477496002</v>
      </c>
      <c r="J143" s="2">
        <f>I143-H143</f>
        <v>1105.6714023714371</v>
      </c>
      <c r="K143" s="2">
        <f t="shared" si="19"/>
        <v>-1105.6714023714371</v>
      </c>
      <c r="L143" s="14">
        <f>C143/B143</f>
        <v>1.09433465085639</v>
      </c>
      <c r="M143" s="14">
        <f t="shared" si="20"/>
        <v>1.08871644311724</v>
      </c>
      <c r="N143" s="14">
        <f t="shared" si="17"/>
        <v>1.0863122418777476</v>
      </c>
      <c r="O143" s="14">
        <f t="shared" si="18"/>
        <v>1.0813135383211003</v>
      </c>
      <c r="P143" s="15" t="s">
        <v>11</v>
      </c>
      <c r="Q143" s="4" t="str">
        <f t="shared" si="23"/>
        <v>UNDER</v>
      </c>
      <c r="R143" s="4" t="str">
        <f t="shared" si="23"/>
        <v>UNDER</v>
      </c>
      <c r="S143" s="4" t="str">
        <f t="shared" si="21"/>
        <v>OVER</v>
      </c>
      <c r="T143" s="12" t="s">
        <v>11</v>
      </c>
      <c r="U143" s="2">
        <f>IF(Q143="OVER",$J143,$K143)</f>
        <v>-1105.6714023714371</v>
      </c>
      <c r="V143" s="2">
        <f>IF(R143="OVER",$J143,$K143)</f>
        <v>-1105.6714023714371</v>
      </c>
      <c r="W143" s="2">
        <f>IF(S143="OVER",$J143,$K143)</f>
        <v>1105.6714023714371</v>
      </c>
      <c r="X143" s="12" t="s">
        <v>11</v>
      </c>
      <c r="Y143" s="9">
        <f t="shared" si="22"/>
        <v>115.19876071596286</v>
      </c>
      <c r="Z143" s="9">
        <f t="shared" si="22"/>
        <v>-1642.15913199428</v>
      </c>
      <c r="AA143" s="9">
        <f t="shared" si="22"/>
        <v>9511.0288185606041</v>
      </c>
      <c r="AB143" s="12" t="s">
        <v>11</v>
      </c>
    </row>
    <row r="144" spans="1:28" x14ac:dyDescent="0.3">
      <c r="A144" s="1">
        <v>44621</v>
      </c>
      <c r="B144" s="2">
        <v>75.599999999999994</v>
      </c>
      <c r="C144" s="2">
        <v>82.44</v>
      </c>
      <c r="D144" s="9">
        <f>B144-B143</f>
        <v>-0.30000000000001137</v>
      </c>
      <c r="E144" s="9">
        <f>C144-C143</f>
        <v>-0.62000000000000455</v>
      </c>
      <c r="F144" s="3">
        <f>F$1/B144</f>
        <v>1322.751322751323</v>
      </c>
      <c r="G144" s="3">
        <f>F$1/C144</f>
        <v>1213.0033964095101</v>
      </c>
      <c r="H144" s="2">
        <f>D144*F143</f>
        <v>-395.25691699606239</v>
      </c>
      <c r="I144" s="2">
        <f>E144*G143</f>
        <v>-746.44835058994045</v>
      </c>
      <c r="J144" s="2">
        <f>I144-H144</f>
        <v>-351.19143359387806</v>
      </c>
      <c r="K144" s="2">
        <f t="shared" si="19"/>
        <v>351.19143359387806</v>
      </c>
      <c r="L144" s="14">
        <f>C144/B144</f>
        <v>1.0904761904761906</v>
      </c>
      <c r="M144" s="14">
        <f t="shared" si="20"/>
        <v>1.0886624536909477</v>
      </c>
      <c r="N144" s="14">
        <f t="shared" si="17"/>
        <v>1.0869893968845044</v>
      </c>
      <c r="O144" s="14">
        <f t="shared" si="18"/>
        <v>1.0817879289854528</v>
      </c>
      <c r="P144" s="15" t="s">
        <v>11</v>
      </c>
      <c r="Q144" s="4" t="str">
        <f t="shared" si="23"/>
        <v>OVER</v>
      </c>
      <c r="R144" s="4" t="str">
        <f t="shared" si="23"/>
        <v>OVER</v>
      </c>
      <c r="S144" s="4" t="str">
        <f t="shared" si="21"/>
        <v>OVER</v>
      </c>
      <c r="T144" s="12" t="s">
        <v>11</v>
      </c>
      <c r="U144" s="2">
        <f>IF(Q144="OVER",$J144,$K144)</f>
        <v>-351.19143359387806</v>
      </c>
      <c r="V144" s="2">
        <f>IF(R144="OVER",$J144,$K144)</f>
        <v>-351.19143359387806</v>
      </c>
      <c r="W144" s="2">
        <f>IF(S144="OVER",$J144,$K144)</f>
        <v>-351.19143359387806</v>
      </c>
      <c r="X144" s="12" t="s">
        <v>11</v>
      </c>
      <c r="Y144" s="9">
        <f t="shared" si="22"/>
        <v>-235.9926728779152</v>
      </c>
      <c r="Z144" s="9">
        <f t="shared" si="22"/>
        <v>-1993.3505655881581</v>
      </c>
      <c r="AA144" s="9">
        <f t="shared" si="22"/>
        <v>9159.8373849667259</v>
      </c>
      <c r="AB144" s="12" t="s">
        <v>11</v>
      </c>
    </row>
    <row r="145" spans="1:28" x14ac:dyDescent="0.3">
      <c r="A145" s="1">
        <v>44622</v>
      </c>
      <c r="B145" s="2">
        <v>76.14</v>
      </c>
      <c r="C145" s="2">
        <v>83.07</v>
      </c>
      <c r="D145" s="9">
        <f>B145-B144</f>
        <v>0.54000000000000625</v>
      </c>
      <c r="E145" s="9">
        <f>C145-C144</f>
        <v>0.62999999999999545</v>
      </c>
      <c r="F145" s="3">
        <f>F$1/B145</f>
        <v>1313.3701076963489</v>
      </c>
      <c r="G145" s="3">
        <f>F$1/C145</f>
        <v>1203.8040207054294</v>
      </c>
      <c r="H145" s="2">
        <f>D145*F144</f>
        <v>714.28571428572263</v>
      </c>
      <c r="I145" s="2">
        <f>E145*G144</f>
        <v>764.19213973798583</v>
      </c>
      <c r="J145" s="2">
        <f>I145-H145</f>
        <v>49.906425452263193</v>
      </c>
      <c r="K145" s="2">
        <f t="shared" si="19"/>
        <v>-49.906425452263193</v>
      </c>
      <c r="L145" s="14">
        <f>C145/B145</f>
        <v>1.0910165484633569</v>
      </c>
      <c r="M145" s="14">
        <f t="shared" si="20"/>
        <v>1.0885058031033406</v>
      </c>
      <c r="N145" s="14">
        <f t="shared" si="17"/>
        <v>1.087302936172079</v>
      </c>
      <c r="O145" s="14">
        <f t="shared" si="18"/>
        <v>1.0820512558961786</v>
      </c>
      <c r="P145" s="15" t="s">
        <v>11</v>
      </c>
      <c r="Q145" s="4" t="str">
        <f t="shared" si="23"/>
        <v>OVER</v>
      </c>
      <c r="R145" s="4" t="str">
        <f t="shared" si="23"/>
        <v>OVER</v>
      </c>
      <c r="S145" s="4" t="str">
        <f t="shared" si="21"/>
        <v>OVER</v>
      </c>
      <c r="T145" s="12" t="s">
        <v>11</v>
      </c>
      <c r="U145" s="2">
        <f>IF(Q145="OVER",$J145,$K145)</f>
        <v>49.906425452263193</v>
      </c>
      <c r="V145" s="2">
        <f>IF(R145="OVER",$J145,$K145)</f>
        <v>49.906425452263193</v>
      </c>
      <c r="W145" s="2">
        <f>IF(S145="OVER",$J145,$K145)</f>
        <v>49.906425452263193</v>
      </c>
      <c r="X145" s="12" t="s">
        <v>11</v>
      </c>
      <c r="Y145" s="9">
        <f t="shared" si="22"/>
        <v>-186.086247425652</v>
      </c>
      <c r="Z145" s="9">
        <f t="shared" si="22"/>
        <v>-1943.4441401358949</v>
      </c>
      <c r="AA145" s="9">
        <f t="shared" si="22"/>
        <v>9209.7438104189896</v>
      </c>
      <c r="AB145" s="12" t="s">
        <v>11</v>
      </c>
    </row>
    <row r="146" spans="1:28" x14ac:dyDescent="0.3">
      <c r="A146" s="1">
        <v>44623</v>
      </c>
      <c r="B146" s="2">
        <v>75.349999999999994</v>
      </c>
      <c r="C146" s="2">
        <v>82.1</v>
      </c>
      <c r="D146" s="9">
        <f>B146-B145</f>
        <v>-0.79000000000000625</v>
      </c>
      <c r="E146" s="9">
        <f>C146-C145</f>
        <v>-0.96999999999999886</v>
      </c>
      <c r="F146" s="3">
        <f>F$1/B146</f>
        <v>1327.1400132714002</v>
      </c>
      <c r="G146" s="3">
        <f>F$1/C146</f>
        <v>1218.026796589525</v>
      </c>
      <c r="H146" s="2">
        <f>D146*F145</f>
        <v>-1037.5623850801239</v>
      </c>
      <c r="I146" s="2">
        <f>E146*G145</f>
        <v>-1167.6899000842652</v>
      </c>
      <c r="J146" s="2">
        <f>I146-H146</f>
        <v>-130.12751500414129</v>
      </c>
      <c r="K146" s="2">
        <f t="shared" si="19"/>
        <v>130.12751500414129</v>
      </c>
      <c r="L146" s="14">
        <f>C146/B146</f>
        <v>1.0895819508958196</v>
      </c>
      <c r="M146" s="14">
        <f t="shared" si="20"/>
        <v>1.088231043647468</v>
      </c>
      <c r="N146" s="14">
        <f t="shared" si="17"/>
        <v>1.0877351892145928</v>
      </c>
      <c r="O146" s="14">
        <f t="shared" si="18"/>
        <v>1.0823162530305759</v>
      </c>
      <c r="P146" s="15" t="s">
        <v>11</v>
      </c>
      <c r="Q146" s="4" t="str">
        <f t="shared" si="23"/>
        <v>OVER</v>
      </c>
      <c r="R146" s="4" t="str">
        <f t="shared" si="23"/>
        <v>OVER</v>
      </c>
      <c r="S146" s="4" t="str">
        <f t="shared" si="21"/>
        <v>OVER</v>
      </c>
      <c r="T146" s="12" t="s">
        <v>11</v>
      </c>
      <c r="U146" s="2">
        <f>IF(Q146="OVER",$J146,$K146)</f>
        <v>-130.12751500414129</v>
      </c>
      <c r="V146" s="2">
        <f>IF(R146="OVER",$J146,$K146)</f>
        <v>-130.12751500414129</v>
      </c>
      <c r="W146" s="2">
        <f>IF(S146="OVER",$J146,$K146)</f>
        <v>-130.12751500414129</v>
      </c>
      <c r="X146" s="12" t="s">
        <v>11</v>
      </c>
      <c r="Y146" s="9">
        <f t="shared" si="22"/>
        <v>-316.21376242979329</v>
      </c>
      <c r="Z146" s="9">
        <f t="shared" si="22"/>
        <v>-2073.5716551400365</v>
      </c>
      <c r="AA146" s="9">
        <f t="shared" si="22"/>
        <v>9079.6162954148476</v>
      </c>
      <c r="AB146" s="12" t="s">
        <v>11</v>
      </c>
    </row>
    <row r="147" spans="1:28" x14ac:dyDescent="0.3">
      <c r="A147" s="1">
        <v>44624</v>
      </c>
      <c r="B147" s="2">
        <v>74.3</v>
      </c>
      <c r="C147" s="2">
        <v>80.69</v>
      </c>
      <c r="D147" s="9">
        <f>B147-B146</f>
        <v>-1.0499999999999972</v>
      </c>
      <c r="E147" s="9">
        <f>C147-C146</f>
        <v>-1.4099999999999966</v>
      </c>
      <c r="F147" s="3">
        <f>F$1/B147</f>
        <v>1345.8950201884254</v>
      </c>
      <c r="G147" s="3">
        <f>F$1/C147</f>
        <v>1239.3109431156277</v>
      </c>
      <c r="H147" s="2">
        <f>D147*F146</f>
        <v>-1393.4970139349664</v>
      </c>
      <c r="I147" s="2">
        <f>E147*G146</f>
        <v>-1717.4177831912261</v>
      </c>
      <c r="J147" s="2">
        <f>I147-H147</f>
        <v>-323.92076925625975</v>
      </c>
      <c r="K147" s="2">
        <f t="shared" si="19"/>
        <v>323.92076925625975</v>
      </c>
      <c r="L147" s="14">
        <f>C147/B147</f>
        <v>1.0860026917900405</v>
      </c>
      <c r="M147" s="14">
        <f t="shared" si="20"/>
        <v>1.0876711078061017</v>
      </c>
      <c r="N147" s="14">
        <f t="shared" si="17"/>
        <v>1.0880935248622958</v>
      </c>
      <c r="O147" s="14">
        <f t="shared" si="18"/>
        <v>1.0824821790933135</v>
      </c>
      <c r="P147" s="15" t="s">
        <v>11</v>
      </c>
      <c r="Q147" s="4" t="str">
        <f t="shared" si="23"/>
        <v>OVER</v>
      </c>
      <c r="R147" s="4" t="str">
        <f t="shared" si="23"/>
        <v>OVER</v>
      </c>
      <c r="S147" s="4" t="str">
        <f t="shared" si="21"/>
        <v>OVER</v>
      </c>
      <c r="T147" s="12" t="s">
        <v>11</v>
      </c>
      <c r="U147" s="2">
        <f>IF(Q147="OVER",$J147,$K147)</f>
        <v>-323.92076925625975</v>
      </c>
      <c r="V147" s="2">
        <f>IF(R147="OVER",$J147,$K147)</f>
        <v>-323.92076925625975</v>
      </c>
      <c r="W147" s="2">
        <f>IF(S147="OVER",$J147,$K147)</f>
        <v>-323.92076925625975</v>
      </c>
      <c r="X147" s="12" t="s">
        <v>11</v>
      </c>
      <c r="Y147" s="9">
        <f t="shared" si="22"/>
        <v>-640.13453168605304</v>
      </c>
      <c r="Z147" s="9">
        <f t="shared" si="22"/>
        <v>-2397.492424396296</v>
      </c>
      <c r="AA147" s="9">
        <f t="shared" si="22"/>
        <v>8755.6955261585881</v>
      </c>
      <c r="AB147" s="12" t="s">
        <v>11</v>
      </c>
    </row>
    <row r="148" spans="1:28" x14ac:dyDescent="0.3">
      <c r="A148" s="1">
        <v>44627</v>
      </c>
      <c r="B148" s="2">
        <v>72.84</v>
      </c>
      <c r="C148" s="2">
        <v>78.81</v>
      </c>
      <c r="D148" s="9">
        <f>B148-B147</f>
        <v>-1.4599999999999937</v>
      </c>
      <c r="E148" s="9">
        <f>C148-C147</f>
        <v>-1.8799999999999955</v>
      </c>
      <c r="F148" s="3">
        <f>F$1/B148</f>
        <v>1372.8720483250961</v>
      </c>
      <c r="G148" s="3">
        <f>F$1/C148</f>
        <v>1268.874508311128</v>
      </c>
      <c r="H148" s="2">
        <f>D148*F147</f>
        <v>-1965.0067294750927</v>
      </c>
      <c r="I148" s="2">
        <f>E148*G147</f>
        <v>-2329.9045730573744</v>
      </c>
      <c r="J148" s="2">
        <f>I148-H148</f>
        <v>-364.89784358228167</v>
      </c>
      <c r="K148" s="2">
        <f t="shared" si="19"/>
        <v>364.89784358228167</v>
      </c>
      <c r="L148" s="14">
        <f>C148/B148</f>
        <v>1.0819604612850082</v>
      </c>
      <c r="M148" s="14">
        <f t="shared" si="20"/>
        <v>1.087060787886857</v>
      </c>
      <c r="N148" s="14">
        <f t="shared" si="17"/>
        <v>1.0882103444283084</v>
      </c>
      <c r="O148" s="14">
        <f t="shared" si="18"/>
        <v>1.0825608133703484</v>
      </c>
      <c r="P148" s="15" t="s">
        <v>11</v>
      </c>
      <c r="Q148" s="4" t="str">
        <f t="shared" si="23"/>
        <v>UNDER</v>
      </c>
      <c r="R148" s="4" t="str">
        <f t="shared" si="23"/>
        <v>UNDER</v>
      </c>
      <c r="S148" s="4" t="str">
        <f t="shared" si="21"/>
        <v>UNDER</v>
      </c>
      <c r="T148" s="12" t="s">
        <v>11</v>
      </c>
      <c r="U148" s="2">
        <f>IF(Q148="OVER",$J148,$K148)</f>
        <v>364.89784358228167</v>
      </c>
      <c r="V148" s="2">
        <f>IF(R148="OVER",$J148,$K148)</f>
        <v>364.89784358228167</v>
      </c>
      <c r="W148" s="2">
        <f>IF(S148="OVER",$J148,$K148)</f>
        <v>364.89784358228167</v>
      </c>
      <c r="X148" s="12" t="s">
        <v>11</v>
      </c>
      <c r="Y148" s="9">
        <f t="shared" si="22"/>
        <v>-275.23668810377137</v>
      </c>
      <c r="Z148" s="9">
        <f t="shared" si="22"/>
        <v>-2032.5945808140143</v>
      </c>
      <c r="AA148" s="9">
        <f t="shared" si="22"/>
        <v>9120.5933697408691</v>
      </c>
      <c r="AB148" s="12" t="s">
        <v>11</v>
      </c>
    </row>
    <row r="149" spans="1:28" x14ac:dyDescent="0.3">
      <c r="A149" s="1">
        <v>44628</v>
      </c>
      <c r="B149" s="2">
        <v>72.709999999999994</v>
      </c>
      <c r="C149" s="2">
        <v>78.790000000000006</v>
      </c>
      <c r="D149" s="9">
        <f>B149-B148</f>
        <v>-0.13000000000000966</v>
      </c>
      <c r="E149" s="9">
        <f>C149-C148</f>
        <v>-1.9999999999996021E-2</v>
      </c>
      <c r="F149" s="3">
        <f>F$1/B149</f>
        <v>1375.3266400770185</v>
      </c>
      <c r="G149" s="3">
        <f>F$1/C149</f>
        <v>1269.1965985531158</v>
      </c>
      <c r="H149" s="2">
        <f>D149*F148</f>
        <v>-178.47336628227575</v>
      </c>
      <c r="I149" s="2">
        <f>E149*G148</f>
        <v>-25.377490166217513</v>
      </c>
      <c r="J149" s="2">
        <f>I149-H149</f>
        <v>153.09587611605824</v>
      </c>
      <c r="K149" s="2">
        <f t="shared" si="19"/>
        <v>-153.09587611605824</v>
      </c>
      <c r="L149" s="14">
        <f>C149/B149</f>
        <v>1.0836198597166828</v>
      </c>
      <c r="M149" s="14">
        <f t="shared" si="20"/>
        <v>1.0869955060109677</v>
      </c>
      <c r="N149" s="14">
        <f t="shared" si="17"/>
        <v>1.0880918078793804</v>
      </c>
      <c r="O149" s="14">
        <f t="shared" si="18"/>
        <v>1.0827008459675882</v>
      </c>
      <c r="P149" s="15" t="s">
        <v>11</v>
      </c>
      <c r="Q149" s="4" t="str">
        <f t="shared" si="23"/>
        <v>UNDER</v>
      </c>
      <c r="R149" s="4" t="str">
        <f t="shared" si="23"/>
        <v>UNDER</v>
      </c>
      <c r="S149" s="4" t="str">
        <f t="shared" si="21"/>
        <v>OVER</v>
      </c>
      <c r="T149" s="12" t="s">
        <v>11</v>
      </c>
      <c r="U149" s="2">
        <f>IF(Q149="OVER",$J149,$K149)</f>
        <v>-153.09587611605824</v>
      </c>
      <c r="V149" s="2">
        <f>IF(R149="OVER",$J149,$K149)</f>
        <v>-153.09587611605824</v>
      </c>
      <c r="W149" s="2">
        <f>IF(S149="OVER",$J149,$K149)</f>
        <v>153.09587611605824</v>
      </c>
      <c r="X149" s="12" t="s">
        <v>11</v>
      </c>
      <c r="Y149" s="9">
        <f t="shared" si="22"/>
        <v>-428.33256421982958</v>
      </c>
      <c r="Z149" s="9">
        <f t="shared" si="22"/>
        <v>-2185.6904569300727</v>
      </c>
      <c r="AA149" s="9">
        <f t="shared" si="22"/>
        <v>9273.6892458569273</v>
      </c>
      <c r="AB149" s="12" t="s">
        <v>11</v>
      </c>
    </row>
    <row r="150" spans="1:28" x14ac:dyDescent="0.3">
      <c r="A150" s="1">
        <v>44629</v>
      </c>
      <c r="B150" s="2">
        <v>74.08</v>
      </c>
      <c r="C150" s="2">
        <v>80.72</v>
      </c>
      <c r="D150" s="9">
        <f>B150-B149</f>
        <v>1.3700000000000045</v>
      </c>
      <c r="E150" s="9">
        <f>C150-C149</f>
        <v>1.9299999999999926</v>
      </c>
      <c r="F150" s="3">
        <f>F$1/B150</f>
        <v>1349.8920086393089</v>
      </c>
      <c r="G150" s="3">
        <f>F$1/C150</f>
        <v>1238.8503468780971</v>
      </c>
      <c r="H150" s="2">
        <f>D150*F149</f>
        <v>1884.1974969055216</v>
      </c>
      <c r="I150" s="2">
        <f>E150*G149</f>
        <v>2449.5494352075043</v>
      </c>
      <c r="J150" s="2">
        <f>I150-H150</f>
        <v>565.35193830198273</v>
      </c>
      <c r="K150" s="2">
        <f t="shared" si="19"/>
        <v>-565.35193830198273</v>
      </c>
      <c r="L150" s="14">
        <f>C150/B150</f>
        <v>1.0896328293736501</v>
      </c>
      <c r="M150" s="14">
        <f t="shared" si="20"/>
        <v>1.0875949057168324</v>
      </c>
      <c r="N150" s="14">
        <f t="shared" si="17"/>
        <v>1.0881962575049662</v>
      </c>
      <c r="O150" s="14">
        <f t="shared" si="18"/>
        <v>1.0829206846897712</v>
      </c>
      <c r="P150" s="15" t="s">
        <v>11</v>
      </c>
      <c r="Q150" s="4" t="str">
        <f t="shared" si="23"/>
        <v>UNDER</v>
      </c>
      <c r="R150" s="4" t="str">
        <f t="shared" si="23"/>
        <v>UNDER</v>
      </c>
      <c r="S150" s="4" t="str">
        <f t="shared" si="21"/>
        <v>OVER</v>
      </c>
      <c r="T150" s="12" t="s">
        <v>11</v>
      </c>
      <c r="U150" s="2">
        <f>IF(Q150="OVER",$J150,$K150)</f>
        <v>-565.35193830198273</v>
      </c>
      <c r="V150" s="2">
        <f>IF(R150="OVER",$J150,$K150)</f>
        <v>-565.35193830198273</v>
      </c>
      <c r="W150" s="2">
        <f>IF(S150="OVER",$J150,$K150)</f>
        <v>565.35193830198273</v>
      </c>
      <c r="X150" s="12" t="s">
        <v>11</v>
      </c>
      <c r="Y150" s="9">
        <f t="shared" si="22"/>
        <v>-993.68450252181231</v>
      </c>
      <c r="Z150" s="9">
        <f t="shared" si="22"/>
        <v>-2751.0423952320552</v>
      </c>
      <c r="AA150" s="9">
        <f t="shared" si="22"/>
        <v>9839.0411841589103</v>
      </c>
      <c r="AB150" s="12" t="s">
        <v>11</v>
      </c>
    </row>
    <row r="151" spans="1:28" x14ac:dyDescent="0.3">
      <c r="A151" s="1">
        <v>44630</v>
      </c>
      <c r="B151" s="2">
        <v>73.959999999999994</v>
      </c>
      <c r="C151" s="2">
        <v>80.19</v>
      </c>
      <c r="D151" s="9">
        <f>B151-B150</f>
        <v>-0.12000000000000455</v>
      </c>
      <c r="E151" s="9">
        <f>C151-C150</f>
        <v>-0.53000000000000114</v>
      </c>
      <c r="F151" s="3">
        <f>F$1/B151</f>
        <v>1352.0822065981613</v>
      </c>
      <c r="G151" s="3">
        <f>F$1/C151</f>
        <v>1247.0382840753211</v>
      </c>
      <c r="H151" s="2">
        <f>D151*F150</f>
        <v>-161.98704103672321</v>
      </c>
      <c r="I151" s="2">
        <f>E151*G150</f>
        <v>-656.59068384539285</v>
      </c>
      <c r="J151" s="2">
        <f>I151-H151</f>
        <v>-494.60364280866963</v>
      </c>
      <c r="K151" s="2">
        <f t="shared" si="19"/>
        <v>494.60364280866963</v>
      </c>
      <c r="L151" s="14">
        <f>C151/B151</f>
        <v>1.0842347214710655</v>
      </c>
      <c r="M151" s="14">
        <f t="shared" si="20"/>
        <v>1.0873186585000476</v>
      </c>
      <c r="N151" s="14">
        <f t="shared" ref="N151:N214" si="24">AVERAGE(L132:L151)</f>
        <v>1.0880518606018286</v>
      </c>
      <c r="O151" s="14">
        <f t="shared" si="18"/>
        <v>1.0830570699404485</v>
      </c>
      <c r="P151" s="15" t="s">
        <v>11</v>
      </c>
      <c r="Q151" s="4" t="str">
        <f t="shared" si="23"/>
        <v>OVER</v>
      </c>
      <c r="R151" s="4" t="str">
        <f t="shared" si="23"/>
        <v>OVER</v>
      </c>
      <c r="S151" s="4" t="str">
        <f t="shared" si="21"/>
        <v>OVER</v>
      </c>
      <c r="T151" s="12" t="s">
        <v>11</v>
      </c>
      <c r="U151" s="2">
        <f>IF(Q151="OVER",$J151,$K151)</f>
        <v>-494.60364280866963</v>
      </c>
      <c r="V151" s="2">
        <f>IF(R151="OVER",$J151,$K151)</f>
        <v>-494.60364280866963</v>
      </c>
      <c r="W151" s="2">
        <f>IF(S151="OVER",$J151,$K151)</f>
        <v>-494.60364280866963</v>
      </c>
      <c r="X151" s="12" t="s">
        <v>11</v>
      </c>
      <c r="Y151" s="9">
        <f t="shared" si="22"/>
        <v>-1488.2881453304819</v>
      </c>
      <c r="Z151" s="9">
        <f t="shared" si="22"/>
        <v>-3245.6460380407248</v>
      </c>
      <c r="AA151" s="9">
        <f t="shared" si="22"/>
        <v>9344.4375413502403</v>
      </c>
      <c r="AB151" s="12" t="s">
        <v>11</v>
      </c>
    </row>
    <row r="152" spans="1:28" x14ac:dyDescent="0.3">
      <c r="A152" s="1">
        <v>44631</v>
      </c>
      <c r="B152" s="2">
        <v>72.790000000000006</v>
      </c>
      <c r="C152" s="2">
        <v>78.78</v>
      </c>
      <c r="D152" s="9">
        <f>B152-B151</f>
        <v>-1.1699999999999875</v>
      </c>
      <c r="E152" s="9">
        <f>C152-C151</f>
        <v>-1.4099999999999966</v>
      </c>
      <c r="F152" s="3">
        <f>F$1/B152</f>
        <v>1373.8150844896277</v>
      </c>
      <c r="G152" s="3">
        <f>F$1/C152</f>
        <v>1269.3577050012693</v>
      </c>
      <c r="H152" s="2">
        <f>D152*F151</f>
        <v>-1581.9361817198319</v>
      </c>
      <c r="I152" s="2">
        <f>E152*G151</f>
        <v>-1758.3239805461985</v>
      </c>
      <c r="J152" s="2">
        <f>I152-H152</f>
        <v>-176.38779882636663</v>
      </c>
      <c r="K152" s="2">
        <f t="shared" si="19"/>
        <v>176.38779882636663</v>
      </c>
      <c r="L152" s="14">
        <f>C152/B152</f>
        <v>1.0822915235609287</v>
      </c>
      <c r="M152" s="14">
        <f t="shared" si="20"/>
        <v>1.0873151427889134</v>
      </c>
      <c r="N152" s="14">
        <f t="shared" si="24"/>
        <v>1.0876471690804768</v>
      </c>
      <c r="O152" s="14">
        <f t="shared" si="18"/>
        <v>1.0831969782458464</v>
      </c>
      <c r="P152" s="15" t="s">
        <v>11</v>
      </c>
      <c r="Q152" s="4" t="str">
        <f t="shared" si="23"/>
        <v>UNDER</v>
      </c>
      <c r="R152" s="4" t="str">
        <f t="shared" si="23"/>
        <v>UNDER</v>
      </c>
      <c r="S152" s="4" t="str">
        <f t="shared" si="21"/>
        <v>UNDER</v>
      </c>
      <c r="T152" s="12" t="s">
        <v>11</v>
      </c>
      <c r="U152" s="2">
        <f>IF(Q152="OVER",$J152,$K152)</f>
        <v>176.38779882636663</v>
      </c>
      <c r="V152" s="2">
        <f>IF(R152="OVER",$J152,$K152)</f>
        <v>176.38779882636663</v>
      </c>
      <c r="W152" s="2">
        <f>IF(S152="OVER",$J152,$K152)</f>
        <v>176.38779882636663</v>
      </c>
      <c r="X152" s="12" t="s">
        <v>11</v>
      </c>
      <c r="Y152" s="9">
        <f t="shared" si="22"/>
        <v>-1311.9003465041153</v>
      </c>
      <c r="Z152" s="9">
        <f t="shared" si="22"/>
        <v>-3069.2582392143581</v>
      </c>
      <c r="AA152" s="9">
        <f t="shared" si="22"/>
        <v>9520.8253401766069</v>
      </c>
      <c r="AB152" s="12" t="s">
        <v>11</v>
      </c>
    </row>
    <row r="153" spans="1:28" x14ac:dyDescent="0.3">
      <c r="A153" s="1">
        <v>44634</v>
      </c>
      <c r="B153" s="2">
        <v>71.53</v>
      </c>
      <c r="C153" s="2">
        <v>77.44</v>
      </c>
      <c r="D153" s="9">
        <f>B153-B152</f>
        <v>-1.2600000000000051</v>
      </c>
      <c r="E153" s="9">
        <f>C153-C152</f>
        <v>-1.3400000000000034</v>
      </c>
      <c r="F153" s="3">
        <f>F$1/B153</f>
        <v>1398.0148189570809</v>
      </c>
      <c r="G153" s="3">
        <f>F$1/C153</f>
        <v>1291.3223140495868</v>
      </c>
      <c r="H153" s="2">
        <f>D153*F152</f>
        <v>-1731.0070064569379</v>
      </c>
      <c r="I153" s="2">
        <f>E153*G152</f>
        <v>-1700.9393247017051</v>
      </c>
      <c r="J153" s="2">
        <f>I153-H153</f>
        <v>30.067681755232798</v>
      </c>
      <c r="K153" s="2">
        <f t="shared" si="19"/>
        <v>-30.067681755232798</v>
      </c>
      <c r="L153" s="14">
        <f>C153/B153</f>
        <v>1.0826226758003634</v>
      </c>
      <c r="M153" s="14">
        <f t="shared" si="20"/>
        <v>1.0861439452833108</v>
      </c>
      <c r="N153" s="14">
        <f t="shared" si="24"/>
        <v>1.0874301942002753</v>
      </c>
      <c r="O153" s="14">
        <f t="shared" si="18"/>
        <v>1.0832594534433759</v>
      </c>
      <c r="P153" s="15" t="s">
        <v>11</v>
      </c>
      <c r="Q153" s="4" t="str">
        <f t="shared" si="23"/>
        <v>UNDER</v>
      </c>
      <c r="R153" s="4" t="str">
        <f t="shared" si="23"/>
        <v>UNDER</v>
      </c>
      <c r="S153" s="4" t="str">
        <f t="shared" si="21"/>
        <v>UNDER</v>
      </c>
      <c r="T153" s="12" t="s">
        <v>11</v>
      </c>
      <c r="U153" s="2">
        <f>IF(Q153="OVER",$J153,$K153)</f>
        <v>-30.067681755232798</v>
      </c>
      <c r="V153" s="2">
        <f>IF(R153="OVER",$J153,$K153)</f>
        <v>-30.067681755232798</v>
      </c>
      <c r="W153" s="2">
        <f>IF(S153="OVER",$J153,$K153)</f>
        <v>-30.067681755232798</v>
      </c>
      <c r="X153" s="12" t="s">
        <v>11</v>
      </c>
      <c r="Y153" s="9">
        <f t="shared" si="22"/>
        <v>-1341.9680282593481</v>
      </c>
      <c r="Z153" s="9">
        <f t="shared" si="22"/>
        <v>-3099.3259209695907</v>
      </c>
      <c r="AA153" s="9">
        <f t="shared" si="22"/>
        <v>9490.7576584213748</v>
      </c>
      <c r="AB153" s="12" t="s">
        <v>11</v>
      </c>
    </row>
    <row r="154" spans="1:28" x14ac:dyDescent="0.3">
      <c r="A154" s="1">
        <v>44635</v>
      </c>
      <c r="B154" s="2">
        <v>72.489999999999995</v>
      </c>
      <c r="C154" s="2">
        <v>77.930000000000007</v>
      </c>
      <c r="D154" s="9">
        <f>B154-B153</f>
        <v>0.95999999999999375</v>
      </c>
      <c r="E154" s="9">
        <f>C154-C153</f>
        <v>0.49000000000000909</v>
      </c>
      <c r="F154" s="3">
        <f>F$1/B154</f>
        <v>1379.5006207752795</v>
      </c>
      <c r="G154" s="3">
        <f>F$1/C154</f>
        <v>1283.2028743744386</v>
      </c>
      <c r="H154" s="2">
        <f>D154*F153</f>
        <v>1342.0942261987889</v>
      </c>
      <c r="I154" s="2">
        <f>E154*G153</f>
        <v>632.7479338843093</v>
      </c>
      <c r="J154" s="2">
        <f>I154-H154</f>
        <v>-709.34629231447957</v>
      </c>
      <c r="K154" s="2">
        <f t="shared" si="19"/>
        <v>709.34629231447957</v>
      </c>
      <c r="L154" s="14">
        <f>C154/B154</f>
        <v>1.0750448337701755</v>
      </c>
      <c r="M154" s="14">
        <f t="shared" si="20"/>
        <v>1.0846008096127091</v>
      </c>
      <c r="N154" s="14">
        <f t="shared" si="24"/>
        <v>1.0866316316518285</v>
      </c>
      <c r="O154" s="14">
        <f t="shared" si="18"/>
        <v>1.0832608322788568</v>
      </c>
      <c r="P154" s="15" t="s">
        <v>11</v>
      </c>
      <c r="Q154" s="4" t="str">
        <f t="shared" si="23"/>
        <v>UNDER</v>
      </c>
      <c r="R154" s="4" t="str">
        <f t="shared" si="23"/>
        <v>UNDER</v>
      </c>
      <c r="S154" s="4" t="str">
        <f t="shared" si="21"/>
        <v>UNDER</v>
      </c>
      <c r="T154" s="12" t="s">
        <v>11</v>
      </c>
      <c r="U154" s="2">
        <f>IF(Q154="OVER",$J154,$K154)</f>
        <v>709.34629231447957</v>
      </c>
      <c r="V154" s="2">
        <f>IF(R154="OVER",$J154,$K154)</f>
        <v>709.34629231447957</v>
      </c>
      <c r="W154" s="2">
        <f>IF(S154="OVER",$J154,$K154)</f>
        <v>709.34629231447957</v>
      </c>
      <c r="X154" s="12" t="s">
        <v>11</v>
      </c>
      <c r="Y154" s="9">
        <f t="shared" si="22"/>
        <v>-632.62173594486853</v>
      </c>
      <c r="Z154" s="9">
        <f t="shared" si="22"/>
        <v>-2389.9796286551109</v>
      </c>
      <c r="AA154" s="9">
        <f t="shared" si="22"/>
        <v>10200.103950735855</v>
      </c>
      <c r="AB154" s="12" t="s">
        <v>11</v>
      </c>
    </row>
    <row r="155" spans="1:28" x14ac:dyDescent="0.3">
      <c r="A155" s="1">
        <v>44636</v>
      </c>
      <c r="B155" s="2">
        <v>74.06</v>
      </c>
      <c r="C155" s="2">
        <v>80.069999999999993</v>
      </c>
      <c r="D155" s="9">
        <f>B155-B154</f>
        <v>1.5700000000000074</v>
      </c>
      <c r="E155" s="9">
        <f>C155-C154</f>
        <v>2.1399999999999864</v>
      </c>
      <c r="F155" s="3">
        <f>F$1/B155</f>
        <v>1350.2565487442614</v>
      </c>
      <c r="G155" s="3">
        <f>F$1/C155</f>
        <v>1248.9072061945799</v>
      </c>
      <c r="H155" s="2">
        <f>D155*F154</f>
        <v>2165.8159746171991</v>
      </c>
      <c r="I155" s="2">
        <f>E155*G154</f>
        <v>2746.054151161281</v>
      </c>
      <c r="J155" s="2">
        <f>I155-H155</f>
        <v>580.23817654408185</v>
      </c>
      <c r="K155" s="2">
        <f t="shared" si="19"/>
        <v>-580.23817654408185</v>
      </c>
      <c r="L155" s="14">
        <f>C155/B155</f>
        <v>1.08115041857953</v>
      </c>
      <c r="M155" s="14">
        <f t="shared" si="20"/>
        <v>1.0836141966243262</v>
      </c>
      <c r="N155" s="14">
        <f t="shared" si="24"/>
        <v>1.0860599998638336</v>
      </c>
      <c r="O155" s="14">
        <f t="shared" si="18"/>
        <v>1.0832796790245098</v>
      </c>
      <c r="P155" s="15" t="s">
        <v>11</v>
      </c>
      <c r="Q155" s="4" t="str">
        <f t="shared" si="23"/>
        <v>UNDER</v>
      </c>
      <c r="R155" s="4" t="str">
        <f t="shared" si="23"/>
        <v>UNDER</v>
      </c>
      <c r="S155" s="4" t="str">
        <f t="shared" si="21"/>
        <v>UNDER</v>
      </c>
      <c r="T155" s="12" t="s">
        <v>11</v>
      </c>
      <c r="U155" s="2">
        <f>IF(Q155="OVER",$J155,$K155)</f>
        <v>-580.23817654408185</v>
      </c>
      <c r="V155" s="2">
        <f>IF(R155="OVER",$J155,$K155)</f>
        <v>-580.23817654408185</v>
      </c>
      <c r="W155" s="2">
        <f>IF(S155="OVER",$J155,$K155)</f>
        <v>-580.23817654408185</v>
      </c>
      <c r="X155" s="12" t="s">
        <v>11</v>
      </c>
      <c r="Y155" s="9">
        <f t="shared" si="22"/>
        <v>-1212.8599124889504</v>
      </c>
      <c r="Z155" s="9">
        <f t="shared" si="22"/>
        <v>-2970.2178051991928</v>
      </c>
      <c r="AA155" s="9">
        <f t="shared" si="22"/>
        <v>9619.8657741917723</v>
      </c>
      <c r="AB155" s="12" t="s">
        <v>11</v>
      </c>
    </row>
    <row r="156" spans="1:28" x14ac:dyDescent="0.3">
      <c r="A156" s="1">
        <v>44637</v>
      </c>
      <c r="B156" s="2">
        <v>74.86</v>
      </c>
      <c r="C156" s="2">
        <v>81.069999999999993</v>
      </c>
      <c r="D156" s="9">
        <f>B156-B155</f>
        <v>0.79999999999999716</v>
      </c>
      <c r="E156" s="9">
        <f>C156-C155</f>
        <v>1</v>
      </c>
      <c r="F156" s="3">
        <f>F$1/B156</f>
        <v>1335.826876836762</v>
      </c>
      <c r="G156" s="3">
        <f>F$1/C156</f>
        <v>1233.5019119279636</v>
      </c>
      <c r="H156" s="2">
        <f>D156*F155</f>
        <v>1080.2052389954054</v>
      </c>
      <c r="I156" s="2">
        <f>E156*G155</f>
        <v>1248.9072061945799</v>
      </c>
      <c r="J156" s="2">
        <f>I156-H156</f>
        <v>168.70196719917453</v>
      </c>
      <c r="K156" s="2">
        <f t="shared" si="19"/>
        <v>-168.70196719917453</v>
      </c>
      <c r="L156" s="14">
        <f>C156/B156</f>
        <v>1.0829548490515628</v>
      </c>
      <c r="M156" s="14">
        <f t="shared" si="20"/>
        <v>1.0829514864399006</v>
      </c>
      <c r="N156" s="14">
        <f t="shared" si="24"/>
        <v>1.0855912650436843</v>
      </c>
      <c r="O156" s="14">
        <f t="shared" si="18"/>
        <v>1.0834326122071767</v>
      </c>
      <c r="P156" s="15" t="s">
        <v>11</v>
      </c>
      <c r="Q156" s="4" t="str">
        <f t="shared" si="23"/>
        <v>UNDER</v>
      </c>
      <c r="R156" s="4" t="str">
        <f t="shared" si="23"/>
        <v>UNDER</v>
      </c>
      <c r="S156" s="4" t="str">
        <f t="shared" si="21"/>
        <v>UNDER</v>
      </c>
      <c r="T156" s="12" t="s">
        <v>11</v>
      </c>
      <c r="U156" s="2">
        <f>IF(Q156="OVER",$J156,$K156)</f>
        <v>-168.70196719917453</v>
      </c>
      <c r="V156" s="2">
        <f>IF(R156="OVER",$J156,$K156)</f>
        <v>-168.70196719917453</v>
      </c>
      <c r="W156" s="2">
        <f>IF(S156="OVER",$J156,$K156)</f>
        <v>-168.70196719917453</v>
      </c>
      <c r="X156" s="12" t="s">
        <v>11</v>
      </c>
      <c r="Y156" s="9">
        <f t="shared" si="22"/>
        <v>-1381.5618796881249</v>
      </c>
      <c r="Z156" s="9">
        <f t="shared" si="22"/>
        <v>-3138.9197723983671</v>
      </c>
      <c r="AA156" s="9">
        <f t="shared" si="22"/>
        <v>9451.1638069925975</v>
      </c>
      <c r="AB156" s="12" t="s">
        <v>11</v>
      </c>
    </row>
    <row r="157" spans="1:28" x14ac:dyDescent="0.3">
      <c r="A157" s="1">
        <v>44638</v>
      </c>
      <c r="B157" s="2">
        <v>75.959999999999994</v>
      </c>
      <c r="C157" s="2">
        <v>82.48</v>
      </c>
      <c r="D157" s="9">
        <f>B157-B156</f>
        <v>1.0999999999999943</v>
      </c>
      <c r="E157" s="9">
        <f>C157-C156</f>
        <v>1.4100000000000108</v>
      </c>
      <c r="F157" s="3">
        <f>F$1/B157</f>
        <v>1316.4823591363877</v>
      </c>
      <c r="G157" s="3">
        <f>F$1/C157</f>
        <v>1212.4151309408342</v>
      </c>
      <c r="H157" s="2">
        <f>D157*F156</f>
        <v>1469.4095645204306</v>
      </c>
      <c r="I157" s="2">
        <f>E157*G156</f>
        <v>1739.237695818442</v>
      </c>
      <c r="J157" s="2">
        <f>I157-H157</f>
        <v>269.82813129801139</v>
      </c>
      <c r="K157" s="2">
        <f t="shared" si="19"/>
        <v>-269.82813129801139</v>
      </c>
      <c r="L157" s="14">
        <f>C157/B157</f>
        <v>1.0858346498156926</v>
      </c>
      <c r="M157" s="14">
        <f t="shared" si="20"/>
        <v>1.0829346822424659</v>
      </c>
      <c r="N157" s="14">
        <f t="shared" si="24"/>
        <v>1.0853028950242838</v>
      </c>
      <c r="O157" s="14">
        <f t="shared" si="18"/>
        <v>1.0835801893877994</v>
      </c>
      <c r="P157" s="15" t="s">
        <v>11</v>
      </c>
      <c r="Q157" s="4" t="str">
        <f t="shared" si="23"/>
        <v>OVER</v>
      </c>
      <c r="R157" s="4" t="str">
        <f t="shared" si="23"/>
        <v>UNDER</v>
      </c>
      <c r="S157" s="4" t="str">
        <f t="shared" si="21"/>
        <v>OVER</v>
      </c>
      <c r="T157" s="12" t="s">
        <v>11</v>
      </c>
      <c r="U157" s="2">
        <f>IF(Q157="OVER",$J157,$K157)</f>
        <v>269.82813129801139</v>
      </c>
      <c r="V157" s="2">
        <f>IF(R157="OVER",$J157,$K157)</f>
        <v>-269.82813129801139</v>
      </c>
      <c r="W157" s="2">
        <f>IF(S157="OVER",$J157,$K157)</f>
        <v>269.82813129801139</v>
      </c>
      <c r="X157" s="12" t="s">
        <v>11</v>
      </c>
      <c r="Y157" s="9">
        <f t="shared" si="22"/>
        <v>-1111.7337483901135</v>
      </c>
      <c r="Z157" s="9">
        <f t="shared" si="22"/>
        <v>-3408.7479036963787</v>
      </c>
      <c r="AA157" s="9">
        <f t="shared" si="22"/>
        <v>9720.9919382906082</v>
      </c>
      <c r="AB157" s="12" t="s">
        <v>11</v>
      </c>
    </row>
    <row r="158" spans="1:28" x14ac:dyDescent="0.3">
      <c r="A158" s="1">
        <v>44641</v>
      </c>
      <c r="B158" s="2">
        <v>75.61</v>
      </c>
      <c r="C158" s="2">
        <v>81.95</v>
      </c>
      <c r="D158" s="9">
        <f>B158-B157</f>
        <v>-0.34999999999999432</v>
      </c>
      <c r="E158" s="9">
        <f>C158-C157</f>
        <v>-0.53000000000000114</v>
      </c>
      <c r="F158" s="3">
        <f>F$1/B158</f>
        <v>1322.5763787858748</v>
      </c>
      <c r="G158" s="3">
        <f>F$1/C158</f>
        <v>1220.2562538133006</v>
      </c>
      <c r="H158" s="2">
        <f>D158*F157</f>
        <v>-460.76882569772823</v>
      </c>
      <c r="I158" s="2">
        <f>E158*G157</f>
        <v>-642.58001939864346</v>
      </c>
      <c r="J158" s="2">
        <f>I158-H158</f>
        <v>-181.81119370091523</v>
      </c>
      <c r="K158" s="2">
        <f t="shared" si="19"/>
        <v>181.81119370091523</v>
      </c>
      <c r="L158" s="14">
        <f>C158/B158</f>
        <v>1.0838513424150245</v>
      </c>
      <c r="M158" s="14">
        <f t="shared" si="20"/>
        <v>1.0831237703554677</v>
      </c>
      <c r="N158" s="14">
        <f t="shared" si="24"/>
        <v>1.0850922791211621</v>
      </c>
      <c r="O158" s="14">
        <f t="shared" si="18"/>
        <v>1.083788275616157</v>
      </c>
      <c r="P158" s="15" t="s">
        <v>11</v>
      </c>
      <c r="Q158" s="4" t="str">
        <f t="shared" si="23"/>
        <v>OVER</v>
      </c>
      <c r="R158" s="4" t="str">
        <f t="shared" si="23"/>
        <v>OVER</v>
      </c>
      <c r="S158" s="4" t="str">
        <f t="shared" si="21"/>
        <v>OVER</v>
      </c>
      <c r="T158" s="12" t="s">
        <v>11</v>
      </c>
      <c r="U158" s="2">
        <f>IF(Q158="OVER",$J158,$K158)</f>
        <v>-181.81119370091523</v>
      </c>
      <c r="V158" s="2">
        <f>IF(R158="OVER",$J158,$K158)</f>
        <v>-181.81119370091523</v>
      </c>
      <c r="W158" s="2">
        <f>IF(S158="OVER",$J158,$K158)</f>
        <v>-181.81119370091523</v>
      </c>
      <c r="X158" s="12" t="s">
        <v>11</v>
      </c>
      <c r="Y158" s="9">
        <f t="shared" si="22"/>
        <v>-1293.5449420910288</v>
      </c>
      <c r="Z158" s="9">
        <f t="shared" si="22"/>
        <v>-3590.559097397294</v>
      </c>
      <c r="AA158" s="9">
        <f t="shared" si="22"/>
        <v>9539.1807445896939</v>
      </c>
      <c r="AB158" s="12" t="s">
        <v>11</v>
      </c>
    </row>
    <row r="159" spans="1:28" x14ac:dyDescent="0.3">
      <c r="A159" s="1">
        <v>44642</v>
      </c>
      <c r="B159" s="2">
        <v>76.489999999999995</v>
      </c>
      <c r="C159" s="2">
        <v>83.13</v>
      </c>
      <c r="D159" s="9">
        <f>B159-B158</f>
        <v>0.87999999999999545</v>
      </c>
      <c r="E159" s="9">
        <f>C159-C158</f>
        <v>1.1799999999999926</v>
      </c>
      <c r="F159" s="3">
        <f>F$1/B159</f>
        <v>1307.3604392731077</v>
      </c>
      <c r="G159" s="3">
        <f>F$1/C159</f>
        <v>1202.9351617947793</v>
      </c>
      <c r="H159" s="2">
        <f>D159*F158</f>
        <v>1163.8672133315638</v>
      </c>
      <c r="I159" s="2">
        <f>E159*G158</f>
        <v>1439.9023794996858</v>
      </c>
      <c r="J159" s="2">
        <f>I159-H159</f>
        <v>276.03516616812203</v>
      </c>
      <c r="K159" s="2">
        <f t="shared" si="19"/>
        <v>-276.03516616812203</v>
      </c>
      <c r="L159" s="14">
        <f>C159/B159</f>
        <v>1.0868087331677343</v>
      </c>
      <c r="M159" s="14">
        <f t="shared" si="20"/>
        <v>1.0834426577005727</v>
      </c>
      <c r="N159" s="14">
        <f t="shared" si="24"/>
        <v>1.0852190818557703</v>
      </c>
      <c r="O159" s="14">
        <f t="shared" si="18"/>
        <v>1.0839736347211679</v>
      </c>
      <c r="P159" s="15" t="s">
        <v>11</v>
      </c>
      <c r="Q159" s="4" t="str">
        <f t="shared" si="23"/>
        <v>OVER</v>
      </c>
      <c r="R159" s="4" t="str">
        <f t="shared" si="23"/>
        <v>UNDER</v>
      </c>
      <c r="S159" s="4" t="str">
        <f t="shared" si="21"/>
        <v>OVER</v>
      </c>
      <c r="T159" s="12" t="s">
        <v>11</v>
      </c>
      <c r="U159" s="2">
        <f>IF(Q159="OVER",$J159,$K159)</f>
        <v>276.03516616812203</v>
      </c>
      <c r="V159" s="2">
        <f>IF(R159="OVER",$J159,$K159)</f>
        <v>-276.03516616812203</v>
      </c>
      <c r="W159" s="2">
        <f>IF(S159="OVER",$J159,$K159)</f>
        <v>276.03516616812203</v>
      </c>
      <c r="X159" s="12" t="s">
        <v>11</v>
      </c>
      <c r="Y159" s="9">
        <f t="shared" si="22"/>
        <v>-1017.5097759229068</v>
      </c>
      <c r="Z159" s="9">
        <f t="shared" si="22"/>
        <v>-3866.594263565416</v>
      </c>
      <c r="AA159" s="9">
        <f t="shared" si="22"/>
        <v>9815.2159107578154</v>
      </c>
      <c r="AB159" s="12" t="s">
        <v>11</v>
      </c>
    </row>
    <row r="160" spans="1:28" x14ac:dyDescent="0.3">
      <c r="A160" s="1">
        <v>44643</v>
      </c>
      <c r="B160" s="2">
        <v>75.94</v>
      </c>
      <c r="C160" s="2">
        <v>82.42</v>
      </c>
      <c r="D160" s="9">
        <f>B160-B159</f>
        <v>-0.54999999999999716</v>
      </c>
      <c r="E160" s="9">
        <f>C160-C159</f>
        <v>-0.70999999999999375</v>
      </c>
      <c r="F160" s="3">
        <f>F$1/B160</f>
        <v>1316.8290755859889</v>
      </c>
      <c r="G160" s="3">
        <f>F$1/C160</f>
        <v>1213.2977432661976</v>
      </c>
      <c r="H160" s="2">
        <f>D160*F159</f>
        <v>-719.04824160020553</v>
      </c>
      <c r="I160" s="2">
        <f>E160*G159</f>
        <v>-854.08396487428581</v>
      </c>
      <c r="J160" s="2">
        <f>I160-H160</f>
        <v>-135.03572327408028</v>
      </c>
      <c r="K160" s="2">
        <f t="shared" si="19"/>
        <v>135.03572327408028</v>
      </c>
      <c r="L160" s="14">
        <f>C160/B160</f>
        <v>1.085330524097972</v>
      </c>
      <c r="M160" s="14">
        <f t="shared" si="20"/>
        <v>1.0830124271730051</v>
      </c>
      <c r="N160" s="14">
        <f t="shared" si="24"/>
        <v>1.0853036664449189</v>
      </c>
      <c r="O160" s="14">
        <f t="shared" si="18"/>
        <v>1.0841973744854478</v>
      </c>
      <c r="P160" s="15" t="s">
        <v>11</v>
      </c>
      <c r="Q160" s="4" t="str">
        <f t="shared" si="23"/>
        <v>OVER</v>
      </c>
      <c r="R160" s="4" t="str">
        <f t="shared" si="23"/>
        <v>OVER</v>
      </c>
      <c r="S160" s="4" t="str">
        <f t="shared" si="21"/>
        <v>OVER</v>
      </c>
      <c r="T160" s="12" t="s">
        <v>11</v>
      </c>
      <c r="U160" s="2">
        <f>IF(Q160="OVER",$J160,$K160)</f>
        <v>-135.03572327408028</v>
      </c>
      <c r="V160" s="2">
        <f>IF(R160="OVER",$J160,$K160)</f>
        <v>-135.03572327408028</v>
      </c>
      <c r="W160" s="2">
        <f>IF(S160="OVER",$J160,$K160)</f>
        <v>-135.03572327408028</v>
      </c>
      <c r="X160" s="12" t="s">
        <v>11</v>
      </c>
      <c r="Y160" s="9">
        <f t="shared" si="22"/>
        <v>-1152.5454991969871</v>
      </c>
      <c r="Z160" s="9">
        <f t="shared" si="22"/>
        <v>-4001.6299868394963</v>
      </c>
      <c r="AA160" s="9">
        <f t="shared" si="22"/>
        <v>9680.1801874837347</v>
      </c>
      <c r="AB160" s="12" t="s">
        <v>11</v>
      </c>
    </row>
    <row r="161" spans="1:28" x14ac:dyDescent="0.3">
      <c r="A161" s="1">
        <v>44644</v>
      </c>
      <c r="B161" s="2">
        <v>76.62</v>
      </c>
      <c r="C161" s="2">
        <v>83.3</v>
      </c>
      <c r="D161" s="9">
        <f>B161-B160</f>
        <v>0.68000000000000682</v>
      </c>
      <c r="E161" s="9">
        <f>C161-C160</f>
        <v>0.87999999999999545</v>
      </c>
      <c r="F161" s="3">
        <f>F$1/B161</f>
        <v>1305.1422605063951</v>
      </c>
      <c r="G161" s="3">
        <f>F$1/C161</f>
        <v>1200.4801920768307</v>
      </c>
      <c r="H161" s="2">
        <f>D161*F160</f>
        <v>895.44377139848143</v>
      </c>
      <c r="I161" s="2">
        <f>E161*G160</f>
        <v>1067.7020140742484</v>
      </c>
      <c r="J161" s="2">
        <f>I161-H161</f>
        <v>172.25824267576695</v>
      </c>
      <c r="K161" s="2">
        <f t="shared" si="19"/>
        <v>-172.25824267576695</v>
      </c>
      <c r="L161" s="14">
        <f>C161/B161</f>
        <v>1.0871835030018271</v>
      </c>
      <c r="M161" s="14">
        <f t="shared" si="20"/>
        <v>1.0833073053260813</v>
      </c>
      <c r="N161" s="14">
        <f t="shared" si="24"/>
        <v>1.0853129819130642</v>
      </c>
      <c r="O161" s="14">
        <f t="shared" si="18"/>
        <v>1.0843817981399315</v>
      </c>
      <c r="P161" s="15" t="s">
        <v>11</v>
      </c>
      <c r="Q161" s="4" t="str">
        <f t="shared" si="23"/>
        <v>OVER</v>
      </c>
      <c r="R161" s="4" t="str">
        <f t="shared" si="23"/>
        <v>OVER</v>
      </c>
      <c r="S161" s="4" t="str">
        <f t="shared" si="21"/>
        <v>OVER</v>
      </c>
      <c r="T161" s="12" t="s">
        <v>11</v>
      </c>
      <c r="U161" s="2">
        <f>IF(Q161="OVER",$J161,$K161)</f>
        <v>172.25824267576695</v>
      </c>
      <c r="V161" s="2">
        <f>IF(R161="OVER",$J161,$K161)</f>
        <v>172.25824267576695</v>
      </c>
      <c r="W161" s="2">
        <f>IF(S161="OVER",$J161,$K161)</f>
        <v>172.25824267576695</v>
      </c>
      <c r="X161" s="12" t="s">
        <v>11</v>
      </c>
      <c r="Y161" s="9">
        <f t="shared" si="22"/>
        <v>-980.28725652122012</v>
      </c>
      <c r="Z161" s="9">
        <f t="shared" si="22"/>
        <v>-3829.3717441637291</v>
      </c>
      <c r="AA161" s="9">
        <f t="shared" si="22"/>
        <v>9852.4384301595019</v>
      </c>
      <c r="AB161" s="12" t="s">
        <v>11</v>
      </c>
    </row>
    <row r="162" spans="1:28" x14ac:dyDescent="0.3">
      <c r="A162" s="1">
        <v>44645</v>
      </c>
      <c r="B162" s="2">
        <v>76.52</v>
      </c>
      <c r="C162" s="2">
        <v>82.85</v>
      </c>
      <c r="D162" s="9">
        <f>B162-B161</f>
        <v>-0.10000000000000853</v>
      </c>
      <c r="E162" s="9">
        <f>C162-C161</f>
        <v>-0.45000000000000284</v>
      </c>
      <c r="F162" s="3">
        <f>F$1/B162</f>
        <v>1306.8478829064297</v>
      </c>
      <c r="G162" s="3">
        <f>F$1/C162</f>
        <v>1207.0006035003018</v>
      </c>
      <c r="H162" s="2">
        <f>D162*F161</f>
        <v>-130.51422605065065</v>
      </c>
      <c r="I162" s="2">
        <f>E162*G161</f>
        <v>-540.21608643457728</v>
      </c>
      <c r="J162" s="2">
        <f>I162-H162</f>
        <v>-409.7018603839266</v>
      </c>
      <c r="K162" s="2">
        <f t="shared" si="19"/>
        <v>409.7018603839266</v>
      </c>
      <c r="L162" s="14">
        <f>C162/B162</f>
        <v>1.0827234709879769</v>
      </c>
      <c r="M162" s="14">
        <f t="shared" si="20"/>
        <v>1.083350500068786</v>
      </c>
      <c r="N162" s="14">
        <f t="shared" si="24"/>
        <v>1.0853328214288496</v>
      </c>
      <c r="O162" s="14">
        <f t="shared" si="18"/>
        <v>1.0844852269253997</v>
      </c>
      <c r="P162" s="15" t="s">
        <v>11</v>
      </c>
      <c r="Q162" s="4" t="str">
        <f t="shared" si="23"/>
        <v>OVER</v>
      </c>
      <c r="R162" s="4" t="str">
        <f t="shared" si="23"/>
        <v>OVER</v>
      </c>
      <c r="S162" s="4" t="str">
        <f t="shared" si="21"/>
        <v>UNDER</v>
      </c>
      <c r="T162" s="12" t="s">
        <v>11</v>
      </c>
      <c r="U162" s="2">
        <f>IF(Q162="OVER",$J162,$K162)</f>
        <v>-409.7018603839266</v>
      </c>
      <c r="V162" s="2">
        <f>IF(R162="OVER",$J162,$K162)</f>
        <v>-409.7018603839266</v>
      </c>
      <c r="W162" s="2">
        <f>IF(S162="OVER",$J162,$K162)</f>
        <v>409.7018603839266</v>
      </c>
      <c r="X162" s="12" t="s">
        <v>11</v>
      </c>
      <c r="Y162" s="9">
        <f t="shared" si="22"/>
        <v>-1389.9891169051466</v>
      </c>
      <c r="Z162" s="9">
        <f t="shared" si="22"/>
        <v>-4239.073604547656</v>
      </c>
      <c r="AA162" s="9">
        <f t="shared" si="22"/>
        <v>10262.140290543428</v>
      </c>
      <c r="AB162" s="12" t="s">
        <v>11</v>
      </c>
    </row>
    <row r="163" spans="1:28" x14ac:dyDescent="0.3">
      <c r="A163" s="1">
        <v>44648</v>
      </c>
      <c r="B163" s="2">
        <v>76.86</v>
      </c>
      <c r="C163" s="2">
        <v>83.28</v>
      </c>
      <c r="D163" s="9">
        <f>B163-B162</f>
        <v>0.34000000000000341</v>
      </c>
      <c r="E163" s="9">
        <f>C163-C162</f>
        <v>0.43000000000000682</v>
      </c>
      <c r="F163" s="3">
        <f>F$1/B163</f>
        <v>1301.0668748373666</v>
      </c>
      <c r="G163" s="3">
        <f>F$1/C163</f>
        <v>1200.7684918347743</v>
      </c>
      <c r="H163" s="2">
        <f>D163*F162</f>
        <v>444.32828018819055</v>
      </c>
      <c r="I163" s="2">
        <f>E163*G162</f>
        <v>519.01025950513804</v>
      </c>
      <c r="J163" s="2">
        <f>I163-H163</f>
        <v>74.681979316947491</v>
      </c>
      <c r="K163" s="2">
        <f t="shared" si="19"/>
        <v>-74.681979316947491</v>
      </c>
      <c r="L163" s="14">
        <f>C163/B163</f>
        <v>1.083528493364559</v>
      </c>
      <c r="M163" s="14">
        <f t="shared" si="20"/>
        <v>1.0834410818252054</v>
      </c>
      <c r="N163" s="14">
        <f t="shared" si="24"/>
        <v>1.0847925135542582</v>
      </c>
      <c r="O163" s="14">
        <f t="shared" si="18"/>
        <v>1.0846088215694489</v>
      </c>
      <c r="P163" s="15" t="s">
        <v>11</v>
      </c>
      <c r="Q163" s="4" t="str">
        <f t="shared" si="23"/>
        <v>UNDER</v>
      </c>
      <c r="R163" s="4" t="str">
        <f t="shared" si="23"/>
        <v>UNDER</v>
      </c>
      <c r="S163" s="4" t="str">
        <f t="shared" si="21"/>
        <v>UNDER</v>
      </c>
      <c r="T163" s="12" t="s">
        <v>11</v>
      </c>
      <c r="U163" s="2">
        <f>IF(Q163="OVER",$J163,$K163)</f>
        <v>-74.681979316947491</v>
      </c>
      <c r="V163" s="2">
        <f>IF(R163="OVER",$J163,$K163)</f>
        <v>-74.681979316947491</v>
      </c>
      <c r="W163" s="2">
        <f>IF(S163="OVER",$J163,$K163)</f>
        <v>-74.681979316947491</v>
      </c>
      <c r="X163" s="12" t="s">
        <v>11</v>
      </c>
      <c r="Y163" s="9">
        <f t="shared" si="22"/>
        <v>-1464.6710962220941</v>
      </c>
      <c r="Z163" s="9">
        <f t="shared" si="22"/>
        <v>-4313.755583864604</v>
      </c>
      <c r="AA163" s="9">
        <f t="shared" si="22"/>
        <v>10187.458311226481</v>
      </c>
      <c r="AB163" s="12" t="s">
        <v>11</v>
      </c>
    </row>
    <row r="164" spans="1:28" x14ac:dyDescent="0.3">
      <c r="A164" s="1">
        <v>44649</v>
      </c>
      <c r="B164" s="2">
        <v>77.849999999999994</v>
      </c>
      <c r="C164" s="2">
        <v>84.5</v>
      </c>
      <c r="D164" s="9">
        <f>B164-B163</f>
        <v>0.98999999999999488</v>
      </c>
      <c r="E164" s="9">
        <f>C164-C163</f>
        <v>1.2199999999999989</v>
      </c>
      <c r="F164" s="3">
        <f>F$1/B164</f>
        <v>1284.5215157353887</v>
      </c>
      <c r="G164" s="3">
        <f>F$1/C164</f>
        <v>1183.4319526627219</v>
      </c>
      <c r="H164" s="2">
        <f>D164*F163</f>
        <v>1288.0562060889863</v>
      </c>
      <c r="I164" s="2">
        <f>E164*G163</f>
        <v>1464.9375600384233</v>
      </c>
      <c r="J164" s="2">
        <f>I164-H164</f>
        <v>176.88135394943697</v>
      </c>
      <c r="K164" s="2">
        <f t="shared" si="19"/>
        <v>-176.88135394943697</v>
      </c>
      <c r="L164" s="14">
        <f>C164/B164</f>
        <v>1.0854206807964035</v>
      </c>
      <c r="M164" s="14">
        <f t="shared" si="20"/>
        <v>1.0844786665278283</v>
      </c>
      <c r="N164" s="14">
        <f t="shared" si="24"/>
        <v>1.0845397380702688</v>
      </c>
      <c r="O164" s="14">
        <f t="shared" si="18"/>
        <v>1.0847620723477096</v>
      </c>
      <c r="P164" s="15" t="s">
        <v>11</v>
      </c>
      <c r="Q164" s="4" t="str">
        <f t="shared" si="23"/>
        <v>OVER</v>
      </c>
      <c r="R164" s="4" t="str">
        <f t="shared" si="23"/>
        <v>UNDER</v>
      </c>
      <c r="S164" s="4" t="str">
        <f t="shared" si="21"/>
        <v>OVER</v>
      </c>
      <c r="T164" s="12" t="s">
        <v>11</v>
      </c>
      <c r="U164" s="2">
        <f>IF(Q164="OVER",$J164,$K164)</f>
        <v>176.88135394943697</v>
      </c>
      <c r="V164" s="2">
        <f>IF(R164="OVER",$J164,$K164)</f>
        <v>-176.88135394943697</v>
      </c>
      <c r="W164" s="2">
        <f>IF(S164="OVER",$J164,$K164)</f>
        <v>176.88135394943697</v>
      </c>
      <c r="X164" s="12" t="s">
        <v>11</v>
      </c>
      <c r="Y164" s="9">
        <f t="shared" si="22"/>
        <v>-1287.7897422726571</v>
      </c>
      <c r="Z164" s="9">
        <f t="shared" si="22"/>
        <v>-4490.6369378140407</v>
      </c>
      <c r="AA164" s="9">
        <f t="shared" si="22"/>
        <v>10364.339665175918</v>
      </c>
      <c r="AB164" s="12" t="s">
        <v>11</v>
      </c>
    </row>
    <row r="165" spans="1:28" x14ac:dyDescent="0.3">
      <c r="A165" s="1">
        <v>44650</v>
      </c>
      <c r="B165" s="2">
        <v>77.569999999999993</v>
      </c>
      <c r="C165" s="2">
        <v>84</v>
      </c>
      <c r="D165" s="9">
        <f>B165-B164</f>
        <v>-0.28000000000000114</v>
      </c>
      <c r="E165" s="9">
        <f>C165-C164</f>
        <v>-0.5</v>
      </c>
      <c r="F165" s="3">
        <f>F$1/B165</f>
        <v>1289.1581797086503</v>
      </c>
      <c r="G165" s="3">
        <f>F$1/C165</f>
        <v>1190.4761904761904</v>
      </c>
      <c r="H165" s="2">
        <f>D165*F164</f>
        <v>-359.66602440591026</v>
      </c>
      <c r="I165" s="2">
        <f>E165*G164</f>
        <v>-591.71597633136093</v>
      </c>
      <c r="J165" s="2">
        <f>I165-H165</f>
        <v>-232.04995192545067</v>
      </c>
      <c r="K165" s="2">
        <f t="shared" si="19"/>
        <v>232.04995192545067</v>
      </c>
      <c r="L165" s="14">
        <f>C165/B165</f>
        <v>1.0828928709552663</v>
      </c>
      <c r="M165" s="14">
        <f t="shared" si="20"/>
        <v>1.0846529117654018</v>
      </c>
      <c r="N165" s="14">
        <f t="shared" si="24"/>
        <v>1.084133554194864</v>
      </c>
      <c r="O165" s="14">
        <f t="shared" si="18"/>
        <v>1.0848534639291021</v>
      </c>
      <c r="P165" s="15" t="s">
        <v>11</v>
      </c>
      <c r="Q165" s="4" t="str">
        <f t="shared" si="23"/>
        <v>OVER</v>
      </c>
      <c r="R165" s="4" t="str">
        <f t="shared" si="23"/>
        <v>OVER</v>
      </c>
      <c r="S165" s="4" t="str">
        <f t="shared" si="21"/>
        <v>UNDER</v>
      </c>
      <c r="T165" s="12" t="s">
        <v>11</v>
      </c>
      <c r="U165" s="2">
        <f>IF(Q165="OVER",$J165,$K165)</f>
        <v>-232.04995192545067</v>
      </c>
      <c r="V165" s="2">
        <f>IF(R165="OVER",$J165,$K165)</f>
        <v>-232.04995192545067</v>
      </c>
      <c r="W165" s="2">
        <f>IF(S165="OVER",$J165,$K165)</f>
        <v>232.04995192545067</v>
      </c>
      <c r="X165" s="12" t="s">
        <v>11</v>
      </c>
      <c r="Y165" s="9">
        <f t="shared" si="22"/>
        <v>-1519.8396941981077</v>
      </c>
      <c r="Z165" s="9">
        <f t="shared" si="22"/>
        <v>-4722.6868897394916</v>
      </c>
      <c r="AA165" s="9">
        <f t="shared" si="22"/>
        <v>10596.389617101368</v>
      </c>
      <c r="AB165" s="12" t="s">
        <v>11</v>
      </c>
    </row>
    <row r="166" spans="1:28" x14ac:dyDescent="0.3">
      <c r="A166" s="1">
        <v>44651</v>
      </c>
      <c r="B166" s="2">
        <v>76.95</v>
      </c>
      <c r="C166" s="2">
        <v>83.32</v>
      </c>
      <c r="D166" s="9">
        <f>B166-B165</f>
        <v>-0.61999999999999034</v>
      </c>
      <c r="E166" s="9">
        <f>C166-C165</f>
        <v>-0.68000000000000682</v>
      </c>
      <c r="F166" s="3">
        <f>F$1/B166</f>
        <v>1299.545159194282</v>
      </c>
      <c r="G166" s="3">
        <f>F$1/C166</f>
        <v>1200.1920307249161</v>
      </c>
      <c r="H166" s="2">
        <f>D166*F165</f>
        <v>-799.27807141935079</v>
      </c>
      <c r="I166" s="2">
        <f>E166*G165</f>
        <v>-809.52380952381759</v>
      </c>
      <c r="J166" s="2">
        <f>I166-H166</f>
        <v>-10.245738104466795</v>
      </c>
      <c r="K166" s="2">
        <f t="shared" si="19"/>
        <v>10.245738104466795</v>
      </c>
      <c r="L166" s="14">
        <f>C166/B166</f>
        <v>1.0827810266406757</v>
      </c>
      <c r="M166" s="14">
        <f t="shared" si="20"/>
        <v>1.0846355295243133</v>
      </c>
      <c r="N166" s="14">
        <f t="shared" si="24"/>
        <v>1.0837935079821066</v>
      </c>
      <c r="O166" s="14">
        <f t="shared" si="18"/>
        <v>1.08489668136114</v>
      </c>
      <c r="P166" s="15" t="s">
        <v>11</v>
      </c>
      <c r="Q166" s="4" t="str">
        <f t="shared" si="23"/>
        <v>UNDER</v>
      </c>
      <c r="R166" s="4" t="str">
        <f t="shared" si="23"/>
        <v>UNDER</v>
      </c>
      <c r="S166" s="4" t="str">
        <f t="shared" si="21"/>
        <v>UNDER</v>
      </c>
      <c r="T166" s="12" t="s">
        <v>11</v>
      </c>
      <c r="U166" s="2">
        <f>IF(Q166="OVER",$J166,$K166)</f>
        <v>10.245738104466795</v>
      </c>
      <c r="V166" s="2">
        <f>IF(R166="OVER",$J166,$K166)</f>
        <v>10.245738104466795</v>
      </c>
      <c r="W166" s="2">
        <f>IF(S166="OVER",$J166,$K166)</f>
        <v>10.245738104466795</v>
      </c>
      <c r="X166" s="12" t="s">
        <v>11</v>
      </c>
      <c r="Y166" s="9">
        <f t="shared" si="22"/>
        <v>-1509.5939560936408</v>
      </c>
      <c r="Z166" s="9">
        <f t="shared" si="22"/>
        <v>-4712.4411516350247</v>
      </c>
      <c r="AA166" s="9">
        <f t="shared" si="22"/>
        <v>10606.635355205834</v>
      </c>
      <c r="AB166" s="12" t="s">
        <v>11</v>
      </c>
    </row>
    <row r="167" spans="1:28" x14ac:dyDescent="0.3">
      <c r="A167" s="1">
        <v>44652</v>
      </c>
      <c r="B167" s="2">
        <v>77.22</v>
      </c>
      <c r="C167" s="2">
        <v>83.74</v>
      </c>
      <c r="D167" s="9">
        <f>B167-B166</f>
        <v>0.26999999999999602</v>
      </c>
      <c r="E167" s="9">
        <f>C167-C166</f>
        <v>0.42000000000000171</v>
      </c>
      <c r="F167" s="3">
        <f>F$1/B167</f>
        <v>1295.0012950012949</v>
      </c>
      <c r="G167" s="3">
        <f>F$1/C167</f>
        <v>1194.1724385001196</v>
      </c>
      <c r="H167" s="2">
        <f>D167*F166</f>
        <v>350.87719298245094</v>
      </c>
      <c r="I167" s="2">
        <f>E167*G166</f>
        <v>504.08065290446683</v>
      </c>
      <c r="J167" s="2">
        <f>I167-H167</f>
        <v>153.2034599220159</v>
      </c>
      <c r="K167" s="2">
        <f t="shared" si="19"/>
        <v>-153.2034599220159</v>
      </c>
      <c r="L167" s="14">
        <f>C167/B167</f>
        <v>1.0844340844340843</v>
      </c>
      <c r="M167" s="14">
        <f t="shared" si="20"/>
        <v>1.0844954729861525</v>
      </c>
      <c r="N167" s="14">
        <f t="shared" si="24"/>
        <v>1.083715077614309</v>
      </c>
      <c r="O167" s="14">
        <f t="shared" si="18"/>
        <v>1.0850455103176166</v>
      </c>
      <c r="P167" s="15" t="s">
        <v>11</v>
      </c>
      <c r="Q167" s="4" t="str">
        <f t="shared" si="23"/>
        <v>UNDER</v>
      </c>
      <c r="R167" s="4" t="str">
        <f t="shared" si="23"/>
        <v>UNDER</v>
      </c>
      <c r="S167" s="4" t="str">
        <f t="shared" si="21"/>
        <v>UNDER</v>
      </c>
      <c r="T167" s="12" t="s">
        <v>11</v>
      </c>
      <c r="U167" s="2">
        <f>IF(Q167="OVER",$J167,$K167)</f>
        <v>-153.2034599220159</v>
      </c>
      <c r="V167" s="2">
        <f>IF(R167="OVER",$J167,$K167)</f>
        <v>-153.2034599220159</v>
      </c>
      <c r="W167" s="2">
        <f>IF(S167="OVER",$J167,$K167)</f>
        <v>-153.2034599220159</v>
      </c>
      <c r="X167" s="12" t="s">
        <v>11</v>
      </c>
      <c r="Y167" s="9">
        <f t="shared" si="22"/>
        <v>-1662.7974160156568</v>
      </c>
      <c r="Z167" s="9">
        <f t="shared" si="22"/>
        <v>-4865.6446115570407</v>
      </c>
      <c r="AA167" s="9">
        <f t="shared" si="22"/>
        <v>10453.431895283818</v>
      </c>
      <c r="AB167" s="12" t="s">
        <v>11</v>
      </c>
    </row>
    <row r="168" spans="1:28" x14ac:dyDescent="0.3">
      <c r="A168" s="1">
        <v>44655</v>
      </c>
      <c r="B168" s="2">
        <v>78</v>
      </c>
      <c r="C168" s="2">
        <v>84.61</v>
      </c>
      <c r="D168" s="9">
        <f>B168-B167</f>
        <v>0.78000000000000114</v>
      </c>
      <c r="E168" s="9">
        <f>C168-C167</f>
        <v>0.87000000000000455</v>
      </c>
      <c r="F168" s="3">
        <f>F$1/B168</f>
        <v>1282.051282051282</v>
      </c>
      <c r="G168" s="3">
        <f>F$1/C168</f>
        <v>1181.8933932159318</v>
      </c>
      <c r="H168" s="2">
        <f>D168*F167</f>
        <v>1010.1010101010115</v>
      </c>
      <c r="I168" s="2">
        <f>E168*G167</f>
        <v>1038.9300214951095</v>
      </c>
      <c r="J168" s="2">
        <f>I168-H168</f>
        <v>28.829011394097961</v>
      </c>
      <c r="K168" s="2">
        <f t="shared" si="19"/>
        <v>-28.829011394097961</v>
      </c>
      <c r="L168" s="14">
        <f>C168/B168</f>
        <v>1.0847435897435898</v>
      </c>
      <c r="M168" s="14">
        <f t="shared" si="20"/>
        <v>1.084584697719009</v>
      </c>
      <c r="N168" s="14">
        <f t="shared" si="24"/>
        <v>1.0838542340372379</v>
      </c>
      <c r="O168" s="14">
        <f t="shared" si="18"/>
        <v>1.0851075140587618</v>
      </c>
      <c r="P168" s="15" t="s">
        <v>11</v>
      </c>
      <c r="Q168" s="4" t="str">
        <f t="shared" si="23"/>
        <v>UNDER</v>
      </c>
      <c r="R168" s="4" t="str">
        <f t="shared" si="23"/>
        <v>OVER</v>
      </c>
      <c r="S168" s="4" t="str">
        <f t="shared" si="21"/>
        <v>UNDER</v>
      </c>
      <c r="T168" s="12" t="s">
        <v>11</v>
      </c>
      <c r="U168" s="2">
        <f>IF(Q168="OVER",$J168,$K168)</f>
        <v>-28.829011394097961</v>
      </c>
      <c r="V168" s="2">
        <f>IF(R168="OVER",$J168,$K168)</f>
        <v>28.829011394097961</v>
      </c>
      <c r="W168" s="2">
        <f>IF(S168="OVER",$J168,$K168)</f>
        <v>-28.829011394097961</v>
      </c>
      <c r="X168" s="12" t="s">
        <v>11</v>
      </c>
      <c r="Y168" s="9">
        <f t="shared" si="22"/>
        <v>-1691.6264274097548</v>
      </c>
      <c r="Z168" s="9">
        <f t="shared" si="22"/>
        <v>-4836.8156001629432</v>
      </c>
      <c r="AA168" s="9">
        <f t="shared" si="22"/>
        <v>10424.60288388972</v>
      </c>
      <c r="AB168" s="12" t="s">
        <v>11</v>
      </c>
    </row>
    <row r="169" spans="1:28" x14ac:dyDescent="0.3">
      <c r="A169" s="1">
        <v>44656</v>
      </c>
      <c r="B169" s="2">
        <v>76.709999999999994</v>
      </c>
      <c r="C169" s="2">
        <v>83.27</v>
      </c>
      <c r="D169" s="9">
        <f>B169-B168</f>
        <v>-1.2900000000000063</v>
      </c>
      <c r="E169" s="9">
        <f>C169-C168</f>
        <v>-1.3400000000000034</v>
      </c>
      <c r="F169" s="3">
        <f>F$1/B169</f>
        <v>1303.6110024768609</v>
      </c>
      <c r="G169" s="3">
        <f>F$1/C169</f>
        <v>1200.9126936471719</v>
      </c>
      <c r="H169" s="2">
        <f>D169*F168</f>
        <v>-1653.8461538461618</v>
      </c>
      <c r="I169" s="2">
        <f>E169*G168</f>
        <v>-1583.7371469093528</v>
      </c>
      <c r="J169" s="2">
        <f>I169-H169</f>
        <v>70.10900693680901</v>
      </c>
      <c r="K169" s="2">
        <f t="shared" si="19"/>
        <v>-70.10900693680901</v>
      </c>
      <c r="L169" s="14">
        <f>C169/B169</f>
        <v>1.0855168817624821</v>
      </c>
      <c r="M169" s="14">
        <f t="shared" si="20"/>
        <v>1.0844555125784838</v>
      </c>
      <c r="N169" s="14">
        <f t="shared" si="24"/>
        <v>1.0839490851395281</v>
      </c>
      <c r="O169" s="14">
        <f t="shared" si="18"/>
        <v>1.0852125885361166</v>
      </c>
      <c r="P169" s="15" t="s">
        <v>11</v>
      </c>
      <c r="Q169" s="4" t="str">
        <f t="shared" si="23"/>
        <v>OVER</v>
      </c>
      <c r="R169" s="4" t="str">
        <f t="shared" si="23"/>
        <v>OVER</v>
      </c>
      <c r="S169" s="4" t="str">
        <f t="shared" si="21"/>
        <v>OVER</v>
      </c>
      <c r="T169" s="12" t="s">
        <v>11</v>
      </c>
      <c r="U169" s="2">
        <f>IF(Q169="OVER",$J169,$K169)</f>
        <v>70.10900693680901</v>
      </c>
      <c r="V169" s="2">
        <f>IF(R169="OVER",$J169,$K169)</f>
        <v>70.10900693680901</v>
      </c>
      <c r="W169" s="2">
        <f>IF(S169="OVER",$J169,$K169)</f>
        <v>70.10900693680901</v>
      </c>
      <c r="X169" s="12" t="s">
        <v>11</v>
      </c>
      <c r="Y169" s="9">
        <f t="shared" si="22"/>
        <v>-1621.5174204729458</v>
      </c>
      <c r="Z169" s="9">
        <f t="shared" si="22"/>
        <v>-4766.7065932261339</v>
      </c>
      <c r="AA169" s="9">
        <f t="shared" si="22"/>
        <v>10494.711890826529</v>
      </c>
      <c r="AB169" s="12" t="s">
        <v>11</v>
      </c>
    </row>
    <row r="170" spans="1:28" x14ac:dyDescent="0.3">
      <c r="A170" s="1">
        <v>44657</v>
      </c>
      <c r="B170" s="2">
        <v>75.91</v>
      </c>
      <c r="C170" s="2">
        <v>82.09</v>
      </c>
      <c r="D170" s="9">
        <f>B170-B169</f>
        <v>-0.79999999999999716</v>
      </c>
      <c r="E170" s="9">
        <f>C170-C169</f>
        <v>-1.1799999999999926</v>
      </c>
      <c r="F170" s="3">
        <f>F$1/B170</f>
        <v>1317.3494928204452</v>
      </c>
      <c r="G170" s="3">
        <f>F$1/C170</f>
        <v>1218.1751735899622</v>
      </c>
      <c r="H170" s="2">
        <f>D170*F169</f>
        <v>-1042.8888019814851</v>
      </c>
      <c r="I170" s="2">
        <f>E170*G169</f>
        <v>-1417.0769785036539</v>
      </c>
      <c r="J170" s="2">
        <f>I170-H170</f>
        <v>-374.18817652216876</v>
      </c>
      <c r="K170" s="2">
        <f t="shared" si="19"/>
        <v>374.18817652216876</v>
      </c>
      <c r="L170" s="14">
        <f>C170/B170</f>
        <v>1.0814121986563037</v>
      </c>
      <c r="M170" s="14">
        <f t="shared" si="20"/>
        <v>1.0840636800343169</v>
      </c>
      <c r="N170" s="14">
        <f t="shared" si="24"/>
        <v>1.0835380536036605</v>
      </c>
      <c r="O170" s="14">
        <f t="shared" si="18"/>
        <v>1.0852001762467378</v>
      </c>
      <c r="P170" s="15" t="s">
        <v>11</v>
      </c>
      <c r="Q170" s="4" t="str">
        <f t="shared" si="23"/>
        <v>OVER</v>
      </c>
      <c r="R170" s="4" t="str">
        <f t="shared" si="23"/>
        <v>OVER</v>
      </c>
      <c r="S170" s="4" t="str">
        <f t="shared" si="21"/>
        <v>UNDER</v>
      </c>
      <c r="T170" s="12" t="s">
        <v>11</v>
      </c>
      <c r="U170" s="2">
        <f>IF(Q170="OVER",$J170,$K170)</f>
        <v>-374.18817652216876</v>
      </c>
      <c r="V170" s="2">
        <f>IF(R170="OVER",$J170,$K170)</f>
        <v>-374.18817652216876</v>
      </c>
      <c r="W170" s="2">
        <f>IF(S170="OVER",$J170,$K170)</f>
        <v>374.18817652216876</v>
      </c>
      <c r="X170" s="12" t="s">
        <v>11</v>
      </c>
      <c r="Y170" s="9">
        <f t="shared" si="22"/>
        <v>-1995.7055969951145</v>
      </c>
      <c r="Z170" s="9">
        <f t="shared" si="22"/>
        <v>-5140.8947697483027</v>
      </c>
      <c r="AA170" s="9">
        <f t="shared" si="22"/>
        <v>10868.900067348699</v>
      </c>
      <c r="AB170" s="12" t="s">
        <v>11</v>
      </c>
    </row>
    <row r="171" spans="1:28" x14ac:dyDescent="0.3">
      <c r="A171" s="1">
        <v>44658</v>
      </c>
      <c r="B171" s="2">
        <v>75.8</v>
      </c>
      <c r="C171" s="2">
        <v>81.83</v>
      </c>
      <c r="D171" s="9">
        <f>B171-B170</f>
        <v>-0.10999999999999943</v>
      </c>
      <c r="E171" s="9">
        <f>C171-C170</f>
        <v>-0.26000000000000512</v>
      </c>
      <c r="F171" s="3">
        <f>F$1/B171</f>
        <v>1319.2612137203166</v>
      </c>
      <c r="G171" s="3">
        <f>F$1/C171</f>
        <v>1222.0457045093488</v>
      </c>
      <c r="H171" s="2">
        <f>D171*F170</f>
        <v>-144.90844421024823</v>
      </c>
      <c r="I171" s="2">
        <f>E171*G170</f>
        <v>-316.72554513339639</v>
      </c>
      <c r="J171" s="2">
        <f>I171-H171</f>
        <v>-171.81710092314816</v>
      </c>
      <c r="K171" s="2">
        <f t="shared" si="19"/>
        <v>171.81710092314816</v>
      </c>
      <c r="L171" s="14">
        <f>C171/B171</f>
        <v>1.0795514511873352</v>
      </c>
      <c r="M171" s="14">
        <f t="shared" si="20"/>
        <v>1.0833004748528678</v>
      </c>
      <c r="N171" s="14">
        <f t="shared" si="24"/>
        <v>1.0833038900894745</v>
      </c>
      <c r="O171" s="14">
        <f t="shared" si="18"/>
        <v>1.0850999696768098</v>
      </c>
      <c r="P171" s="15" t="s">
        <v>11</v>
      </c>
      <c r="Q171" s="4" t="str">
        <f t="shared" si="23"/>
        <v>UNDER</v>
      </c>
      <c r="R171" s="4" t="str">
        <f t="shared" si="23"/>
        <v>UNDER</v>
      </c>
      <c r="S171" s="4" t="str">
        <f t="shared" si="21"/>
        <v>UNDER</v>
      </c>
      <c r="T171" s="12" t="s">
        <v>11</v>
      </c>
      <c r="U171" s="2">
        <f>IF(Q171="OVER",$J171,$K171)</f>
        <v>171.81710092314816</v>
      </c>
      <c r="V171" s="2">
        <f>IF(R171="OVER",$J171,$K171)</f>
        <v>171.81710092314816</v>
      </c>
      <c r="W171" s="2">
        <f>IF(S171="OVER",$J171,$K171)</f>
        <v>171.81710092314816</v>
      </c>
      <c r="X171" s="12" t="s">
        <v>11</v>
      </c>
      <c r="Y171" s="9">
        <f t="shared" si="22"/>
        <v>-1823.8884960719663</v>
      </c>
      <c r="Z171" s="9">
        <f t="shared" si="22"/>
        <v>-4969.0776688251544</v>
      </c>
      <c r="AA171" s="9">
        <f t="shared" si="22"/>
        <v>11040.717168271847</v>
      </c>
      <c r="AB171" s="12" t="s">
        <v>11</v>
      </c>
    </row>
    <row r="172" spans="1:28" x14ac:dyDescent="0.3">
      <c r="A172" s="1">
        <v>44659</v>
      </c>
      <c r="B172" s="2">
        <v>75.38</v>
      </c>
      <c r="C172" s="2">
        <v>81.42</v>
      </c>
      <c r="D172" s="9">
        <f>B172-B171</f>
        <v>-0.42000000000000171</v>
      </c>
      <c r="E172" s="9">
        <f>C172-C171</f>
        <v>-0.40999999999999659</v>
      </c>
      <c r="F172" s="3">
        <f>F$1/B172</f>
        <v>1326.6118333775539</v>
      </c>
      <c r="G172" s="3">
        <f>F$1/C172</f>
        <v>1228.1994595922376</v>
      </c>
      <c r="H172" s="2">
        <f>D172*F171</f>
        <v>-554.08970976253522</v>
      </c>
      <c r="I172" s="2">
        <f>E172*G171</f>
        <v>-501.03873884882881</v>
      </c>
      <c r="J172" s="2">
        <f>I172-H172</f>
        <v>53.050970913706408</v>
      </c>
      <c r="K172" s="2">
        <f t="shared" si="19"/>
        <v>-53.050970913706408</v>
      </c>
      <c r="L172" s="14">
        <f>C172/B172</f>
        <v>1.0801273547360044</v>
      </c>
      <c r="M172" s="14">
        <f t="shared" si="20"/>
        <v>1.0830408632276705</v>
      </c>
      <c r="N172" s="14">
        <f t="shared" si="24"/>
        <v>1.083195681648228</v>
      </c>
      <c r="O172" s="14">
        <f t="shared" si="18"/>
        <v>1.0850214356904488</v>
      </c>
      <c r="P172" s="15" t="s">
        <v>11</v>
      </c>
      <c r="Q172" s="4" t="str">
        <f t="shared" si="23"/>
        <v>UNDER</v>
      </c>
      <c r="R172" s="4" t="str">
        <f t="shared" si="23"/>
        <v>UNDER</v>
      </c>
      <c r="S172" s="4" t="str">
        <f t="shared" si="21"/>
        <v>UNDER</v>
      </c>
      <c r="T172" s="12" t="s">
        <v>11</v>
      </c>
      <c r="U172" s="2">
        <f>IF(Q172="OVER",$J172,$K172)</f>
        <v>-53.050970913706408</v>
      </c>
      <c r="V172" s="2">
        <f>IF(R172="OVER",$J172,$K172)</f>
        <v>-53.050970913706408</v>
      </c>
      <c r="W172" s="2">
        <f>IF(S172="OVER",$J172,$K172)</f>
        <v>-53.050970913706408</v>
      </c>
      <c r="X172" s="12" t="s">
        <v>11</v>
      </c>
      <c r="Y172" s="9">
        <f t="shared" si="22"/>
        <v>-1876.9394669856727</v>
      </c>
      <c r="Z172" s="9">
        <f t="shared" si="22"/>
        <v>-5022.1286397388612</v>
      </c>
      <c r="AA172" s="9">
        <f t="shared" si="22"/>
        <v>10987.666197358141</v>
      </c>
      <c r="AB172" s="12" t="s">
        <v>11</v>
      </c>
    </row>
    <row r="173" spans="1:28" x14ac:dyDescent="0.3">
      <c r="A173" s="1">
        <v>44662</v>
      </c>
      <c r="B173" s="2">
        <v>74.86</v>
      </c>
      <c r="C173" s="2">
        <v>81.39</v>
      </c>
      <c r="D173" s="9">
        <f>B173-B172</f>
        <v>-0.51999999999999602</v>
      </c>
      <c r="E173" s="9">
        <f>C173-C172</f>
        <v>-3.0000000000001137E-2</v>
      </c>
      <c r="F173" s="3">
        <f>F$1/B173</f>
        <v>1335.826876836762</v>
      </c>
      <c r="G173" s="3">
        <f>F$1/C173</f>
        <v>1228.6521685710775</v>
      </c>
      <c r="H173" s="2">
        <f>D173*F172</f>
        <v>-689.83815335632278</v>
      </c>
      <c r="I173" s="2">
        <f>E173*G172</f>
        <v>-36.845983787768525</v>
      </c>
      <c r="J173" s="2">
        <f>I173-H173</f>
        <v>652.99216956855423</v>
      </c>
      <c r="K173" s="2">
        <f t="shared" si="19"/>
        <v>-652.99216956855423</v>
      </c>
      <c r="L173" s="14">
        <f>C173/B173</f>
        <v>1.0872294950574406</v>
      </c>
      <c r="M173" s="14">
        <f t="shared" si="20"/>
        <v>1.0834109633969586</v>
      </c>
      <c r="N173" s="14">
        <f t="shared" si="24"/>
        <v>1.0834260226110819</v>
      </c>
      <c r="O173" s="14">
        <f t="shared" si="18"/>
        <v>1.0851240948521941</v>
      </c>
      <c r="P173" s="15" t="s">
        <v>11</v>
      </c>
      <c r="Q173" s="4" t="str">
        <f t="shared" si="23"/>
        <v>UNDER</v>
      </c>
      <c r="R173" s="4" t="str">
        <f t="shared" si="23"/>
        <v>UNDER</v>
      </c>
      <c r="S173" s="4" t="str">
        <f t="shared" si="21"/>
        <v>OVER</v>
      </c>
      <c r="T173" s="12" t="s">
        <v>11</v>
      </c>
      <c r="U173" s="2">
        <f>IF(Q173="OVER",$J173,$K173)</f>
        <v>-652.99216956855423</v>
      </c>
      <c r="V173" s="2">
        <f>IF(R173="OVER",$J173,$K173)</f>
        <v>-652.99216956855423</v>
      </c>
      <c r="W173" s="2">
        <f>IF(S173="OVER",$J173,$K173)</f>
        <v>652.99216956855423</v>
      </c>
      <c r="X173" s="12" t="s">
        <v>11</v>
      </c>
      <c r="Y173" s="9">
        <f t="shared" si="22"/>
        <v>-2529.9316365542268</v>
      </c>
      <c r="Z173" s="9">
        <f t="shared" si="22"/>
        <v>-5675.1208093074156</v>
      </c>
      <c r="AA173" s="9">
        <f t="shared" si="22"/>
        <v>11640.658366926695</v>
      </c>
      <c r="AB173" s="12" t="s">
        <v>11</v>
      </c>
    </row>
    <row r="174" spans="1:28" x14ac:dyDescent="0.3">
      <c r="A174" s="1">
        <v>44663</v>
      </c>
      <c r="B174" s="2">
        <v>74.84</v>
      </c>
      <c r="C174" s="2">
        <v>81.22</v>
      </c>
      <c r="D174" s="9">
        <f>B174-B173</f>
        <v>-1.9999999999996021E-2</v>
      </c>
      <c r="E174" s="9">
        <f>C174-C173</f>
        <v>-0.17000000000000171</v>
      </c>
      <c r="F174" s="3">
        <f>F$1/B174</f>
        <v>1336.1838588989845</v>
      </c>
      <c r="G174" s="3">
        <f>F$1/C174</f>
        <v>1231.2238364934744</v>
      </c>
      <c r="H174" s="2">
        <f>D174*F173</f>
        <v>-26.716537536729927</v>
      </c>
      <c r="I174" s="2">
        <f>E174*G173</f>
        <v>-208.87086865708525</v>
      </c>
      <c r="J174" s="2">
        <f>I174-H174</f>
        <v>-182.15433112035532</v>
      </c>
      <c r="K174" s="2">
        <f t="shared" si="19"/>
        <v>182.15433112035532</v>
      </c>
      <c r="L174" s="14">
        <f>C174/B174</f>
        <v>1.0852485301977552</v>
      </c>
      <c r="M174" s="14">
        <f t="shared" si="20"/>
        <v>1.0833937483370939</v>
      </c>
      <c r="N174" s="14">
        <f t="shared" si="24"/>
        <v>1.083936207432461</v>
      </c>
      <c r="O174" s="14">
        <f t="shared" si="18"/>
        <v>1.0852904036493281</v>
      </c>
      <c r="P174" s="15" t="s">
        <v>11</v>
      </c>
      <c r="Q174" s="4" t="str">
        <f t="shared" si="23"/>
        <v>OVER</v>
      </c>
      <c r="R174" s="4" t="str">
        <f t="shared" si="23"/>
        <v>OVER</v>
      </c>
      <c r="S174" s="4" t="str">
        <f t="shared" si="21"/>
        <v>UNDER</v>
      </c>
      <c r="T174" s="12" t="s">
        <v>11</v>
      </c>
      <c r="U174" s="2">
        <f>IF(Q174="OVER",$J174,$K174)</f>
        <v>-182.15433112035532</v>
      </c>
      <c r="V174" s="2">
        <f>IF(R174="OVER",$J174,$K174)</f>
        <v>-182.15433112035532</v>
      </c>
      <c r="W174" s="2">
        <f>IF(S174="OVER",$J174,$K174)</f>
        <v>182.15433112035532</v>
      </c>
      <c r="X174" s="12" t="s">
        <v>11</v>
      </c>
      <c r="Y174" s="9">
        <f t="shared" si="22"/>
        <v>-2712.0859676745822</v>
      </c>
      <c r="Z174" s="9">
        <f t="shared" si="22"/>
        <v>-5857.2751404277706</v>
      </c>
      <c r="AA174" s="9">
        <f t="shared" si="22"/>
        <v>11822.81269804705</v>
      </c>
      <c r="AB174" s="12" t="s">
        <v>11</v>
      </c>
    </row>
    <row r="175" spans="1:28" x14ac:dyDescent="0.3">
      <c r="A175" s="1">
        <v>44664</v>
      </c>
      <c r="B175" s="2">
        <v>75.849999999999994</v>
      </c>
      <c r="C175" s="2">
        <v>82.41</v>
      </c>
      <c r="D175" s="9">
        <f>B175-B174</f>
        <v>1.0099999999999909</v>
      </c>
      <c r="E175" s="9">
        <f>C175-C174</f>
        <v>1.1899999999999977</v>
      </c>
      <c r="F175" s="3">
        <f>F$1/B175</f>
        <v>1318.3915622940015</v>
      </c>
      <c r="G175" s="3">
        <f>F$1/C175</f>
        <v>1213.4449702705983</v>
      </c>
      <c r="H175" s="2">
        <f>D175*F174</f>
        <v>1349.5456974879621</v>
      </c>
      <c r="I175" s="2">
        <f>E175*G174</f>
        <v>1465.1563654272318</v>
      </c>
      <c r="J175" s="2">
        <f>I175-H175</f>
        <v>115.61066793926966</v>
      </c>
      <c r="K175" s="2">
        <f t="shared" si="19"/>
        <v>-115.61066793926966</v>
      </c>
      <c r="L175" s="14">
        <f>C175/B175</f>
        <v>1.0864864864864865</v>
      </c>
      <c r="M175" s="14">
        <f t="shared" si="20"/>
        <v>1.0837531098902158</v>
      </c>
      <c r="N175" s="14">
        <f t="shared" si="24"/>
        <v>1.0842030108278087</v>
      </c>
      <c r="O175" s="14">
        <f t="shared" si="18"/>
        <v>1.0853252181248201</v>
      </c>
      <c r="P175" s="15" t="s">
        <v>11</v>
      </c>
      <c r="Q175" s="4" t="str">
        <f t="shared" si="23"/>
        <v>OVER</v>
      </c>
      <c r="R175" s="4" t="str">
        <f t="shared" si="23"/>
        <v>OVER</v>
      </c>
      <c r="S175" s="4" t="str">
        <f t="shared" si="21"/>
        <v>OVER</v>
      </c>
      <c r="T175" s="12" t="s">
        <v>11</v>
      </c>
      <c r="U175" s="2">
        <f>IF(Q175="OVER",$J175,$K175)</f>
        <v>115.61066793926966</v>
      </c>
      <c r="V175" s="2">
        <f>IF(R175="OVER",$J175,$K175)</f>
        <v>115.61066793926966</v>
      </c>
      <c r="W175" s="2">
        <f>IF(S175="OVER",$J175,$K175)</f>
        <v>115.61066793926966</v>
      </c>
      <c r="X175" s="12" t="s">
        <v>11</v>
      </c>
      <c r="Y175" s="9">
        <f t="shared" si="22"/>
        <v>-2596.4752997353125</v>
      </c>
      <c r="Z175" s="9">
        <f t="shared" si="22"/>
        <v>-5741.6644724885009</v>
      </c>
      <c r="AA175" s="9">
        <f t="shared" si="22"/>
        <v>11938.42336598632</v>
      </c>
      <c r="AB175" s="12" t="s">
        <v>11</v>
      </c>
    </row>
    <row r="176" spans="1:28" x14ac:dyDescent="0.3">
      <c r="A176" s="1">
        <v>44665</v>
      </c>
      <c r="B176" s="2">
        <v>75.349999999999994</v>
      </c>
      <c r="C176" s="2">
        <v>81.84</v>
      </c>
      <c r="D176" s="9">
        <f>B176-B175</f>
        <v>-0.5</v>
      </c>
      <c r="E176" s="9">
        <f>C176-C175</f>
        <v>-0.56999999999999318</v>
      </c>
      <c r="F176" s="3">
        <f>F$1/B176</f>
        <v>1327.1400132714002</v>
      </c>
      <c r="G176" s="3">
        <f>F$1/C176</f>
        <v>1221.8963831867056</v>
      </c>
      <c r="H176" s="2">
        <f>D176*F175</f>
        <v>-659.19578114700073</v>
      </c>
      <c r="I176" s="2">
        <f>E176*G175</f>
        <v>-691.66363305423272</v>
      </c>
      <c r="J176" s="2">
        <f>I176-H176</f>
        <v>-32.467851907231989</v>
      </c>
      <c r="K176" s="2">
        <f t="shared" si="19"/>
        <v>32.467851907231989</v>
      </c>
      <c r="L176" s="14">
        <f>C176/B176</f>
        <v>1.0861313868613141</v>
      </c>
      <c r="M176" s="14">
        <f t="shared" si="20"/>
        <v>1.0840881459122795</v>
      </c>
      <c r="N176" s="14">
        <f t="shared" si="24"/>
        <v>1.0843618377182964</v>
      </c>
      <c r="O176" s="14">
        <f t="shared" si="18"/>
        <v>1.0854291080611356</v>
      </c>
      <c r="P176" s="15" t="s">
        <v>11</v>
      </c>
      <c r="Q176" s="4" t="str">
        <f t="shared" si="23"/>
        <v>OVER</v>
      </c>
      <c r="R176" s="4" t="str">
        <f t="shared" si="23"/>
        <v>OVER</v>
      </c>
      <c r="S176" s="4" t="str">
        <f t="shared" si="21"/>
        <v>OVER</v>
      </c>
      <c r="T176" s="12" t="s">
        <v>11</v>
      </c>
      <c r="U176" s="2">
        <f>IF(Q176="OVER",$J176,$K176)</f>
        <v>-32.467851907231989</v>
      </c>
      <c r="V176" s="2">
        <f>IF(R176="OVER",$J176,$K176)</f>
        <v>-32.467851907231989</v>
      </c>
      <c r="W176" s="2">
        <f>IF(S176="OVER",$J176,$K176)</f>
        <v>-32.467851907231989</v>
      </c>
      <c r="X176" s="12" t="s">
        <v>11</v>
      </c>
      <c r="Y176" s="9">
        <f t="shared" si="22"/>
        <v>-2628.9431516425448</v>
      </c>
      <c r="Z176" s="9">
        <f t="shared" si="22"/>
        <v>-5774.1323243957331</v>
      </c>
      <c r="AA176" s="9">
        <f t="shared" si="22"/>
        <v>11905.955514079089</v>
      </c>
      <c r="AB176" s="12" t="s">
        <v>11</v>
      </c>
    </row>
    <row r="177" spans="1:28" x14ac:dyDescent="0.3">
      <c r="A177" s="1">
        <v>44669</v>
      </c>
      <c r="B177" s="2">
        <v>74.77</v>
      </c>
      <c r="C177" s="2">
        <v>81.19</v>
      </c>
      <c r="D177" s="9">
        <f>B177-B176</f>
        <v>-0.57999999999999829</v>
      </c>
      <c r="E177" s="9">
        <f>C177-C176</f>
        <v>-0.65000000000000568</v>
      </c>
      <c r="F177" s="3">
        <f>F$1/B177</f>
        <v>1337.4348000534974</v>
      </c>
      <c r="G177" s="3">
        <f>F$1/C177</f>
        <v>1231.6787781746521</v>
      </c>
      <c r="H177" s="2">
        <f>D177*F176</f>
        <v>-769.74120769740989</v>
      </c>
      <c r="I177" s="2">
        <f>E177*G176</f>
        <v>-794.23264907136559</v>
      </c>
      <c r="J177" s="2">
        <f>I177-H177</f>
        <v>-24.491441373955695</v>
      </c>
      <c r="K177" s="2">
        <f t="shared" si="19"/>
        <v>24.491441373955695</v>
      </c>
      <c r="L177" s="14">
        <f>C177/B177</f>
        <v>1.0858633141634346</v>
      </c>
      <c r="M177" s="14">
        <f t="shared" si="20"/>
        <v>1.0842310688852146</v>
      </c>
      <c r="N177" s="14">
        <f t="shared" si="24"/>
        <v>1.0843632709356836</v>
      </c>
      <c r="O177" s="14">
        <f t="shared" si="18"/>
        <v>1.0855696547676847</v>
      </c>
      <c r="P177" s="15" t="s">
        <v>11</v>
      </c>
      <c r="Q177" s="4" t="str">
        <f t="shared" si="23"/>
        <v>OVER</v>
      </c>
      <c r="R177" s="4" t="str">
        <f t="shared" si="23"/>
        <v>OVER</v>
      </c>
      <c r="S177" s="4" t="str">
        <f t="shared" si="21"/>
        <v>OVER</v>
      </c>
      <c r="T177" s="12" t="s">
        <v>11</v>
      </c>
      <c r="U177" s="2">
        <f>IF(Q177="OVER",$J177,$K177)</f>
        <v>-24.491441373955695</v>
      </c>
      <c r="V177" s="2">
        <f>IF(R177="OVER",$J177,$K177)</f>
        <v>-24.491441373955695</v>
      </c>
      <c r="W177" s="2">
        <f>IF(S177="OVER",$J177,$K177)</f>
        <v>-24.491441373955695</v>
      </c>
      <c r="X177" s="12" t="s">
        <v>11</v>
      </c>
      <c r="Y177" s="9">
        <f t="shared" si="22"/>
        <v>-2653.4345930165005</v>
      </c>
      <c r="Z177" s="9">
        <f t="shared" si="22"/>
        <v>-5798.6237657696893</v>
      </c>
      <c r="AA177" s="9">
        <f t="shared" si="22"/>
        <v>11881.464072705134</v>
      </c>
      <c r="AB177" s="12" t="s">
        <v>11</v>
      </c>
    </row>
    <row r="178" spans="1:28" x14ac:dyDescent="0.3">
      <c r="A178" s="1">
        <v>44670</v>
      </c>
      <c r="B178" s="2">
        <v>75.37</v>
      </c>
      <c r="C178" s="2">
        <v>81.84</v>
      </c>
      <c r="D178" s="9">
        <f>B178-B177</f>
        <v>0.60000000000000853</v>
      </c>
      <c r="E178" s="9">
        <f>C178-C177</f>
        <v>0.65000000000000568</v>
      </c>
      <c r="F178" s="3">
        <f>F$1/B178</f>
        <v>1326.7878466233249</v>
      </c>
      <c r="G178" s="3">
        <f>F$1/C178</f>
        <v>1221.8963831867056</v>
      </c>
      <c r="H178" s="2">
        <f>D178*F177</f>
        <v>802.4608800321098</v>
      </c>
      <c r="I178" s="2">
        <f>E178*G177</f>
        <v>800.59120581353079</v>
      </c>
      <c r="J178" s="2">
        <f>I178-H178</f>
        <v>-1.8696742185790072</v>
      </c>
      <c r="K178" s="2">
        <f t="shared" si="19"/>
        <v>1.8696742185790072</v>
      </c>
      <c r="L178" s="14">
        <f>C178/B178</f>
        <v>1.085843173676529</v>
      </c>
      <c r="M178" s="14">
        <f t="shared" si="20"/>
        <v>1.0843410272785086</v>
      </c>
      <c r="N178" s="14">
        <f t="shared" si="24"/>
        <v>1.0844628624987589</v>
      </c>
      <c r="O178" s="14">
        <f t="shared" si="18"/>
        <v>1.0856940368419203</v>
      </c>
      <c r="P178" s="15" t="s">
        <v>11</v>
      </c>
      <c r="Q178" s="4" t="str">
        <f t="shared" si="23"/>
        <v>OVER</v>
      </c>
      <c r="R178" s="4" t="str">
        <f t="shared" si="23"/>
        <v>OVER</v>
      </c>
      <c r="S178" s="4" t="str">
        <f t="shared" si="21"/>
        <v>OVER</v>
      </c>
      <c r="T178" s="12" t="s">
        <v>11</v>
      </c>
      <c r="U178" s="2">
        <f>IF(Q178="OVER",$J178,$K178)</f>
        <v>-1.8696742185790072</v>
      </c>
      <c r="V178" s="2">
        <f>IF(R178="OVER",$J178,$K178)</f>
        <v>-1.8696742185790072</v>
      </c>
      <c r="W178" s="2">
        <f>IF(S178="OVER",$J178,$K178)</f>
        <v>-1.8696742185790072</v>
      </c>
      <c r="X178" s="12" t="s">
        <v>11</v>
      </c>
      <c r="Y178" s="9">
        <f t="shared" si="22"/>
        <v>-2655.3042672350794</v>
      </c>
      <c r="Z178" s="9">
        <f t="shared" si="22"/>
        <v>-5800.4934399882686</v>
      </c>
      <c r="AA178" s="9">
        <f t="shared" si="22"/>
        <v>11879.594398486555</v>
      </c>
      <c r="AB178" s="12" t="s">
        <v>11</v>
      </c>
    </row>
    <row r="179" spans="1:28" x14ac:dyDescent="0.3">
      <c r="A179" s="1">
        <v>44671</v>
      </c>
      <c r="B179" s="2">
        <v>74.77</v>
      </c>
      <c r="C179" s="2">
        <v>81.25</v>
      </c>
      <c r="D179" s="9">
        <f>B179-B178</f>
        <v>-0.60000000000000853</v>
      </c>
      <c r="E179" s="9">
        <f>C179-C178</f>
        <v>-0.59000000000000341</v>
      </c>
      <c r="F179" s="3">
        <f>F$1/B179</f>
        <v>1337.4348000534974</v>
      </c>
      <c r="G179" s="3">
        <f>F$1/C179</f>
        <v>1230.7692307692307</v>
      </c>
      <c r="H179" s="2">
        <f>D179*F178</f>
        <v>-796.07270797400622</v>
      </c>
      <c r="I179" s="2">
        <f>E179*G178</f>
        <v>-720.91886608016046</v>
      </c>
      <c r="J179" s="2">
        <f>I179-H179</f>
        <v>75.153841893845765</v>
      </c>
      <c r="K179" s="2">
        <f t="shared" si="19"/>
        <v>-75.153841893845765</v>
      </c>
      <c r="L179" s="14">
        <f>C179/B179</f>
        <v>1.0866657750434667</v>
      </c>
      <c r="M179" s="14">
        <f t="shared" si="20"/>
        <v>1.084455916606607</v>
      </c>
      <c r="N179" s="14">
        <f t="shared" si="24"/>
        <v>1.0844557145925455</v>
      </c>
      <c r="O179" s="14">
        <f t="shared" si="18"/>
        <v>1.0857075405288845</v>
      </c>
      <c r="P179" s="15" t="s">
        <v>11</v>
      </c>
      <c r="Q179" s="4" t="str">
        <f t="shared" si="23"/>
        <v>OVER</v>
      </c>
      <c r="R179" s="4" t="str">
        <f t="shared" si="23"/>
        <v>OVER</v>
      </c>
      <c r="S179" s="4" t="str">
        <f t="shared" si="21"/>
        <v>OVER</v>
      </c>
      <c r="T179" s="12" t="s">
        <v>11</v>
      </c>
      <c r="U179" s="2">
        <f>IF(Q179="OVER",$J179,$K179)</f>
        <v>75.153841893845765</v>
      </c>
      <c r="V179" s="2">
        <f>IF(R179="OVER",$J179,$K179)</f>
        <v>75.153841893845765</v>
      </c>
      <c r="W179" s="2">
        <f>IF(S179="OVER",$J179,$K179)</f>
        <v>75.153841893845765</v>
      </c>
      <c r="X179" s="12" t="s">
        <v>11</v>
      </c>
      <c r="Y179" s="9">
        <f t="shared" si="22"/>
        <v>-2580.1504253412336</v>
      </c>
      <c r="Z179" s="9">
        <f t="shared" si="22"/>
        <v>-5725.3395980944224</v>
      </c>
      <c r="AA179" s="9">
        <f t="shared" si="22"/>
        <v>11954.748240380401</v>
      </c>
      <c r="AB179" s="12" t="s">
        <v>11</v>
      </c>
    </row>
    <row r="180" spans="1:28" x14ac:dyDescent="0.3">
      <c r="A180" s="1">
        <v>44672</v>
      </c>
      <c r="B180" s="2">
        <v>73.650000000000006</v>
      </c>
      <c r="C180" s="2">
        <v>79.75</v>
      </c>
      <c r="D180" s="9">
        <f>B180-B179</f>
        <v>-1.1199999999999903</v>
      </c>
      <c r="E180" s="9">
        <f>C180-C179</f>
        <v>-1.5</v>
      </c>
      <c r="F180" s="3">
        <f>F$1/B180</f>
        <v>1357.7732518669382</v>
      </c>
      <c r="G180" s="3">
        <f>F$1/C180</f>
        <v>1253.9184952978057</v>
      </c>
      <c r="H180" s="2">
        <f>D180*F179</f>
        <v>-1497.9269760599041</v>
      </c>
      <c r="I180" s="2">
        <f>E180*G179</f>
        <v>-1846.1538461538462</v>
      </c>
      <c r="J180" s="2">
        <f>I180-H180</f>
        <v>-348.22687009394213</v>
      </c>
      <c r="K180" s="2">
        <f t="shared" si="19"/>
        <v>348.22687009394213</v>
      </c>
      <c r="L180" s="14">
        <f>C180/B180</f>
        <v>1.0828241683638831</v>
      </c>
      <c r="M180" s="14">
        <f t="shared" si="20"/>
        <v>1.0845971135773651</v>
      </c>
      <c r="N180" s="14">
        <f t="shared" si="24"/>
        <v>1.0843303968058411</v>
      </c>
      <c r="O180" s="14">
        <f t="shared" si="18"/>
        <v>1.0856131471589234</v>
      </c>
      <c r="P180" s="15" t="s">
        <v>11</v>
      </c>
      <c r="Q180" s="4" t="str">
        <f t="shared" si="23"/>
        <v>OVER</v>
      </c>
      <c r="R180" s="4" t="str">
        <f t="shared" si="23"/>
        <v>OVER</v>
      </c>
      <c r="S180" s="4" t="str">
        <f t="shared" si="21"/>
        <v>UNDER</v>
      </c>
      <c r="T180" s="12" t="s">
        <v>11</v>
      </c>
      <c r="U180" s="2">
        <f>IF(Q180="OVER",$J180,$K180)</f>
        <v>-348.22687009394213</v>
      </c>
      <c r="V180" s="2">
        <f>IF(R180="OVER",$J180,$K180)</f>
        <v>-348.22687009394213</v>
      </c>
      <c r="W180" s="2">
        <f>IF(S180="OVER",$J180,$K180)</f>
        <v>348.22687009394213</v>
      </c>
      <c r="X180" s="12" t="s">
        <v>11</v>
      </c>
      <c r="Y180" s="9">
        <f t="shared" si="22"/>
        <v>-2928.3772954351757</v>
      </c>
      <c r="Z180" s="9">
        <f t="shared" si="22"/>
        <v>-6073.5664681883645</v>
      </c>
      <c r="AA180" s="9">
        <f t="shared" si="22"/>
        <v>12302.975110474343</v>
      </c>
      <c r="AB180" s="12" t="s">
        <v>11</v>
      </c>
    </row>
    <row r="181" spans="1:28" x14ac:dyDescent="0.3">
      <c r="A181" s="1">
        <v>44673</v>
      </c>
      <c r="B181" s="2">
        <v>72.56</v>
      </c>
      <c r="C181" s="2">
        <v>78.489999999999995</v>
      </c>
      <c r="D181" s="9">
        <f>B181-B180</f>
        <v>-1.0900000000000034</v>
      </c>
      <c r="E181" s="9">
        <f>C181-C180</f>
        <v>-1.2600000000000051</v>
      </c>
      <c r="F181" s="3">
        <f>F$1/B181</f>
        <v>1378.1697905181918</v>
      </c>
      <c r="G181" s="3">
        <f>F$1/C181</f>
        <v>1274.047649382087</v>
      </c>
      <c r="H181" s="2">
        <f>D181*F180</f>
        <v>-1479.9728445349672</v>
      </c>
      <c r="I181" s="2">
        <f>E181*G180</f>
        <v>-1579.9373040752416</v>
      </c>
      <c r="J181" s="2">
        <f>I181-H181</f>
        <v>-99.964459540274447</v>
      </c>
      <c r="K181" s="2">
        <f t="shared" si="19"/>
        <v>99.964459540274447</v>
      </c>
      <c r="L181" s="14">
        <f>C181/B181</f>
        <v>1.0817254685777287</v>
      </c>
      <c r="M181" s="14">
        <f t="shared" si="20"/>
        <v>1.0848145153164042</v>
      </c>
      <c r="N181" s="14">
        <f t="shared" si="24"/>
        <v>1.0840574950846364</v>
      </c>
      <c r="O181" s="14">
        <f t="shared" ref="O181:O244" si="25">AVERAGE(L132:L181)</f>
        <v>1.085505203339802</v>
      </c>
      <c r="P181" s="15" t="s">
        <v>11</v>
      </c>
      <c r="Q181" s="4" t="str">
        <f t="shared" si="23"/>
        <v>UNDER</v>
      </c>
      <c r="R181" s="4" t="str">
        <f t="shared" si="23"/>
        <v>UNDER</v>
      </c>
      <c r="S181" s="4" t="str">
        <f t="shared" si="21"/>
        <v>UNDER</v>
      </c>
      <c r="T181" s="12" t="s">
        <v>11</v>
      </c>
      <c r="U181" s="2">
        <f>IF(Q181="OVER",$J181,$K181)</f>
        <v>99.964459540274447</v>
      </c>
      <c r="V181" s="2">
        <f>IF(R181="OVER",$J181,$K181)</f>
        <v>99.964459540274447</v>
      </c>
      <c r="W181" s="2">
        <f>IF(S181="OVER",$J181,$K181)</f>
        <v>99.964459540274447</v>
      </c>
      <c r="X181" s="12" t="s">
        <v>11</v>
      </c>
      <c r="Y181" s="9">
        <f t="shared" si="22"/>
        <v>-2828.412835894901</v>
      </c>
      <c r="Z181" s="9">
        <f t="shared" si="22"/>
        <v>-5973.6020086480903</v>
      </c>
      <c r="AA181" s="9">
        <f t="shared" si="22"/>
        <v>12402.939570014618</v>
      </c>
      <c r="AB181" s="12" t="s">
        <v>11</v>
      </c>
    </row>
    <row r="182" spans="1:28" x14ac:dyDescent="0.3">
      <c r="A182" s="1">
        <v>44676</v>
      </c>
      <c r="B182" s="2">
        <v>72.930000000000007</v>
      </c>
      <c r="C182" s="2">
        <v>79.209999999999994</v>
      </c>
      <c r="D182" s="9">
        <f>B182-B181</f>
        <v>0.37000000000000455</v>
      </c>
      <c r="E182" s="9">
        <f>C182-C181</f>
        <v>0.71999999999999886</v>
      </c>
      <c r="F182" s="3">
        <f>F$1/B182</f>
        <v>1371.1778417660769</v>
      </c>
      <c r="G182" s="3">
        <f>F$1/C182</f>
        <v>1262.4668602449187</v>
      </c>
      <c r="H182" s="2">
        <f>D182*F181</f>
        <v>509.92282249173724</v>
      </c>
      <c r="I182" s="2">
        <f>E182*G181</f>
        <v>917.31430755510121</v>
      </c>
      <c r="J182" s="2">
        <f>I182-H182</f>
        <v>407.39148506336397</v>
      </c>
      <c r="K182" s="2">
        <f t="shared" si="19"/>
        <v>-407.39148506336397</v>
      </c>
      <c r="L182" s="14">
        <f>C182/B182</f>
        <v>1.0861099684629094</v>
      </c>
      <c r="M182" s="14">
        <f t="shared" si="20"/>
        <v>1.0854127766890946</v>
      </c>
      <c r="N182" s="14">
        <f t="shared" si="24"/>
        <v>1.0842268199583829</v>
      </c>
      <c r="O182" s="14">
        <f t="shared" si="25"/>
        <v>1.0854196956293007</v>
      </c>
      <c r="P182" s="15" t="s">
        <v>11</v>
      </c>
      <c r="Q182" s="4" t="str">
        <f t="shared" si="23"/>
        <v>UNDER</v>
      </c>
      <c r="R182" s="4" t="str">
        <f t="shared" si="23"/>
        <v>UNDER</v>
      </c>
      <c r="S182" s="4" t="str">
        <f t="shared" si="21"/>
        <v>OVER</v>
      </c>
      <c r="T182" s="12" t="s">
        <v>11</v>
      </c>
      <c r="U182" s="2">
        <f>IF(Q182="OVER",$J182,$K182)</f>
        <v>-407.39148506336397</v>
      </c>
      <c r="V182" s="2">
        <f>IF(R182="OVER",$J182,$K182)</f>
        <v>-407.39148506336397</v>
      </c>
      <c r="W182" s="2">
        <f>IF(S182="OVER",$J182,$K182)</f>
        <v>407.39148506336397</v>
      </c>
      <c r="X182" s="12" t="s">
        <v>11</v>
      </c>
      <c r="Y182" s="9">
        <f t="shared" si="22"/>
        <v>-3235.8043209582652</v>
      </c>
      <c r="Z182" s="9">
        <f t="shared" si="22"/>
        <v>-6380.993493711454</v>
      </c>
      <c r="AA182" s="9">
        <f t="shared" si="22"/>
        <v>12810.331055077982</v>
      </c>
      <c r="AB182" s="12" t="s">
        <v>11</v>
      </c>
    </row>
    <row r="183" spans="1:28" x14ac:dyDescent="0.3">
      <c r="A183" s="1">
        <v>44677</v>
      </c>
      <c r="B183" s="2">
        <v>71.52</v>
      </c>
      <c r="C183" s="2">
        <v>77.739999999999995</v>
      </c>
      <c r="D183" s="9">
        <f>B183-B182</f>
        <v>-1.4100000000000108</v>
      </c>
      <c r="E183" s="9">
        <f>C183-C182</f>
        <v>-1.4699999999999989</v>
      </c>
      <c r="F183" s="3">
        <f>F$1/B183</f>
        <v>1398.2102908277407</v>
      </c>
      <c r="G183" s="3">
        <f>F$1/C183</f>
        <v>1286.3390789812195</v>
      </c>
      <c r="H183" s="2">
        <f>D183*F182</f>
        <v>-1933.3607568901832</v>
      </c>
      <c r="I183" s="2">
        <f>E183*G182</f>
        <v>-1855.8262845600291</v>
      </c>
      <c r="J183" s="2">
        <f>I183-H183</f>
        <v>77.534472330154131</v>
      </c>
      <c r="K183" s="2">
        <f t="shared" si="19"/>
        <v>-77.534472330154131</v>
      </c>
      <c r="L183" s="14">
        <f>C183/B183</f>
        <v>1.0869686800894856</v>
      </c>
      <c r="M183" s="14">
        <f t="shared" si="20"/>
        <v>1.0853866951922995</v>
      </c>
      <c r="N183" s="14">
        <f t="shared" si="24"/>
        <v>1.0843988292946289</v>
      </c>
      <c r="O183" s="14">
        <f t="shared" si="25"/>
        <v>1.0854198257630028</v>
      </c>
      <c r="P183" s="15" t="s">
        <v>11</v>
      </c>
      <c r="Q183" s="4" t="str">
        <f t="shared" si="23"/>
        <v>OVER</v>
      </c>
      <c r="R183" s="4" t="str">
        <f t="shared" si="23"/>
        <v>OVER</v>
      </c>
      <c r="S183" s="4" t="str">
        <f t="shared" si="21"/>
        <v>OVER</v>
      </c>
      <c r="T183" s="12" t="s">
        <v>11</v>
      </c>
      <c r="U183" s="2">
        <f>IF(Q183="OVER",$J183,$K183)</f>
        <v>77.534472330154131</v>
      </c>
      <c r="V183" s="2">
        <f>IF(R183="OVER",$J183,$K183)</f>
        <v>77.534472330154131</v>
      </c>
      <c r="W183" s="2">
        <f>IF(S183="OVER",$J183,$K183)</f>
        <v>77.534472330154131</v>
      </c>
      <c r="X183" s="12" t="s">
        <v>11</v>
      </c>
      <c r="Y183" s="9">
        <f t="shared" si="22"/>
        <v>-3158.269848628111</v>
      </c>
      <c r="Z183" s="9">
        <f t="shared" si="22"/>
        <v>-6303.4590213812999</v>
      </c>
      <c r="AA183" s="9">
        <f t="shared" si="22"/>
        <v>12887.865527408136</v>
      </c>
      <c r="AB183" s="12" t="s">
        <v>11</v>
      </c>
    </row>
    <row r="184" spans="1:28" x14ac:dyDescent="0.3">
      <c r="A184" s="1">
        <v>44678</v>
      </c>
      <c r="B184" s="2">
        <v>71.260000000000005</v>
      </c>
      <c r="C184" s="2">
        <v>77.430000000000007</v>
      </c>
      <c r="D184" s="9">
        <f>B184-B183</f>
        <v>-0.25999999999999091</v>
      </c>
      <c r="E184" s="9">
        <f>C184-C183</f>
        <v>-0.30999999999998806</v>
      </c>
      <c r="F184" s="3">
        <f>F$1/B184</f>
        <v>1403.3118158854898</v>
      </c>
      <c r="G184" s="3">
        <f>F$1/C184</f>
        <v>1291.4890869172154</v>
      </c>
      <c r="H184" s="2">
        <f>D184*F183</f>
        <v>-363.53467561519983</v>
      </c>
      <c r="I184" s="2">
        <f>E184*G183</f>
        <v>-398.76511448416267</v>
      </c>
      <c r="J184" s="2">
        <f>I184-H184</f>
        <v>-35.230438868962835</v>
      </c>
      <c r="K184" s="2">
        <f t="shared" si="19"/>
        <v>35.230438868962835</v>
      </c>
      <c r="L184" s="14">
        <f>C184/B184</f>
        <v>1.0865843390401346</v>
      </c>
      <c r="M184" s="14">
        <f t="shared" si="20"/>
        <v>1.0855202760765372</v>
      </c>
      <c r="N184" s="14">
        <f t="shared" si="24"/>
        <v>1.0844570122068153</v>
      </c>
      <c r="O184" s="14">
        <f t="shared" si="25"/>
        <v>1.0853311908490229</v>
      </c>
      <c r="P184" s="15" t="s">
        <v>11</v>
      </c>
      <c r="Q184" s="4" t="str">
        <f t="shared" si="23"/>
        <v>OVER</v>
      </c>
      <c r="R184" s="4" t="str">
        <f t="shared" si="23"/>
        <v>OVER</v>
      </c>
      <c r="S184" s="4" t="str">
        <f t="shared" si="21"/>
        <v>OVER</v>
      </c>
      <c r="T184" s="12" t="s">
        <v>11</v>
      </c>
      <c r="U184" s="2">
        <f>IF(Q184="OVER",$J184,$K184)</f>
        <v>-35.230438868962835</v>
      </c>
      <c r="V184" s="2">
        <f>IF(R184="OVER",$J184,$K184)</f>
        <v>-35.230438868962835</v>
      </c>
      <c r="W184" s="2">
        <f>IF(S184="OVER",$J184,$K184)</f>
        <v>-35.230438868962835</v>
      </c>
      <c r="X184" s="12" t="s">
        <v>11</v>
      </c>
      <c r="Y184" s="9">
        <f t="shared" si="22"/>
        <v>-3193.5002874970737</v>
      </c>
      <c r="Z184" s="9">
        <f t="shared" si="22"/>
        <v>-6338.6894602502625</v>
      </c>
      <c r="AA184" s="9">
        <f t="shared" si="22"/>
        <v>12852.635088539173</v>
      </c>
      <c r="AB184" s="12" t="s">
        <v>11</v>
      </c>
    </row>
    <row r="185" spans="1:28" x14ac:dyDescent="0.3">
      <c r="A185" s="1">
        <v>44679</v>
      </c>
      <c r="B185" s="2">
        <v>72.09</v>
      </c>
      <c r="C185" s="2">
        <v>78.08</v>
      </c>
      <c r="D185" s="9">
        <f>B185-B184</f>
        <v>0.82999999999999829</v>
      </c>
      <c r="E185" s="9">
        <f>C185-C184</f>
        <v>0.64999999999999147</v>
      </c>
      <c r="F185" s="3">
        <f>F$1/B185</f>
        <v>1387.1549452073796</v>
      </c>
      <c r="G185" s="3">
        <f>F$1/C185</f>
        <v>1280.7377049180327</v>
      </c>
      <c r="H185" s="2">
        <f>D185*F184</f>
        <v>1164.7488071849541</v>
      </c>
      <c r="I185" s="2">
        <f>E185*G184</f>
        <v>839.46790649617901</v>
      </c>
      <c r="J185" s="2">
        <f>I185-H185</f>
        <v>-325.28090068877509</v>
      </c>
      <c r="K185" s="2">
        <f t="shared" si="19"/>
        <v>325.28090068877509</v>
      </c>
      <c r="L185" s="14">
        <f>C185/B185</f>
        <v>1.0830905812179219</v>
      </c>
      <c r="M185" s="14">
        <f t="shared" si="20"/>
        <v>1.0851806855496808</v>
      </c>
      <c r="N185" s="14">
        <f t="shared" si="24"/>
        <v>1.0844668977199481</v>
      </c>
      <c r="O185" s="14">
        <f t="shared" si="25"/>
        <v>1.0851413413865929</v>
      </c>
      <c r="P185" s="15" t="s">
        <v>11</v>
      </c>
      <c r="Q185" s="4" t="str">
        <f t="shared" si="23"/>
        <v>OVER</v>
      </c>
      <c r="R185" s="4" t="str">
        <f t="shared" si="23"/>
        <v>OVER</v>
      </c>
      <c r="S185" s="4" t="str">
        <f t="shared" si="21"/>
        <v>UNDER</v>
      </c>
      <c r="T185" s="12" t="s">
        <v>11</v>
      </c>
      <c r="U185" s="2">
        <f>IF(Q185="OVER",$J185,$K185)</f>
        <v>-325.28090068877509</v>
      </c>
      <c r="V185" s="2">
        <f>IF(R185="OVER",$J185,$K185)</f>
        <v>-325.28090068877509</v>
      </c>
      <c r="W185" s="2">
        <f>IF(S185="OVER",$J185,$K185)</f>
        <v>325.28090068877509</v>
      </c>
      <c r="X185" s="12" t="s">
        <v>11</v>
      </c>
      <c r="Y185" s="9">
        <f t="shared" si="22"/>
        <v>-3518.7811881858488</v>
      </c>
      <c r="Z185" s="9">
        <f t="shared" si="22"/>
        <v>-6663.9703609390381</v>
      </c>
      <c r="AA185" s="9">
        <f t="shared" si="22"/>
        <v>13177.915989227948</v>
      </c>
      <c r="AB185" s="12" t="s">
        <v>11</v>
      </c>
    </row>
    <row r="186" spans="1:28" x14ac:dyDescent="0.3">
      <c r="A186" s="1">
        <v>44680</v>
      </c>
      <c r="B186" s="2">
        <v>70.930000000000007</v>
      </c>
      <c r="C186" s="2">
        <v>77.08</v>
      </c>
      <c r="D186" s="9">
        <f>B186-B185</f>
        <v>-1.1599999999999966</v>
      </c>
      <c r="E186" s="9">
        <f>C186-C185</f>
        <v>-1</v>
      </c>
      <c r="F186" s="3">
        <f>F$1/B186</f>
        <v>1409.8406880022555</v>
      </c>
      <c r="G186" s="3">
        <f>F$1/C186</f>
        <v>1297.3533990659055</v>
      </c>
      <c r="H186" s="2">
        <f>D186*F185</f>
        <v>-1609.0997364405555</v>
      </c>
      <c r="I186" s="2">
        <f>E186*G185</f>
        <v>-1280.7377049180327</v>
      </c>
      <c r="J186" s="2">
        <f>I186-H186</f>
        <v>328.36203152252278</v>
      </c>
      <c r="K186" s="2">
        <f t="shared" si="19"/>
        <v>-328.36203152252278</v>
      </c>
      <c r="L186" s="14">
        <f>C186/B186</f>
        <v>1.0867052023121386</v>
      </c>
      <c r="M186" s="14">
        <f t="shared" si="20"/>
        <v>1.0852380670947632</v>
      </c>
      <c r="N186" s="14">
        <f t="shared" si="24"/>
        <v>1.084663106503521</v>
      </c>
      <c r="O186" s="14">
        <f t="shared" si="25"/>
        <v>1.0850288545237448</v>
      </c>
      <c r="P186" s="15" t="s">
        <v>11</v>
      </c>
      <c r="Q186" s="4" t="str">
        <f t="shared" si="23"/>
        <v>UNDER</v>
      </c>
      <c r="R186" s="4" t="str">
        <f t="shared" si="23"/>
        <v>UNDER</v>
      </c>
      <c r="S186" s="4" t="str">
        <f t="shared" si="21"/>
        <v>OVER</v>
      </c>
      <c r="T186" s="12" t="s">
        <v>11</v>
      </c>
      <c r="U186" s="2">
        <f>IF(Q186="OVER",$J186,$K186)</f>
        <v>-328.36203152252278</v>
      </c>
      <c r="V186" s="2">
        <f>IF(R186="OVER",$J186,$K186)</f>
        <v>-328.36203152252278</v>
      </c>
      <c r="W186" s="2">
        <f>IF(S186="OVER",$J186,$K186)</f>
        <v>328.36203152252278</v>
      </c>
      <c r="X186" s="12" t="s">
        <v>11</v>
      </c>
      <c r="Y186" s="9">
        <f t="shared" si="22"/>
        <v>-3847.1432197083714</v>
      </c>
      <c r="Z186" s="9">
        <f t="shared" si="22"/>
        <v>-6992.3323924615606</v>
      </c>
      <c r="AA186" s="9">
        <f t="shared" si="22"/>
        <v>13506.278020750471</v>
      </c>
      <c r="AB186" s="12" t="s">
        <v>11</v>
      </c>
    </row>
    <row r="187" spans="1:28" x14ac:dyDescent="0.3">
      <c r="A187" s="1">
        <v>44683</v>
      </c>
      <c r="B187" s="2">
        <v>70.930000000000007</v>
      </c>
      <c r="C187" s="2">
        <v>77.37</v>
      </c>
      <c r="D187" s="9">
        <f>B187-B186</f>
        <v>0</v>
      </c>
      <c r="E187" s="9">
        <f>C187-C186</f>
        <v>0.29000000000000625</v>
      </c>
      <c r="F187" s="3">
        <f>F$1/B187</f>
        <v>1409.8406880022555</v>
      </c>
      <c r="G187" s="3">
        <f>F$1/C187</f>
        <v>1292.4906294429366</v>
      </c>
      <c r="H187" s="2">
        <f>D187*F186</f>
        <v>0</v>
      </c>
      <c r="I187" s="2">
        <f>E187*G186</f>
        <v>376.2324857291207</v>
      </c>
      <c r="J187" s="2">
        <f>I187-H187</f>
        <v>376.2324857291207</v>
      </c>
      <c r="K187" s="2">
        <f t="shared" si="19"/>
        <v>-376.2324857291207</v>
      </c>
      <c r="L187" s="14">
        <f>C187/B187</f>
        <v>1.0907937403073453</v>
      </c>
      <c r="M187" s="14">
        <f t="shared" si="20"/>
        <v>1.0857311097091542</v>
      </c>
      <c r="N187" s="14">
        <f t="shared" si="24"/>
        <v>1.0849810892971843</v>
      </c>
      <c r="O187" s="14">
        <f t="shared" si="25"/>
        <v>1.0850126883258175</v>
      </c>
      <c r="P187" s="15" t="s">
        <v>11</v>
      </c>
      <c r="Q187" s="4" t="str">
        <f t="shared" si="23"/>
        <v>OVER</v>
      </c>
      <c r="R187" s="4" t="str">
        <f t="shared" si="23"/>
        <v>OVER</v>
      </c>
      <c r="S187" s="4" t="str">
        <f t="shared" si="21"/>
        <v>OVER</v>
      </c>
      <c r="T187" s="12" t="s">
        <v>11</v>
      </c>
      <c r="U187" s="2">
        <f>IF(Q187="OVER",$J187,$K187)</f>
        <v>376.2324857291207</v>
      </c>
      <c r="V187" s="2">
        <f>IF(R187="OVER",$J187,$K187)</f>
        <v>376.2324857291207</v>
      </c>
      <c r="W187" s="2">
        <f>IF(S187="OVER",$J187,$K187)</f>
        <v>376.2324857291207</v>
      </c>
      <c r="X187" s="12" t="s">
        <v>11</v>
      </c>
      <c r="Y187" s="9">
        <f t="shared" si="22"/>
        <v>-3470.9107339792508</v>
      </c>
      <c r="Z187" s="9">
        <f t="shared" si="22"/>
        <v>-6616.0999067324401</v>
      </c>
      <c r="AA187" s="9">
        <f t="shared" si="22"/>
        <v>13882.510506479592</v>
      </c>
      <c r="AB187" s="12" t="s">
        <v>11</v>
      </c>
    </row>
    <row r="188" spans="1:28" x14ac:dyDescent="0.3">
      <c r="A188" s="1">
        <v>44684</v>
      </c>
      <c r="B188" s="2">
        <v>71.14</v>
      </c>
      <c r="C188" s="2">
        <v>77.31</v>
      </c>
      <c r="D188" s="9">
        <f>B188-B187</f>
        <v>0.20999999999999375</v>
      </c>
      <c r="E188" s="9">
        <f>C188-C187</f>
        <v>-6.0000000000002274E-2</v>
      </c>
      <c r="F188" s="3">
        <f>F$1/B188</f>
        <v>1405.6789429294349</v>
      </c>
      <c r="G188" s="3">
        <f>F$1/C188</f>
        <v>1293.4937265554261</v>
      </c>
      <c r="H188" s="2">
        <f>D188*F187</f>
        <v>296.06654448046487</v>
      </c>
      <c r="I188" s="2">
        <f>E188*G187</f>
        <v>-77.549437766579132</v>
      </c>
      <c r="J188" s="2">
        <f>I188-H188</f>
        <v>-373.61598224704403</v>
      </c>
      <c r="K188" s="2">
        <f t="shared" si="19"/>
        <v>373.61598224704403</v>
      </c>
      <c r="L188" s="14">
        <f>C188/B188</f>
        <v>1.0867303907787462</v>
      </c>
      <c r="M188" s="14">
        <f t="shared" si="20"/>
        <v>1.0858198314193761</v>
      </c>
      <c r="N188" s="14">
        <f t="shared" si="24"/>
        <v>1.0850804293489422</v>
      </c>
      <c r="O188" s="14">
        <f t="shared" si="25"/>
        <v>1.0849860229318435</v>
      </c>
      <c r="P188" s="15" t="s">
        <v>11</v>
      </c>
      <c r="Q188" s="4" t="str">
        <f t="shared" si="23"/>
        <v>OVER</v>
      </c>
      <c r="R188" s="4" t="str">
        <f t="shared" si="23"/>
        <v>OVER</v>
      </c>
      <c r="S188" s="4" t="str">
        <f t="shared" si="21"/>
        <v>OVER</v>
      </c>
      <c r="T188" s="12" t="s">
        <v>11</v>
      </c>
      <c r="U188" s="2">
        <f>IF(Q188="OVER",$J188,$K188)</f>
        <v>-373.61598224704403</v>
      </c>
      <c r="V188" s="2">
        <f>IF(R188="OVER",$J188,$K188)</f>
        <v>-373.61598224704403</v>
      </c>
      <c r="W188" s="2">
        <f>IF(S188="OVER",$J188,$K188)</f>
        <v>-373.61598224704403</v>
      </c>
      <c r="X188" s="12" t="s">
        <v>11</v>
      </c>
      <c r="Y188" s="9">
        <f t="shared" si="22"/>
        <v>-3844.5267162262949</v>
      </c>
      <c r="Z188" s="9">
        <f t="shared" si="22"/>
        <v>-6989.7158889794846</v>
      </c>
      <c r="AA188" s="9">
        <f t="shared" si="22"/>
        <v>13508.894524232548</v>
      </c>
      <c r="AB188" s="12" t="s">
        <v>11</v>
      </c>
    </row>
    <row r="189" spans="1:28" x14ac:dyDescent="0.3">
      <c r="A189" s="1">
        <v>44685</v>
      </c>
      <c r="B189" s="2">
        <v>72.150000000000006</v>
      </c>
      <c r="C189" s="2">
        <v>78.11</v>
      </c>
      <c r="D189" s="9">
        <f>B189-B188</f>
        <v>1.0100000000000051</v>
      </c>
      <c r="E189" s="9">
        <f>C189-C188</f>
        <v>0.79999999999999716</v>
      </c>
      <c r="F189" s="3">
        <f>F$1/B189</f>
        <v>1386.001386001386</v>
      </c>
      <c r="G189" s="3">
        <f>F$1/C189</f>
        <v>1280.2458071949814</v>
      </c>
      <c r="H189" s="2">
        <f>D189*F188</f>
        <v>1419.7357323587364</v>
      </c>
      <c r="I189" s="2">
        <f>E189*G188</f>
        <v>1034.7949812443371</v>
      </c>
      <c r="J189" s="2">
        <f>I189-H189</f>
        <v>-384.94075111439929</v>
      </c>
      <c r="K189" s="2">
        <f t="shared" si="19"/>
        <v>384.94075111439929</v>
      </c>
      <c r="L189" s="14">
        <f>C189/B189</f>
        <v>1.0826056826056825</v>
      </c>
      <c r="M189" s="14">
        <f t="shared" si="20"/>
        <v>1.0854138221755976</v>
      </c>
      <c r="N189" s="14">
        <f t="shared" si="24"/>
        <v>1.0849348693911023</v>
      </c>
      <c r="O189" s="14">
        <f t="shared" si="25"/>
        <v>1.0849526830144456</v>
      </c>
      <c r="P189" s="15" t="s">
        <v>11</v>
      </c>
      <c r="Q189" s="4" t="str">
        <f t="shared" si="23"/>
        <v>OVER</v>
      </c>
      <c r="R189" s="4" t="str">
        <f t="shared" si="23"/>
        <v>OVER</v>
      </c>
      <c r="S189" s="4" t="str">
        <f t="shared" si="21"/>
        <v>UNDER</v>
      </c>
      <c r="T189" s="12" t="s">
        <v>11</v>
      </c>
      <c r="U189" s="2">
        <f>IF(Q189="OVER",$J189,$K189)</f>
        <v>-384.94075111439929</v>
      </c>
      <c r="V189" s="2">
        <f>IF(R189="OVER",$J189,$K189)</f>
        <v>-384.94075111439929</v>
      </c>
      <c r="W189" s="2">
        <f>IF(S189="OVER",$J189,$K189)</f>
        <v>384.94075111439929</v>
      </c>
      <c r="X189" s="12" t="s">
        <v>11</v>
      </c>
      <c r="Y189" s="9">
        <f t="shared" si="22"/>
        <v>-4229.4674673406944</v>
      </c>
      <c r="Z189" s="9">
        <f t="shared" si="22"/>
        <v>-7374.6566400938837</v>
      </c>
      <c r="AA189" s="9">
        <f t="shared" si="22"/>
        <v>13893.835275346948</v>
      </c>
      <c r="AB189" s="12" t="s">
        <v>11</v>
      </c>
    </row>
    <row r="190" spans="1:28" x14ac:dyDescent="0.3">
      <c r="A190" s="1">
        <v>44686</v>
      </c>
      <c r="B190" s="2">
        <v>70.09</v>
      </c>
      <c r="C190" s="2">
        <v>75.97</v>
      </c>
      <c r="D190" s="9">
        <f>B190-B189</f>
        <v>-2.0600000000000023</v>
      </c>
      <c r="E190" s="9">
        <f>C190-C189</f>
        <v>-2.1400000000000006</v>
      </c>
      <c r="F190" s="3">
        <f>F$1/B190</f>
        <v>1426.7370523612497</v>
      </c>
      <c r="G190" s="3">
        <f>F$1/C190</f>
        <v>1316.309069369488</v>
      </c>
      <c r="H190" s="2">
        <f>D190*F189</f>
        <v>-2855.1628551628582</v>
      </c>
      <c r="I190" s="2">
        <f>E190*G189</f>
        <v>-2739.7260273972606</v>
      </c>
      <c r="J190" s="2">
        <f>I190-H190</f>
        <v>115.43682776559763</v>
      </c>
      <c r="K190" s="2">
        <f t="shared" si="19"/>
        <v>-115.43682776559763</v>
      </c>
      <c r="L190" s="14">
        <f>C190/B190</f>
        <v>1.0838921386788414</v>
      </c>
      <c r="M190" s="14">
        <f t="shared" si="20"/>
        <v>1.0855206192070934</v>
      </c>
      <c r="N190" s="14">
        <f t="shared" si="24"/>
        <v>1.0850588663922291</v>
      </c>
      <c r="O190" s="14">
        <f t="shared" si="25"/>
        <v>1.0849577491417224</v>
      </c>
      <c r="P190" s="15" t="s">
        <v>11</v>
      </c>
      <c r="Q190" s="4" t="str">
        <f t="shared" si="23"/>
        <v>UNDER</v>
      </c>
      <c r="R190" s="4" t="str">
        <f t="shared" si="23"/>
        <v>UNDER</v>
      </c>
      <c r="S190" s="4" t="str">
        <f t="shared" si="21"/>
        <v>UNDER</v>
      </c>
      <c r="T190" s="12" t="s">
        <v>11</v>
      </c>
      <c r="U190" s="2">
        <f>IF(Q190="OVER",$J190,$K190)</f>
        <v>-115.43682776559763</v>
      </c>
      <c r="V190" s="2">
        <f>IF(R190="OVER",$J190,$K190)</f>
        <v>-115.43682776559763</v>
      </c>
      <c r="W190" s="2">
        <f>IF(S190="OVER",$J190,$K190)</f>
        <v>-115.43682776559763</v>
      </c>
      <c r="X190" s="12" t="s">
        <v>11</v>
      </c>
      <c r="Y190" s="9">
        <f t="shared" si="22"/>
        <v>-4344.904295106292</v>
      </c>
      <c r="Z190" s="9">
        <f t="shared" si="22"/>
        <v>-7490.0934678594813</v>
      </c>
      <c r="AA190" s="9">
        <f t="shared" si="22"/>
        <v>13778.39844758135</v>
      </c>
      <c r="AB190" s="12" t="s">
        <v>11</v>
      </c>
    </row>
    <row r="191" spans="1:28" x14ac:dyDescent="0.3">
      <c r="A191" s="1">
        <v>44687</v>
      </c>
      <c r="B191" s="2">
        <v>68.84</v>
      </c>
      <c r="C191" s="2">
        <v>74.180000000000007</v>
      </c>
      <c r="D191" s="9">
        <f>B191-B190</f>
        <v>-1.25</v>
      </c>
      <c r="E191" s="9">
        <f>C191-C190</f>
        <v>-1.789999999999992</v>
      </c>
      <c r="F191" s="3">
        <f>F$1/B191</f>
        <v>1452.6438117373618</v>
      </c>
      <c r="G191" s="3">
        <f>F$1/C191</f>
        <v>1348.0722566729576</v>
      </c>
      <c r="H191" s="2">
        <f>D191*F190</f>
        <v>-1783.4213154515621</v>
      </c>
      <c r="I191" s="2">
        <f>E191*G190</f>
        <v>-2356.1932341713732</v>
      </c>
      <c r="J191" s="2">
        <f>I191-H191</f>
        <v>-572.77191871981108</v>
      </c>
      <c r="K191" s="2">
        <f t="shared" si="19"/>
        <v>572.77191871981108</v>
      </c>
      <c r="L191" s="14">
        <f>C191/B191</f>
        <v>1.0775711795467753</v>
      </c>
      <c r="M191" s="14">
        <f t="shared" si="20"/>
        <v>1.0851051903039981</v>
      </c>
      <c r="N191" s="14">
        <f t="shared" si="24"/>
        <v>1.0849598528102011</v>
      </c>
      <c r="O191" s="14">
        <f t="shared" si="25"/>
        <v>1.0847692288598796</v>
      </c>
      <c r="P191" s="15" t="s">
        <v>11</v>
      </c>
      <c r="Q191" s="4" t="str">
        <f t="shared" si="23"/>
        <v>UNDER</v>
      </c>
      <c r="R191" s="4" t="str">
        <f t="shared" si="23"/>
        <v>UNDER</v>
      </c>
      <c r="S191" s="4" t="str">
        <f t="shared" si="21"/>
        <v>UNDER</v>
      </c>
      <c r="T191" s="12" t="s">
        <v>11</v>
      </c>
      <c r="U191" s="2">
        <f>IF(Q191="OVER",$J191,$K191)</f>
        <v>572.77191871981108</v>
      </c>
      <c r="V191" s="2">
        <f>IF(R191="OVER",$J191,$K191)</f>
        <v>572.77191871981108</v>
      </c>
      <c r="W191" s="2">
        <f>IF(S191="OVER",$J191,$K191)</f>
        <v>572.77191871981108</v>
      </c>
      <c r="X191" s="12" t="s">
        <v>11</v>
      </c>
      <c r="Y191" s="9">
        <f t="shared" si="22"/>
        <v>-3772.1323763864812</v>
      </c>
      <c r="Z191" s="9">
        <f t="shared" si="22"/>
        <v>-6917.3215491396704</v>
      </c>
      <c r="AA191" s="9">
        <f t="shared" si="22"/>
        <v>14351.170366301161</v>
      </c>
      <c r="AB191" s="12" t="s">
        <v>11</v>
      </c>
    </row>
    <row r="192" spans="1:28" x14ac:dyDescent="0.3">
      <c r="A192" s="1">
        <v>44690</v>
      </c>
      <c r="B192" s="2">
        <v>66.33</v>
      </c>
      <c r="C192" s="2">
        <v>70.930000000000007</v>
      </c>
      <c r="D192" s="9">
        <f>B192-B191</f>
        <v>-2.5100000000000051</v>
      </c>
      <c r="E192" s="9">
        <f>C192-C191</f>
        <v>-3.25</v>
      </c>
      <c r="F192" s="3">
        <f>F$1/B192</f>
        <v>1507.6134479119555</v>
      </c>
      <c r="G192" s="3">
        <f>F$1/C192</f>
        <v>1409.8406880022555</v>
      </c>
      <c r="H192" s="2">
        <f>D192*F191</f>
        <v>-3646.1359674607857</v>
      </c>
      <c r="I192" s="2">
        <f>E192*G191</f>
        <v>-4381.234834187112</v>
      </c>
      <c r="J192" s="2">
        <f>I192-H192</f>
        <v>-735.09886672632638</v>
      </c>
      <c r="K192" s="2">
        <f t="shared" si="19"/>
        <v>735.09886672632638</v>
      </c>
      <c r="L192" s="14">
        <f>C192/B192</f>
        <v>1.0693502186039501</v>
      </c>
      <c r="M192" s="14">
        <f t="shared" si="20"/>
        <v>1.0834292153181022</v>
      </c>
      <c r="N192" s="14">
        <f t="shared" si="24"/>
        <v>1.0844209960035986</v>
      </c>
      <c r="O192" s="14">
        <f t="shared" si="25"/>
        <v>1.0845096996185131</v>
      </c>
      <c r="P192" s="15" t="s">
        <v>11</v>
      </c>
      <c r="Q192" s="4" t="str">
        <f t="shared" si="23"/>
        <v>UNDER</v>
      </c>
      <c r="R192" s="4" t="str">
        <f t="shared" si="23"/>
        <v>UNDER</v>
      </c>
      <c r="S192" s="4" t="str">
        <f t="shared" si="21"/>
        <v>UNDER</v>
      </c>
      <c r="T192" s="12" t="s">
        <v>11</v>
      </c>
      <c r="U192" s="2">
        <f>IF(Q192="OVER",$J192,$K192)</f>
        <v>735.09886672632638</v>
      </c>
      <c r="V192" s="2">
        <f>IF(R192="OVER",$J192,$K192)</f>
        <v>735.09886672632638</v>
      </c>
      <c r="W192" s="2">
        <f>IF(S192="OVER",$J192,$K192)</f>
        <v>735.09886672632638</v>
      </c>
      <c r="X192" s="12" t="s">
        <v>11</v>
      </c>
      <c r="Y192" s="9">
        <f t="shared" si="22"/>
        <v>-3037.0335096601548</v>
      </c>
      <c r="Z192" s="9">
        <f t="shared" si="22"/>
        <v>-6182.222682413344</v>
      </c>
      <c r="AA192" s="9">
        <f t="shared" si="22"/>
        <v>15086.269233027488</v>
      </c>
      <c r="AB192" s="12" t="s">
        <v>11</v>
      </c>
    </row>
    <row r="193" spans="1:28" x14ac:dyDescent="0.3">
      <c r="A193" s="1">
        <v>44691</v>
      </c>
      <c r="B193" s="2">
        <v>66.09</v>
      </c>
      <c r="C193" s="2">
        <v>70.67</v>
      </c>
      <c r="D193" s="9">
        <f>B193-B192</f>
        <v>-0.23999999999999488</v>
      </c>
      <c r="E193" s="9">
        <f>C193-C192</f>
        <v>-0.26000000000000512</v>
      </c>
      <c r="F193" s="3">
        <f>F$1/B193</f>
        <v>1513.0882130428204</v>
      </c>
      <c r="G193" s="3">
        <f>F$1/C193</f>
        <v>1415.0275930380642</v>
      </c>
      <c r="H193" s="2">
        <f>D193*F192</f>
        <v>-361.82722749886159</v>
      </c>
      <c r="I193" s="2">
        <f>E193*G192</f>
        <v>-366.55857888059364</v>
      </c>
      <c r="J193" s="2">
        <f>I193-H193</f>
        <v>-4.7313513817320541</v>
      </c>
      <c r="K193" s="2">
        <f t="shared" si="19"/>
        <v>4.7313513817320541</v>
      </c>
      <c r="L193" s="14">
        <f>C193/B193</f>
        <v>1.0692994401573612</v>
      </c>
      <c r="M193" s="14">
        <f t="shared" si="20"/>
        <v>1.0816622913248897</v>
      </c>
      <c r="N193" s="14">
        <f t="shared" si="24"/>
        <v>1.0835244932585948</v>
      </c>
      <c r="O193" s="14">
        <f t="shared" si="25"/>
        <v>1.0840089954045324</v>
      </c>
      <c r="P193" s="15" t="s">
        <v>11</v>
      </c>
      <c r="Q193" s="4" t="str">
        <f t="shared" si="23"/>
        <v>UNDER</v>
      </c>
      <c r="R193" s="4" t="str">
        <f t="shared" si="23"/>
        <v>UNDER</v>
      </c>
      <c r="S193" s="4" t="str">
        <f t="shared" si="21"/>
        <v>UNDER</v>
      </c>
      <c r="T193" s="12" t="s">
        <v>11</v>
      </c>
      <c r="U193" s="2">
        <f>IF(Q193="OVER",$J193,$K193)</f>
        <v>4.7313513817320541</v>
      </c>
      <c r="V193" s="2">
        <f>IF(R193="OVER",$J193,$K193)</f>
        <v>4.7313513817320541</v>
      </c>
      <c r="W193" s="2">
        <f>IF(S193="OVER",$J193,$K193)</f>
        <v>4.7313513817320541</v>
      </c>
      <c r="X193" s="12" t="s">
        <v>11</v>
      </c>
      <c r="Y193" s="9">
        <f t="shared" si="22"/>
        <v>-3032.3021582784227</v>
      </c>
      <c r="Z193" s="9">
        <f t="shared" si="22"/>
        <v>-6177.4913310316124</v>
      </c>
      <c r="AA193" s="9">
        <f t="shared" si="22"/>
        <v>15091.000584409219</v>
      </c>
      <c r="AB193" s="12" t="s">
        <v>11</v>
      </c>
    </row>
    <row r="194" spans="1:28" x14ac:dyDescent="0.3">
      <c r="A194" s="1">
        <v>44692</v>
      </c>
      <c r="B194" s="2">
        <v>64.959999999999994</v>
      </c>
      <c r="C194" s="2">
        <v>69.650000000000006</v>
      </c>
      <c r="D194" s="9">
        <f>B194-B193</f>
        <v>-1.1300000000000097</v>
      </c>
      <c r="E194" s="9">
        <f>C194-C193</f>
        <v>-1.019999999999996</v>
      </c>
      <c r="F194" s="3">
        <f>F$1/B194</f>
        <v>1539.408866995074</v>
      </c>
      <c r="G194" s="3">
        <f>F$1/C194</f>
        <v>1435.7501794687723</v>
      </c>
      <c r="H194" s="2">
        <f>D194*F193</f>
        <v>-1709.7896807384016</v>
      </c>
      <c r="I194" s="2">
        <f>E194*G193</f>
        <v>-1443.3281448988198</v>
      </c>
      <c r="J194" s="2">
        <f>I194-H194</f>
        <v>266.46153583958176</v>
      </c>
      <c r="K194" s="2">
        <f t="shared" si="19"/>
        <v>-266.46153583958176</v>
      </c>
      <c r="L194" s="14">
        <f>C194/B194</f>
        <v>1.0721982758620692</v>
      </c>
      <c r="M194" s="14">
        <f t="shared" si="20"/>
        <v>1.0802236850070832</v>
      </c>
      <c r="N194" s="14">
        <f t="shared" si="24"/>
        <v>1.0828719805418103</v>
      </c>
      <c r="O194" s="14">
        <f t="shared" si="25"/>
        <v>1.0836434371122501</v>
      </c>
      <c r="P194" s="15" t="s">
        <v>11</v>
      </c>
      <c r="Q194" s="4" t="str">
        <f t="shared" si="23"/>
        <v>UNDER</v>
      </c>
      <c r="R194" s="4" t="str">
        <f t="shared" si="23"/>
        <v>UNDER</v>
      </c>
      <c r="S194" s="4" t="str">
        <f t="shared" si="21"/>
        <v>UNDER</v>
      </c>
      <c r="T194" s="12" t="s">
        <v>11</v>
      </c>
      <c r="U194" s="2">
        <f>IF(Q194="OVER",$J194,$K194)</f>
        <v>-266.46153583958176</v>
      </c>
      <c r="V194" s="2">
        <f>IF(R194="OVER",$J194,$K194)</f>
        <v>-266.46153583958176</v>
      </c>
      <c r="W194" s="2">
        <f>IF(S194="OVER",$J194,$K194)</f>
        <v>-266.46153583958176</v>
      </c>
      <c r="X194" s="12" t="s">
        <v>11</v>
      </c>
      <c r="Y194" s="9">
        <f t="shared" si="22"/>
        <v>-3298.7636941180044</v>
      </c>
      <c r="Z194" s="9">
        <f t="shared" si="22"/>
        <v>-6443.9528668711937</v>
      </c>
      <c r="AA194" s="9">
        <f t="shared" si="22"/>
        <v>14824.539048569637</v>
      </c>
      <c r="AB194" s="12" t="s">
        <v>11</v>
      </c>
    </row>
    <row r="195" spans="1:28" x14ac:dyDescent="0.3">
      <c r="A195" s="1">
        <v>44693</v>
      </c>
      <c r="B195" s="2">
        <v>64.989999999999995</v>
      </c>
      <c r="C195" s="2">
        <v>69.31</v>
      </c>
      <c r="D195" s="9">
        <f>B195-B194</f>
        <v>3.0000000000001137E-2</v>
      </c>
      <c r="E195" s="9">
        <f>C195-C194</f>
        <v>-0.34000000000000341</v>
      </c>
      <c r="F195" s="3">
        <f>F$1/B195</f>
        <v>1538.6982612709648</v>
      </c>
      <c r="G195" s="3">
        <f>F$1/C195</f>
        <v>1442.7932477276006</v>
      </c>
      <c r="H195" s="2">
        <f>D195*F194</f>
        <v>46.182266009853969</v>
      </c>
      <c r="I195" s="2">
        <f>E195*G194</f>
        <v>-488.15506101938752</v>
      </c>
      <c r="J195" s="2">
        <f>I195-H195</f>
        <v>-534.33732702924146</v>
      </c>
      <c r="K195" s="2">
        <f t="shared" si="19"/>
        <v>534.33732702924146</v>
      </c>
      <c r="L195" s="14">
        <f>C195/B195</f>
        <v>1.0664717648869058</v>
      </c>
      <c r="M195" s="14">
        <f t="shared" si="20"/>
        <v>1.0785618033739817</v>
      </c>
      <c r="N195" s="14">
        <f t="shared" si="24"/>
        <v>1.0818712444618312</v>
      </c>
      <c r="O195" s="14">
        <f t="shared" si="25"/>
        <v>1.083152541440721</v>
      </c>
      <c r="P195" s="15" t="s">
        <v>11</v>
      </c>
      <c r="Q195" s="4" t="str">
        <f t="shared" si="23"/>
        <v>UNDER</v>
      </c>
      <c r="R195" s="4" t="str">
        <f t="shared" si="23"/>
        <v>UNDER</v>
      </c>
      <c r="S195" s="4" t="str">
        <f t="shared" si="21"/>
        <v>UNDER</v>
      </c>
      <c r="T195" s="12" t="s">
        <v>11</v>
      </c>
      <c r="U195" s="2">
        <f>IF(Q195="OVER",$J195,$K195)</f>
        <v>534.33732702924146</v>
      </c>
      <c r="V195" s="2">
        <f>IF(R195="OVER",$J195,$K195)</f>
        <v>534.33732702924146</v>
      </c>
      <c r="W195" s="2">
        <f>IF(S195="OVER",$J195,$K195)</f>
        <v>534.33732702924146</v>
      </c>
      <c r="X195" s="12" t="s">
        <v>11</v>
      </c>
      <c r="Y195" s="9">
        <f t="shared" si="22"/>
        <v>-2764.4263670887631</v>
      </c>
      <c r="Z195" s="9">
        <f t="shared" si="22"/>
        <v>-5909.6155398419523</v>
      </c>
      <c r="AA195" s="9">
        <f t="shared" si="22"/>
        <v>15358.876375598878</v>
      </c>
      <c r="AB195" s="12" t="s">
        <v>11</v>
      </c>
    </row>
    <row r="196" spans="1:28" x14ac:dyDescent="0.3">
      <c r="A196" s="1">
        <v>44694</v>
      </c>
      <c r="B196" s="2">
        <v>66.67</v>
      </c>
      <c r="C196" s="2">
        <v>71.400000000000006</v>
      </c>
      <c r="D196" s="9">
        <f>B196-B195</f>
        <v>1.6800000000000068</v>
      </c>
      <c r="E196" s="9">
        <f>C196-C195</f>
        <v>2.0900000000000034</v>
      </c>
      <c r="F196" s="3">
        <f>F$1/B196</f>
        <v>1499.9250037498125</v>
      </c>
      <c r="G196" s="3">
        <f>F$1/C196</f>
        <v>1400.5602240896358</v>
      </c>
      <c r="H196" s="2">
        <f>D196*F195</f>
        <v>2585.0130789352315</v>
      </c>
      <c r="I196" s="2">
        <f>E196*G195</f>
        <v>3015.4378877506902</v>
      </c>
      <c r="J196" s="2">
        <f>I196-H196</f>
        <v>430.42480881545862</v>
      </c>
      <c r="K196" s="2">
        <f t="shared" si="19"/>
        <v>-430.42480881545862</v>
      </c>
      <c r="L196" s="14">
        <f>C196/B196</f>
        <v>1.0709464526773662</v>
      </c>
      <c r="M196" s="14">
        <f t="shared" si="20"/>
        <v>1.0769859284105043</v>
      </c>
      <c r="N196" s="14">
        <f t="shared" si="24"/>
        <v>1.0811119977526338</v>
      </c>
      <c r="O196" s="14">
        <f t="shared" si="25"/>
        <v>1.0827798314763519</v>
      </c>
      <c r="P196" s="15" t="s">
        <v>11</v>
      </c>
      <c r="Q196" s="4" t="str">
        <f t="shared" si="23"/>
        <v>UNDER</v>
      </c>
      <c r="R196" s="4" t="str">
        <f t="shared" si="23"/>
        <v>UNDER</v>
      </c>
      <c r="S196" s="4" t="str">
        <f t="shared" si="21"/>
        <v>UNDER</v>
      </c>
      <c r="T196" s="12" t="s">
        <v>11</v>
      </c>
      <c r="U196" s="2">
        <f>IF(Q196="OVER",$J196,$K196)</f>
        <v>-430.42480881545862</v>
      </c>
      <c r="V196" s="2">
        <f>IF(R196="OVER",$J196,$K196)</f>
        <v>-430.42480881545862</v>
      </c>
      <c r="W196" s="2">
        <f>IF(S196="OVER",$J196,$K196)</f>
        <v>-430.42480881545862</v>
      </c>
      <c r="X196" s="12" t="s">
        <v>11</v>
      </c>
      <c r="Y196" s="9">
        <f t="shared" si="22"/>
        <v>-3194.8511759042217</v>
      </c>
      <c r="Z196" s="9">
        <f t="shared" si="22"/>
        <v>-6340.0403486574105</v>
      </c>
      <c r="AA196" s="9">
        <f t="shared" si="22"/>
        <v>14928.45156678342</v>
      </c>
      <c r="AB196" s="12" t="s">
        <v>11</v>
      </c>
    </row>
    <row r="197" spans="1:28" x14ac:dyDescent="0.3">
      <c r="A197" s="1">
        <v>44697</v>
      </c>
      <c r="B197" s="2">
        <v>66.3</v>
      </c>
      <c r="C197" s="2">
        <v>70.98</v>
      </c>
      <c r="D197" s="9">
        <f>B197-B196</f>
        <v>-0.37000000000000455</v>
      </c>
      <c r="E197" s="9">
        <f>C197-C196</f>
        <v>-0.42000000000000171</v>
      </c>
      <c r="F197" s="3">
        <f>F$1/B197</f>
        <v>1508.2956259426849</v>
      </c>
      <c r="G197" s="3">
        <f>F$1/C197</f>
        <v>1408.8475626937166</v>
      </c>
      <c r="H197" s="2">
        <f>D197*F196</f>
        <v>-554.9722513874375</v>
      </c>
      <c r="I197" s="2">
        <f>E197*G196</f>
        <v>-588.23529411764946</v>
      </c>
      <c r="J197" s="2">
        <f>I197-H197</f>
        <v>-33.263042730211964</v>
      </c>
      <c r="K197" s="2">
        <f t="shared" ref="K197:K260" si="26">H197-I197</f>
        <v>33.263042730211964</v>
      </c>
      <c r="L197" s="14">
        <f>C197/B197</f>
        <v>1.0705882352941178</v>
      </c>
      <c r="M197" s="14">
        <f t="shared" si="20"/>
        <v>1.0749653779091817</v>
      </c>
      <c r="N197" s="14">
        <f t="shared" si="24"/>
        <v>1.0803482438091678</v>
      </c>
      <c r="O197" s="14">
        <f t="shared" si="25"/>
        <v>1.0824715423464335</v>
      </c>
      <c r="P197" s="15" t="s">
        <v>11</v>
      </c>
      <c r="Q197" s="4" t="str">
        <f t="shared" si="23"/>
        <v>UNDER</v>
      </c>
      <c r="R197" s="4" t="str">
        <f t="shared" si="23"/>
        <v>UNDER</v>
      </c>
      <c r="S197" s="4" t="str">
        <f t="shared" si="21"/>
        <v>UNDER</v>
      </c>
      <c r="T197" s="12" t="s">
        <v>11</v>
      </c>
      <c r="U197" s="2">
        <f>IF(Q197="OVER",$J197,$K197)</f>
        <v>33.263042730211964</v>
      </c>
      <c r="V197" s="2">
        <f>IF(R197="OVER",$J197,$K197)</f>
        <v>33.263042730211964</v>
      </c>
      <c r="W197" s="2">
        <f>IF(S197="OVER",$J197,$K197)</f>
        <v>33.263042730211964</v>
      </c>
      <c r="X197" s="12" t="s">
        <v>11</v>
      </c>
      <c r="Y197" s="9">
        <f t="shared" si="22"/>
        <v>-3161.5881331740097</v>
      </c>
      <c r="Z197" s="9">
        <f t="shared" si="22"/>
        <v>-6306.7773059271985</v>
      </c>
      <c r="AA197" s="9">
        <f t="shared" si="22"/>
        <v>14961.714609513632</v>
      </c>
      <c r="AB197" s="12" t="s">
        <v>11</v>
      </c>
    </row>
    <row r="198" spans="1:28" x14ac:dyDescent="0.3">
      <c r="A198" s="1">
        <v>44698</v>
      </c>
      <c r="B198" s="2">
        <v>67.78</v>
      </c>
      <c r="C198" s="2">
        <v>72.81</v>
      </c>
      <c r="D198" s="9">
        <f>B198-B197</f>
        <v>1.480000000000004</v>
      </c>
      <c r="E198" s="9">
        <f>C198-C197</f>
        <v>1.8299999999999983</v>
      </c>
      <c r="F198" s="3">
        <f>F$1/B198</f>
        <v>1475.3614635585718</v>
      </c>
      <c r="G198" s="3">
        <f>F$1/C198</f>
        <v>1373.437714599643</v>
      </c>
      <c r="H198" s="2">
        <f>D198*F197</f>
        <v>2232.2775263951794</v>
      </c>
      <c r="I198" s="2">
        <f>E198*G197</f>
        <v>2578.1910397294987</v>
      </c>
      <c r="J198" s="2">
        <f>I198-H198</f>
        <v>345.9135133343193</v>
      </c>
      <c r="K198" s="2">
        <f t="shared" si="26"/>
        <v>-345.9135133343193</v>
      </c>
      <c r="L198" s="14">
        <f>C198/B198</f>
        <v>1.0742106816169963</v>
      </c>
      <c r="M198" s="14">
        <f t="shared" si="20"/>
        <v>1.0737134069930065</v>
      </c>
      <c r="N198" s="14">
        <f t="shared" si="24"/>
        <v>1.0797666192061912</v>
      </c>
      <c r="O198" s="14">
        <f t="shared" si="25"/>
        <v>1.0823165467530733</v>
      </c>
      <c r="P198" s="15" t="s">
        <v>11</v>
      </c>
      <c r="Q198" s="4" t="str">
        <f t="shared" si="23"/>
        <v>UNDER</v>
      </c>
      <c r="R198" s="4" t="str">
        <f t="shared" si="23"/>
        <v>UNDER</v>
      </c>
      <c r="S198" s="4" t="str">
        <f t="shared" si="21"/>
        <v>UNDER</v>
      </c>
      <c r="T198" s="12" t="s">
        <v>11</v>
      </c>
      <c r="U198" s="2">
        <f>IF(Q198="OVER",$J198,$K198)</f>
        <v>-345.9135133343193</v>
      </c>
      <c r="V198" s="2">
        <f>IF(R198="OVER",$J198,$K198)</f>
        <v>-345.9135133343193</v>
      </c>
      <c r="W198" s="2">
        <f>IF(S198="OVER",$J198,$K198)</f>
        <v>-345.9135133343193</v>
      </c>
      <c r="X198" s="12" t="s">
        <v>11</v>
      </c>
      <c r="Y198" s="9">
        <f t="shared" si="22"/>
        <v>-3507.501646508329</v>
      </c>
      <c r="Z198" s="9">
        <f t="shared" si="22"/>
        <v>-6652.6908192615174</v>
      </c>
      <c r="AA198" s="9">
        <f t="shared" si="22"/>
        <v>14615.801096179313</v>
      </c>
      <c r="AB198" s="12" t="s">
        <v>11</v>
      </c>
    </row>
    <row r="199" spans="1:28" x14ac:dyDescent="0.3">
      <c r="A199" s="1">
        <v>44699</v>
      </c>
      <c r="B199" s="2">
        <v>66.73</v>
      </c>
      <c r="C199" s="2">
        <v>72.22</v>
      </c>
      <c r="D199" s="9">
        <f>B199-B198</f>
        <v>-1.0499999999999972</v>
      </c>
      <c r="E199" s="9">
        <f>C199-C198</f>
        <v>-0.59000000000000341</v>
      </c>
      <c r="F199" s="3">
        <f>F$1/B199</f>
        <v>1498.5763524651579</v>
      </c>
      <c r="G199" s="3">
        <f>F$1/C199</f>
        <v>1384.6579894765994</v>
      </c>
      <c r="H199" s="2">
        <f>D199*F198</f>
        <v>-1549.1295367364962</v>
      </c>
      <c r="I199" s="2">
        <f>E199*G198</f>
        <v>-810.32825161379401</v>
      </c>
      <c r="J199" s="2">
        <f>I199-H199</f>
        <v>738.80128512270221</v>
      </c>
      <c r="K199" s="2">
        <f t="shared" si="26"/>
        <v>-738.80128512270221</v>
      </c>
      <c r="L199" s="14">
        <f>C199/B199</f>
        <v>1.0822718417503372</v>
      </c>
      <c r="M199" s="14">
        <f t="shared" si="20"/>
        <v>1.0736800229074721</v>
      </c>
      <c r="N199" s="14">
        <f t="shared" si="24"/>
        <v>1.0795469225415348</v>
      </c>
      <c r="O199" s="14">
        <f t="shared" si="25"/>
        <v>1.0822895863937465</v>
      </c>
      <c r="P199" s="15" t="s">
        <v>11</v>
      </c>
      <c r="Q199" s="4" t="str">
        <f t="shared" si="23"/>
        <v>OVER</v>
      </c>
      <c r="R199" s="4" t="str">
        <f t="shared" si="23"/>
        <v>UNDER</v>
      </c>
      <c r="S199" s="4" t="str">
        <f t="shared" si="21"/>
        <v>UNDER</v>
      </c>
      <c r="T199" s="12" t="s">
        <v>11</v>
      </c>
      <c r="U199" s="2">
        <f>IF(Q199="OVER",$J199,$K199)</f>
        <v>738.80128512270221</v>
      </c>
      <c r="V199" s="2">
        <f>IF(R199="OVER",$J199,$K199)</f>
        <v>-738.80128512270221</v>
      </c>
      <c r="W199" s="2">
        <f>IF(S199="OVER",$J199,$K199)</f>
        <v>-738.80128512270221</v>
      </c>
      <c r="X199" s="12" t="s">
        <v>11</v>
      </c>
      <c r="Y199" s="9">
        <f t="shared" si="22"/>
        <v>-2768.7003613856268</v>
      </c>
      <c r="Z199" s="9">
        <f t="shared" si="22"/>
        <v>-7391.4921043842196</v>
      </c>
      <c r="AA199" s="9">
        <f t="shared" si="22"/>
        <v>13876.999811056612</v>
      </c>
      <c r="AB199" s="12" t="s">
        <v>11</v>
      </c>
    </row>
    <row r="200" spans="1:28" x14ac:dyDescent="0.3">
      <c r="A200" s="1">
        <v>44700</v>
      </c>
      <c r="B200" s="2">
        <v>66.64</v>
      </c>
      <c r="C200" s="2">
        <v>71.94</v>
      </c>
      <c r="D200" s="9">
        <f>B200-B199</f>
        <v>-9.0000000000003411E-2</v>
      </c>
      <c r="E200" s="9">
        <f>C200-C199</f>
        <v>-0.28000000000000114</v>
      </c>
      <c r="F200" s="3">
        <f>F$1/B200</f>
        <v>1500.6002400960383</v>
      </c>
      <c r="G200" s="3">
        <f>F$1/C200</f>
        <v>1390.0472616068946</v>
      </c>
      <c r="H200" s="2">
        <f>D200*F199</f>
        <v>-134.87187172186933</v>
      </c>
      <c r="I200" s="2">
        <f>E200*G199</f>
        <v>-387.70423705344939</v>
      </c>
      <c r="J200" s="2">
        <f>I200-H200</f>
        <v>-252.83236533158006</v>
      </c>
      <c r="K200" s="2">
        <f t="shared" si="26"/>
        <v>252.83236533158006</v>
      </c>
      <c r="L200" s="14">
        <f>C200/B200</f>
        <v>1.0795318127250899</v>
      </c>
      <c r="M200" s="14">
        <f t="shared" si="20"/>
        <v>1.0732439903120969</v>
      </c>
      <c r="N200" s="14">
        <f t="shared" si="24"/>
        <v>1.0793823047595952</v>
      </c>
      <c r="O200" s="14">
        <f t="shared" si="25"/>
        <v>1.0820875660607752</v>
      </c>
      <c r="P200" s="15" t="s">
        <v>11</v>
      </c>
      <c r="Q200" s="4" t="str">
        <f t="shared" si="23"/>
        <v>OVER</v>
      </c>
      <c r="R200" s="4" t="str">
        <f t="shared" si="23"/>
        <v>OVER</v>
      </c>
      <c r="S200" s="4" t="str">
        <f t="shared" si="21"/>
        <v>UNDER</v>
      </c>
      <c r="T200" s="12" t="s">
        <v>11</v>
      </c>
      <c r="U200" s="2">
        <f>IF(Q200="OVER",$J200,$K200)</f>
        <v>-252.83236533158006</v>
      </c>
      <c r="V200" s="2">
        <f>IF(R200="OVER",$J200,$K200)</f>
        <v>-252.83236533158006</v>
      </c>
      <c r="W200" s="2">
        <f>IF(S200="OVER",$J200,$K200)</f>
        <v>252.83236533158006</v>
      </c>
      <c r="X200" s="12" t="s">
        <v>11</v>
      </c>
      <c r="Y200" s="9">
        <f t="shared" si="22"/>
        <v>-3021.532726717207</v>
      </c>
      <c r="Z200" s="9">
        <f t="shared" si="22"/>
        <v>-7644.3244697157998</v>
      </c>
      <c r="AA200" s="9">
        <f t="shared" si="22"/>
        <v>14129.832176388192</v>
      </c>
      <c r="AB200" s="12" t="s">
        <v>11</v>
      </c>
    </row>
    <row r="201" spans="1:28" x14ac:dyDescent="0.3">
      <c r="A201" s="1">
        <v>44701</v>
      </c>
      <c r="B201" s="2">
        <v>66.900000000000006</v>
      </c>
      <c r="C201" s="2">
        <v>72.16</v>
      </c>
      <c r="D201" s="9">
        <f>B201-B200</f>
        <v>0.26000000000000512</v>
      </c>
      <c r="E201" s="9">
        <f>C201-C200</f>
        <v>0.21999999999999886</v>
      </c>
      <c r="F201" s="3">
        <f>F$1/B201</f>
        <v>1494.7683109118086</v>
      </c>
      <c r="G201" s="3">
        <f>F$1/C201</f>
        <v>1385.8093126385811</v>
      </c>
      <c r="H201" s="2">
        <f>D201*F200</f>
        <v>390.15606242497762</v>
      </c>
      <c r="I201" s="2">
        <f>E201*G200</f>
        <v>305.81039755351526</v>
      </c>
      <c r="J201" s="2">
        <f>I201-H201</f>
        <v>-84.345664871462361</v>
      </c>
      <c r="K201" s="2">
        <f t="shared" si="26"/>
        <v>84.345664871462361</v>
      </c>
      <c r="L201" s="14">
        <f>C201/B201</f>
        <v>1.0786248131539611</v>
      </c>
      <c r="M201" s="14">
        <f t="shared" si="20"/>
        <v>1.0733493536728156</v>
      </c>
      <c r="N201" s="14">
        <f t="shared" si="24"/>
        <v>1.0792272719884068</v>
      </c>
      <c r="O201" s="14">
        <f t="shared" si="25"/>
        <v>1.0819753678944333</v>
      </c>
      <c r="P201" s="15" t="s">
        <v>11</v>
      </c>
      <c r="Q201" s="4" t="str">
        <f t="shared" si="23"/>
        <v>OVER</v>
      </c>
      <c r="R201" s="4" t="str">
        <f t="shared" si="23"/>
        <v>OVER</v>
      </c>
      <c r="S201" s="4" t="str">
        <f t="shared" si="21"/>
        <v>UNDER</v>
      </c>
      <c r="T201" s="12" t="s">
        <v>11</v>
      </c>
      <c r="U201" s="2">
        <f>IF(Q201="OVER",$J201,$K201)</f>
        <v>-84.345664871462361</v>
      </c>
      <c r="V201" s="2">
        <f>IF(R201="OVER",$J201,$K201)</f>
        <v>-84.345664871462361</v>
      </c>
      <c r="W201" s="2">
        <f>IF(S201="OVER",$J201,$K201)</f>
        <v>84.345664871462361</v>
      </c>
      <c r="X201" s="12" t="s">
        <v>11</v>
      </c>
      <c r="Y201" s="9">
        <f t="shared" si="22"/>
        <v>-3105.8783915886693</v>
      </c>
      <c r="Z201" s="9">
        <f t="shared" si="22"/>
        <v>-7728.6701345872625</v>
      </c>
      <c r="AA201" s="9">
        <f t="shared" si="22"/>
        <v>14214.177841259654</v>
      </c>
      <c r="AB201" s="12" t="s">
        <v>11</v>
      </c>
    </row>
    <row r="202" spans="1:28" x14ac:dyDescent="0.3">
      <c r="A202" s="1">
        <v>44704</v>
      </c>
      <c r="B202" s="2">
        <v>67.239999999999995</v>
      </c>
      <c r="C202" s="2">
        <v>72.2</v>
      </c>
      <c r="D202" s="9">
        <f>B202-B201</f>
        <v>0.3399999999999892</v>
      </c>
      <c r="E202" s="9">
        <f>C202-C201</f>
        <v>4.0000000000006253E-2</v>
      </c>
      <c r="F202" s="3">
        <f>F$1/B202</f>
        <v>1487.20999405116</v>
      </c>
      <c r="G202" s="3">
        <f>F$1/C202</f>
        <v>1385.0415512465374</v>
      </c>
      <c r="H202" s="2">
        <f>D202*F201</f>
        <v>508.22122570999881</v>
      </c>
      <c r="I202" s="2">
        <f>E202*G201</f>
        <v>55.432372505551911</v>
      </c>
      <c r="J202" s="2">
        <f>I202-H202</f>
        <v>-452.78885320444692</v>
      </c>
      <c r="K202" s="2">
        <f t="shared" si="26"/>
        <v>452.78885320444692</v>
      </c>
      <c r="L202" s="14">
        <f>C202/B202</f>
        <v>1.0737656157049376</v>
      </c>
      <c r="M202" s="14">
        <f t="shared" si="20"/>
        <v>1.0737908933829143</v>
      </c>
      <c r="N202" s="14">
        <f t="shared" si="24"/>
        <v>1.0786100543505082</v>
      </c>
      <c r="O202" s="14">
        <f t="shared" si="25"/>
        <v>1.0818048497373132</v>
      </c>
      <c r="P202" s="14">
        <f>AVERAGE(L3:L202)</f>
        <v>1.1151296033038043</v>
      </c>
      <c r="Q202" s="4" t="str">
        <f t="shared" si="23"/>
        <v>OVER</v>
      </c>
      <c r="R202" s="4" t="str">
        <f t="shared" si="23"/>
        <v>UNDER</v>
      </c>
      <c r="S202" s="4" t="str">
        <f t="shared" si="21"/>
        <v>UNDER</v>
      </c>
      <c r="T202" s="12" t="s">
        <v>11</v>
      </c>
      <c r="U202" s="2">
        <f>IF(Q202="OVER",$J202,$K202)</f>
        <v>-452.78885320444692</v>
      </c>
      <c r="V202" s="2">
        <f>IF(R202="OVER",$J202,$K202)</f>
        <v>452.78885320444692</v>
      </c>
      <c r="W202" s="2">
        <f>IF(S202="OVER",$J202,$K202)</f>
        <v>452.78885320444692</v>
      </c>
      <c r="X202" s="12" t="s">
        <v>11</v>
      </c>
      <c r="Y202" s="9">
        <f t="shared" si="22"/>
        <v>-3558.667244793116</v>
      </c>
      <c r="Z202" s="9">
        <f t="shared" si="22"/>
        <v>-7275.8812813828154</v>
      </c>
      <c r="AA202" s="9">
        <f t="shared" si="22"/>
        <v>14666.966694464101</v>
      </c>
      <c r="AB202" s="2">
        <v>0</v>
      </c>
    </row>
    <row r="203" spans="1:28" x14ac:dyDescent="0.3">
      <c r="A203" s="1">
        <v>44705</v>
      </c>
      <c r="B203" s="2">
        <v>65.98</v>
      </c>
      <c r="C203" s="2">
        <v>71.2</v>
      </c>
      <c r="D203" s="9">
        <f>B203-B202</f>
        <v>-1.2599999999999909</v>
      </c>
      <c r="E203" s="9">
        <f>C203-C202</f>
        <v>-1</v>
      </c>
      <c r="F203" s="3">
        <f>F$1/B203</f>
        <v>1515.610791148833</v>
      </c>
      <c r="G203" s="3">
        <f>F$1/C203</f>
        <v>1404.4943820224719</v>
      </c>
      <c r="H203" s="2">
        <f>D203*F202</f>
        <v>-1873.8845925044482</v>
      </c>
      <c r="I203" s="2">
        <f>E203*G202</f>
        <v>-1385.0415512465374</v>
      </c>
      <c r="J203" s="2">
        <f>I203-H203</f>
        <v>488.84304125791073</v>
      </c>
      <c r="K203" s="2">
        <f t="shared" si="26"/>
        <v>-488.84304125791073</v>
      </c>
      <c r="L203" s="14">
        <f>C203/B203</f>
        <v>1.0791148832979691</v>
      </c>
      <c r="M203" s="14">
        <f t="shared" si="20"/>
        <v>1.0747724376969752</v>
      </c>
      <c r="N203" s="14">
        <f t="shared" si="24"/>
        <v>1.0782173645109325</v>
      </c>
      <c r="O203" s="14">
        <f t="shared" si="25"/>
        <v>1.0817346938872656</v>
      </c>
      <c r="P203" s="14">
        <f t="shared" ref="P203:P266" si="27">AVERAGE(L4:L203)</f>
        <v>1.1146924242988141</v>
      </c>
      <c r="Q203" s="4" t="str">
        <f t="shared" si="23"/>
        <v>UNDER</v>
      </c>
      <c r="R203" s="4" t="str">
        <f t="shared" si="23"/>
        <v>UNDER</v>
      </c>
      <c r="S203" s="4" t="str">
        <f t="shared" si="21"/>
        <v>UNDER</v>
      </c>
      <c r="T203" s="4" t="str">
        <f t="shared" si="21"/>
        <v>UNDER</v>
      </c>
      <c r="U203" s="2">
        <f>IF(Q203="OVER",$J203,$K203)</f>
        <v>-488.84304125791073</v>
      </c>
      <c r="V203" s="2">
        <f>IF(R203="OVER",$J203,$K203)</f>
        <v>-488.84304125791073</v>
      </c>
      <c r="W203" s="2">
        <f>IF(S203="OVER",$J203,$K203)</f>
        <v>-488.84304125791073</v>
      </c>
      <c r="X203" s="2">
        <f>IF(T203="OVER",$J203,$K203)</f>
        <v>-488.84304125791073</v>
      </c>
      <c r="Y203" s="9">
        <f t="shared" si="22"/>
        <v>-4047.5102860510269</v>
      </c>
      <c r="Z203" s="9">
        <f t="shared" si="22"/>
        <v>-7764.7243226407263</v>
      </c>
      <c r="AA203" s="9">
        <f t="shared" si="22"/>
        <v>14178.12365320619</v>
      </c>
      <c r="AB203" s="9">
        <f t="shared" si="22"/>
        <v>-488.84304125791073</v>
      </c>
    </row>
    <row r="204" spans="1:28" x14ac:dyDescent="0.3">
      <c r="A204" s="1">
        <v>44706</v>
      </c>
      <c r="B204" s="2">
        <v>66.77</v>
      </c>
      <c r="C204" s="2">
        <v>71.569999999999993</v>
      </c>
      <c r="D204" s="9">
        <f>B204-B203</f>
        <v>0.78999999999999204</v>
      </c>
      <c r="E204" s="9">
        <f>C204-C203</f>
        <v>0.36999999999999034</v>
      </c>
      <c r="F204" s="3">
        <f>F$1/B204</f>
        <v>1497.6785981728322</v>
      </c>
      <c r="G204" s="3">
        <f>F$1/C204</f>
        <v>1397.2334777141261</v>
      </c>
      <c r="H204" s="2">
        <f>D204*F203</f>
        <v>1197.3325250075659</v>
      </c>
      <c r="I204" s="2">
        <f>E204*G203</f>
        <v>519.66292134830098</v>
      </c>
      <c r="J204" s="2">
        <f>I204-H204</f>
        <v>-677.66960365926491</v>
      </c>
      <c r="K204" s="2">
        <f t="shared" si="26"/>
        <v>677.66960365926491</v>
      </c>
      <c r="L204" s="14">
        <f>C204/B204</f>
        <v>1.071888572712296</v>
      </c>
      <c r="M204" s="14">
        <f t="shared" si="20"/>
        <v>1.0747414673819977</v>
      </c>
      <c r="N204" s="14">
        <f t="shared" si="24"/>
        <v>1.0774825761945404</v>
      </c>
      <c r="O204" s="14">
        <f t="shared" si="25"/>
        <v>1.0816715686661078</v>
      </c>
      <c r="P204" s="14">
        <f t="shared" si="27"/>
        <v>1.1142355762025802</v>
      </c>
      <c r="Q204" s="4" t="str">
        <f t="shared" si="23"/>
        <v>OVER</v>
      </c>
      <c r="R204" s="4" t="str">
        <f t="shared" si="23"/>
        <v>OVER</v>
      </c>
      <c r="S204" s="4" t="str">
        <f t="shared" si="21"/>
        <v>UNDER</v>
      </c>
      <c r="T204" s="4" t="str">
        <f t="shared" si="21"/>
        <v>UNDER</v>
      </c>
      <c r="U204" s="2">
        <f>IF(Q204="OVER",$J204,$K204)</f>
        <v>-677.66960365926491</v>
      </c>
      <c r="V204" s="2">
        <f>IF(R204="OVER",$J204,$K204)</f>
        <v>-677.66960365926491</v>
      </c>
      <c r="W204" s="2">
        <f>IF(S204="OVER",$J204,$K204)</f>
        <v>677.66960365926491</v>
      </c>
      <c r="X204" s="2">
        <f>IF(T204="OVER",$J204,$K204)</f>
        <v>677.66960365926491</v>
      </c>
      <c r="Y204" s="9">
        <f t="shared" si="22"/>
        <v>-4725.1798897102917</v>
      </c>
      <c r="Z204" s="9">
        <f t="shared" si="22"/>
        <v>-8442.393926299992</v>
      </c>
      <c r="AA204" s="9">
        <f t="shared" si="22"/>
        <v>14855.793256865456</v>
      </c>
      <c r="AB204" s="9">
        <f t="shared" si="22"/>
        <v>188.82656240135418</v>
      </c>
    </row>
    <row r="205" spans="1:28" x14ac:dyDescent="0.3">
      <c r="A205" s="1">
        <v>44707</v>
      </c>
      <c r="B205" s="2">
        <v>67.989999999999995</v>
      </c>
      <c r="C205" s="2">
        <v>73.08</v>
      </c>
      <c r="D205" s="9">
        <f>B205-B204</f>
        <v>1.2199999999999989</v>
      </c>
      <c r="E205" s="9">
        <f>C205-C204</f>
        <v>1.5100000000000051</v>
      </c>
      <c r="F205" s="3">
        <f>F$1/B205</f>
        <v>1470.8045300779527</v>
      </c>
      <c r="G205" s="3">
        <f>F$1/C205</f>
        <v>1368.3634373289547</v>
      </c>
      <c r="H205" s="2">
        <f>D205*F204</f>
        <v>1827.1678897708534</v>
      </c>
      <c r="I205" s="2">
        <f>E205*G204</f>
        <v>2109.8225513483376</v>
      </c>
      <c r="J205" s="2">
        <f>I205-H205</f>
        <v>282.65466157748415</v>
      </c>
      <c r="K205" s="2">
        <f t="shared" si="26"/>
        <v>-282.65466157748415</v>
      </c>
      <c r="L205" s="14">
        <f>C205/B205</f>
        <v>1.0748639505809678</v>
      </c>
      <c r="M205" s="14">
        <f t="shared" ref="M205:M268" si="28">AVERAGE(L196:L205)</f>
        <v>1.0755806859514041</v>
      </c>
      <c r="N205" s="14">
        <f t="shared" si="24"/>
        <v>1.0770712446626927</v>
      </c>
      <c r="O205" s="14">
        <f t="shared" si="25"/>
        <v>1.0815458393061366</v>
      </c>
      <c r="P205" s="14">
        <f t="shared" si="27"/>
        <v>1.1137877950956196</v>
      </c>
      <c r="Q205" s="4" t="str">
        <f t="shared" si="23"/>
        <v>UNDER</v>
      </c>
      <c r="R205" s="4" t="str">
        <f t="shared" si="23"/>
        <v>UNDER</v>
      </c>
      <c r="S205" s="4" t="str">
        <f t="shared" ref="S205:T268" si="29">IF($L205&gt;O205,"OVER","UNDER")</f>
        <v>UNDER</v>
      </c>
      <c r="T205" s="4" t="str">
        <f t="shared" si="29"/>
        <v>UNDER</v>
      </c>
      <c r="U205" s="2">
        <f>IF(Q205="OVER",$J205,$K205)</f>
        <v>-282.65466157748415</v>
      </c>
      <c r="V205" s="2">
        <f>IF(R205="OVER",$J205,$K205)</f>
        <v>-282.65466157748415</v>
      </c>
      <c r="W205" s="2">
        <f>IF(S205="OVER",$J205,$K205)</f>
        <v>-282.65466157748415</v>
      </c>
      <c r="X205" s="2">
        <f>IF(T205="OVER",$J205,$K205)</f>
        <v>-282.65466157748415</v>
      </c>
      <c r="Y205" s="9">
        <f t="shared" ref="Y205:AB268" si="30">Y204+U205</f>
        <v>-5007.8345512877759</v>
      </c>
      <c r="Z205" s="9">
        <f t="shared" si="30"/>
        <v>-8725.0485878774762</v>
      </c>
      <c r="AA205" s="9">
        <f t="shared" si="30"/>
        <v>14573.138595287972</v>
      </c>
      <c r="AB205" s="9">
        <f t="shared" si="30"/>
        <v>-93.828099176129967</v>
      </c>
    </row>
    <row r="206" spans="1:28" x14ac:dyDescent="0.3">
      <c r="A206" s="1">
        <v>44708</v>
      </c>
      <c r="B206" s="2">
        <v>69.17</v>
      </c>
      <c r="C206" s="2">
        <v>74.37</v>
      </c>
      <c r="D206" s="9">
        <f>B206-B205</f>
        <v>1.1800000000000068</v>
      </c>
      <c r="E206" s="9">
        <f>C206-C205</f>
        <v>1.2900000000000063</v>
      </c>
      <c r="F206" s="3">
        <f>F$1/B206</f>
        <v>1445.7134595923087</v>
      </c>
      <c r="G206" s="3">
        <f>F$1/C206</f>
        <v>1344.6282102998521</v>
      </c>
      <c r="H206" s="2">
        <f>D206*F205</f>
        <v>1735.5493454919942</v>
      </c>
      <c r="I206" s="2">
        <f>E206*G205</f>
        <v>1765.1888341543602</v>
      </c>
      <c r="J206" s="2">
        <f>I206-H206</f>
        <v>29.63948866236592</v>
      </c>
      <c r="K206" s="2">
        <f t="shared" si="26"/>
        <v>-29.63948866236592</v>
      </c>
      <c r="L206" s="14">
        <f>C206/B206</f>
        <v>1.0751770998988002</v>
      </c>
      <c r="M206" s="14">
        <f t="shared" si="28"/>
        <v>1.0760037506735474</v>
      </c>
      <c r="N206" s="14">
        <f t="shared" si="24"/>
        <v>1.0764948395420257</v>
      </c>
      <c r="O206" s="14">
        <f t="shared" si="25"/>
        <v>1.0813902843230814</v>
      </c>
      <c r="P206" s="14">
        <f t="shared" si="27"/>
        <v>1.1133477810135239</v>
      </c>
      <c r="Q206" s="4" t="str">
        <f t="shared" ref="Q206:R269" si="31">IF($L205&gt;M205,"OVER","UNDER")</f>
        <v>UNDER</v>
      </c>
      <c r="R206" s="4" t="str">
        <f t="shared" si="31"/>
        <v>UNDER</v>
      </c>
      <c r="S206" s="4" t="str">
        <f t="shared" si="29"/>
        <v>UNDER</v>
      </c>
      <c r="T206" s="4" t="str">
        <f t="shared" si="29"/>
        <v>UNDER</v>
      </c>
      <c r="U206" s="2">
        <f>IF(Q206="OVER",$J206,$K206)</f>
        <v>-29.63948866236592</v>
      </c>
      <c r="V206" s="2">
        <f>IF(R206="OVER",$J206,$K206)</f>
        <v>-29.63948866236592</v>
      </c>
      <c r="W206" s="2">
        <f>IF(S206="OVER",$J206,$K206)</f>
        <v>-29.63948866236592</v>
      </c>
      <c r="X206" s="2">
        <f>IF(T206="OVER",$J206,$K206)</f>
        <v>-29.63948866236592</v>
      </c>
      <c r="Y206" s="9">
        <f t="shared" si="30"/>
        <v>-5037.4740399501416</v>
      </c>
      <c r="Z206" s="9">
        <f t="shared" si="30"/>
        <v>-8754.6880765398419</v>
      </c>
      <c r="AA206" s="9">
        <f t="shared" si="30"/>
        <v>14543.499106625606</v>
      </c>
      <c r="AB206" s="9">
        <f t="shared" si="30"/>
        <v>-123.46758783849589</v>
      </c>
    </row>
    <row r="207" spans="1:28" x14ac:dyDescent="0.3">
      <c r="A207" s="1">
        <v>44712</v>
      </c>
      <c r="B207" s="2">
        <v>68.73</v>
      </c>
      <c r="C207" s="2">
        <v>73.66</v>
      </c>
      <c r="D207" s="9">
        <f>B207-B206</f>
        <v>-0.43999999999999773</v>
      </c>
      <c r="E207" s="9">
        <f>C207-C206</f>
        <v>-0.71000000000000796</v>
      </c>
      <c r="F207" s="3">
        <f>F$1/B207</f>
        <v>1454.9687181725592</v>
      </c>
      <c r="G207" s="3">
        <f>F$1/C207</f>
        <v>1357.5889220743959</v>
      </c>
      <c r="H207" s="2">
        <f>D207*F206</f>
        <v>-636.11392222061249</v>
      </c>
      <c r="I207" s="2">
        <f>E207*G206</f>
        <v>-954.6860293129057</v>
      </c>
      <c r="J207" s="2">
        <f>I207-H207</f>
        <v>-318.57210709229321</v>
      </c>
      <c r="K207" s="2">
        <f t="shared" si="26"/>
        <v>318.57210709229321</v>
      </c>
      <c r="L207" s="14">
        <f>C207/B207</f>
        <v>1.071729957805907</v>
      </c>
      <c r="M207" s="14">
        <f t="shared" si="28"/>
        <v>1.0761179229247262</v>
      </c>
      <c r="N207" s="14">
        <f t="shared" si="24"/>
        <v>1.0755416504169539</v>
      </c>
      <c r="O207" s="14">
        <f t="shared" si="25"/>
        <v>1.0811081904828856</v>
      </c>
      <c r="P207" s="14">
        <f t="shared" si="27"/>
        <v>1.1128878880655144</v>
      </c>
      <c r="Q207" s="4" t="str">
        <f t="shared" si="31"/>
        <v>UNDER</v>
      </c>
      <c r="R207" s="4" t="str">
        <f t="shared" si="31"/>
        <v>UNDER</v>
      </c>
      <c r="S207" s="4" t="str">
        <f t="shared" si="29"/>
        <v>UNDER</v>
      </c>
      <c r="T207" s="4" t="str">
        <f t="shared" si="29"/>
        <v>UNDER</v>
      </c>
      <c r="U207" s="2">
        <f>IF(Q207="OVER",$J207,$K207)</f>
        <v>318.57210709229321</v>
      </c>
      <c r="V207" s="2">
        <f>IF(R207="OVER",$J207,$K207)</f>
        <v>318.57210709229321</v>
      </c>
      <c r="W207" s="2">
        <f>IF(S207="OVER",$J207,$K207)</f>
        <v>318.57210709229321</v>
      </c>
      <c r="X207" s="2">
        <f>IF(T207="OVER",$J207,$K207)</f>
        <v>318.57210709229321</v>
      </c>
      <c r="Y207" s="9">
        <f t="shared" si="30"/>
        <v>-4718.9019328578488</v>
      </c>
      <c r="Z207" s="9">
        <f t="shared" si="30"/>
        <v>-8436.1159694475482</v>
      </c>
      <c r="AA207" s="9">
        <f t="shared" si="30"/>
        <v>14862.0712137179</v>
      </c>
      <c r="AB207" s="9">
        <f t="shared" si="30"/>
        <v>195.10451925379732</v>
      </c>
    </row>
    <row r="208" spans="1:28" x14ac:dyDescent="0.3">
      <c r="A208" s="1">
        <v>44713</v>
      </c>
      <c r="B208" s="2">
        <v>68.290000000000006</v>
      </c>
      <c r="C208" s="2">
        <v>73.42</v>
      </c>
      <c r="D208" s="9">
        <f>B208-B207</f>
        <v>-0.43999999999999773</v>
      </c>
      <c r="E208" s="9">
        <f>C208-C207</f>
        <v>-0.23999999999999488</v>
      </c>
      <c r="F208" s="3">
        <f>F$1/B208</f>
        <v>1464.3432420559377</v>
      </c>
      <c r="G208" s="3">
        <f>F$1/C208</f>
        <v>1362.0266957232361</v>
      </c>
      <c r="H208" s="2">
        <f>D208*F207</f>
        <v>-640.18623599592274</v>
      </c>
      <c r="I208" s="2">
        <f>E208*G207</f>
        <v>-325.82134129784805</v>
      </c>
      <c r="J208" s="2">
        <f>I208-H208</f>
        <v>314.36489469807469</v>
      </c>
      <c r="K208" s="2">
        <f t="shared" si="26"/>
        <v>-314.36489469807469</v>
      </c>
      <c r="L208" s="14">
        <f>C208/B208</f>
        <v>1.0751208083174695</v>
      </c>
      <c r="M208" s="14">
        <f t="shared" si="28"/>
        <v>1.0762089355947737</v>
      </c>
      <c r="N208" s="14">
        <f t="shared" si="24"/>
        <v>1.07496117129389</v>
      </c>
      <c r="O208" s="14">
        <f t="shared" si="25"/>
        <v>1.0809335798009345</v>
      </c>
      <c r="P208" s="14">
        <f t="shared" si="27"/>
        <v>1.1124697200741995</v>
      </c>
      <c r="Q208" s="4" t="str">
        <f t="shared" si="31"/>
        <v>UNDER</v>
      </c>
      <c r="R208" s="4" t="str">
        <f t="shared" si="31"/>
        <v>UNDER</v>
      </c>
      <c r="S208" s="4" t="str">
        <f t="shared" si="29"/>
        <v>UNDER</v>
      </c>
      <c r="T208" s="4" t="str">
        <f t="shared" si="29"/>
        <v>UNDER</v>
      </c>
      <c r="U208" s="2">
        <f>IF(Q208="OVER",$J208,$K208)</f>
        <v>-314.36489469807469</v>
      </c>
      <c r="V208" s="2">
        <f>IF(R208="OVER",$J208,$K208)</f>
        <v>-314.36489469807469</v>
      </c>
      <c r="W208" s="2">
        <f>IF(S208="OVER",$J208,$K208)</f>
        <v>-314.36489469807469</v>
      </c>
      <c r="X208" s="2">
        <f>IF(T208="OVER",$J208,$K208)</f>
        <v>-314.36489469807469</v>
      </c>
      <c r="Y208" s="9">
        <f t="shared" si="30"/>
        <v>-5033.2668275559236</v>
      </c>
      <c r="Z208" s="9">
        <f t="shared" si="30"/>
        <v>-8750.480864145622</v>
      </c>
      <c r="AA208" s="9">
        <f t="shared" si="30"/>
        <v>14547.706319019826</v>
      </c>
      <c r="AB208" s="9">
        <f t="shared" si="30"/>
        <v>-119.26037544427737</v>
      </c>
    </row>
    <row r="209" spans="1:28" x14ac:dyDescent="0.3">
      <c r="A209" s="1">
        <v>44714</v>
      </c>
      <c r="B209" s="2">
        <v>69.400000000000006</v>
      </c>
      <c r="C209" s="2">
        <v>74.66</v>
      </c>
      <c r="D209" s="9">
        <f>B209-B208</f>
        <v>1.1099999999999994</v>
      </c>
      <c r="E209" s="9">
        <f>C209-C208</f>
        <v>1.2399999999999949</v>
      </c>
      <c r="F209" s="3">
        <f>F$1/B209</f>
        <v>1440.9221902017289</v>
      </c>
      <c r="G209" s="3">
        <f>F$1/C209</f>
        <v>1339.4053040450042</v>
      </c>
      <c r="H209" s="2">
        <f>D209*F208</f>
        <v>1625.4209986820899</v>
      </c>
      <c r="I209" s="2">
        <f>E209*G208</f>
        <v>1688.9131026968057</v>
      </c>
      <c r="J209" s="2">
        <f>I209-H209</f>
        <v>63.492104014715778</v>
      </c>
      <c r="K209" s="2">
        <f t="shared" si="26"/>
        <v>-63.492104014715778</v>
      </c>
      <c r="L209" s="14">
        <f>C209/B209</f>
        <v>1.0757925072046108</v>
      </c>
      <c r="M209" s="14">
        <f t="shared" si="28"/>
        <v>1.0755610021402009</v>
      </c>
      <c r="N209" s="14">
        <f t="shared" si="24"/>
        <v>1.0746205125238364</v>
      </c>
      <c r="O209" s="14">
        <f t="shared" si="25"/>
        <v>1.0807132552816721</v>
      </c>
      <c r="P209" s="14">
        <f t="shared" si="27"/>
        <v>1.1120446357518625</v>
      </c>
      <c r="Q209" s="4" t="str">
        <f t="shared" si="31"/>
        <v>UNDER</v>
      </c>
      <c r="R209" s="4" t="str">
        <f t="shared" si="31"/>
        <v>OVER</v>
      </c>
      <c r="S209" s="4" t="str">
        <f t="shared" si="29"/>
        <v>UNDER</v>
      </c>
      <c r="T209" s="4" t="str">
        <f t="shared" si="29"/>
        <v>UNDER</v>
      </c>
      <c r="U209" s="2">
        <f>IF(Q209="OVER",$J209,$K209)</f>
        <v>-63.492104014715778</v>
      </c>
      <c r="V209" s="2">
        <f>IF(R209="OVER",$J209,$K209)</f>
        <v>63.492104014715778</v>
      </c>
      <c r="W209" s="2">
        <f>IF(S209="OVER",$J209,$K209)</f>
        <v>-63.492104014715778</v>
      </c>
      <c r="X209" s="2">
        <f>IF(T209="OVER",$J209,$K209)</f>
        <v>-63.492104014715778</v>
      </c>
      <c r="Y209" s="9">
        <f t="shared" si="30"/>
        <v>-5096.7589315706391</v>
      </c>
      <c r="Z209" s="9">
        <f t="shared" si="30"/>
        <v>-8686.9887601309056</v>
      </c>
      <c r="AA209" s="9">
        <f t="shared" si="30"/>
        <v>14484.21421500511</v>
      </c>
      <c r="AB209" s="9">
        <f t="shared" si="30"/>
        <v>-182.75247945899315</v>
      </c>
    </row>
    <row r="210" spans="1:28" x14ac:dyDescent="0.3">
      <c r="A210" s="1">
        <v>44715</v>
      </c>
      <c r="B210" s="2">
        <v>68.760000000000005</v>
      </c>
      <c r="C210" s="2">
        <v>73.91</v>
      </c>
      <c r="D210" s="9">
        <f>B210-B209</f>
        <v>-0.64000000000000057</v>
      </c>
      <c r="E210" s="9">
        <f>C210-C209</f>
        <v>-0.75</v>
      </c>
      <c r="F210" s="3">
        <f>F$1/B210</f>
        <v>1454.3339150668992</v>
      </c>
      <c r="G210" s="3">
        <f>F$1/C210</f>
        <v>1352.9968881071575</v>
      </c>
      <c r="H210" s="2">
        <f>D210*F209</f>
        <v>-922.19020172910734</v>
      </c>
      <c r="I210" s="2">
        <f>E210*G209</f>
        <v>-1004.5539780337531</v>
      </c>
      <c r="J210" s="2">
        <f>I210-H210</f>
        <v>-82.363776304645739</v>
      </c>
      <c r="K210" s="2">
        <f t="shared" si="26"/>
        <v>82.363776304645739</v>
      </c>
      <c r="L210" s="14">
        <f>C210/B210</f>
        <v>1.0748981966259452</v>
      </c>
      <c r="M210" s="14">
        <f t="shared" si="28"/>
        <v>1.0750976405302866</v>
      </c>
      <c r="N210" s="14">
        <f t="shared" si="24"/>
        <v>1.0741708154211915</v>
      </c>
      <c r="O210" s="14">
        <f t="shared" si="25"/>
        <v>1.0805046087322316</v>
      </c>
      <c r="P210" s="14">
        <f t="shared" si="27"/>
        <v>1.1116211660994697</v>
      </c>
      <c r="Q210" s="4" t="str">
        <f t="shared" si="31"/>
        <v>OVER</v>
      </c>
      <c r="R210" s="4" t="str">
        <f t="shared" si="31"/>
        <v>OVER</v>
      </c>
      <c r="S210" s="4" t="str">
        <f t="shared" si="29"/>
        <v>UNDER</v>
      </c>
      <c r="T210" s="4" t="str">
        <f t="shared" si="29"/>
        <v>UNDER</v>
      </c>
      <c r="U210" s="2">
        <f>IF(Q210="OVER",$J210,$K210)</f>
        <v>-82.363776304645739</v>
      </c>
      <c r="V210" s="2">
        <f>IF(R210="OVER",$J210,$K210)</f>
        <v>-82.363776304645739</v>
      </c>
      <c r="W210" s="2">
        <f>IF(S210="OVER",$J210,$K210)</f>
        <v>82.363776304645739</v>
      </c>
      <c r="X210" s="2">
        <f>IF(T210="OVER",$J210,$K210)</f>
        <v>82.363776304645739</v>
      </c>
      <c r="Y210" s="9">
        <f t="shared" si="30"/>
        <v>-5179.1227078752845</v>
      </c>
      <c r="Z210" s="9">
        <f t="shared" si="30"/>
        <v>-8769.3525364355519</v>
      </c>
      <c r="AA210" s="9">
        <f t="shared" si="30"/>
        <v>14566.577991309756</v>
      </c>
      <c r="AB210" s="9">
        <f t="shared" si="30"/>
        <v>-100.38870315434741</v>
      </c>
    </row>
    <row r="211" spans="1:28" x14ac:dyDescent="0.3">
      <c r="A211" s="1">
        <v>44718</v>
      </c>
      <c r="B211" s="2">
        <v>68.92</v>
      </c>
      <c r="C211" s="2">
        <v>74.2</v>
      </c>
      <c r="D211" s="9">
        <f>B211-B210</f>
        <v>0.15999999999999659</v>
      </c>
      <c r="E211" s="9">
        <f>C211-C210</f>
        <v>0.29000000000000625</v>
      </c>
      <c r="F211" s="3">
        <f>F$1/B211</f>
        <v>1450.9576320371445</v>
      </c>
      <c r="G211" s="3">
        <f>F$1/C211</f>
        <v>1347.7088948787061</v>
      </c>
      <c r="H211" s="2">
        <f>D211*F210</f>
        <v>232.69342641069892</v>
      </c>
      <c r="I211" s="2">
        <f>E211*G210</f>
        <v>392.36909755108411</v>
      </c>
      <c r="J211" s="2">
        <f>I211-H211</f>
        <v>159.67567114038519</v>
      </c>
      <c r="K211" s="2">
        <f t="shared" si="26"/>
        <v>-159.67567114038519</v>
      </c>
      <c r="L211" s="14">
        <f>C211/B211</f>
        <v>1.0766105629715612</v>
      </c>
      <c r="M211" s="14">
        <f t="shared" si="28"/>
        <v>1.0748962155120465</v>
      </c>
      <c r="N211" s="14">
        <f t="shared" si="24"/>
        <v>1.0741227845924308</v>
      </c>
      <c r="O211" s="14">
        <f t="shared" si="25"/>
        <v>1.0802931499316264</v>
      </c>
      <c r="P211" s="14">
        <f t="shared" si="27"/>
        <v>1.1112137733579774</v>
      </c>
      <c r="Q211" s="4" t="str">
        <f t="shared" si="31"/>
        <v>UNDER</v>
      </c>
      <c r="R211" s="4" t="str">
        <f t="shared" si="31"/>
        <v>OVER</v>
      </c>
      <c r="S211" s="4" t="str">
        <f t="shared" si="29"/>
        <v>UNDER</v>
      </c>
      <c r="T211" s="4" t="str">
        <f t="shared" si="29"/>
        <v>UNDER</v>
      </c>
      <c r="U211" s="2">
        <f>IF(Q211="OVER",$J211,$K211)</f>
        <v>-159.67567114038519</v>
      </c>
      <c r="V211" s="2">
        <f>IF(R211="OVER",$J211,$K211)</f>
        <v>159.67567114038519</v>
      </c>
      <c r="W211" s="2">
        <f>IF(S211="OVER",$J211,$K211)</f>
        <v>-159.67567114038519</v>
      </c>
      <c r="X211" s="2">
        <f>IF(T211="OVER",$J211,$K211)</f>
        <v>-159.67567114038519</v>
      </c>
      <c r="Y211" s="9">
        <f t="shared" si="30"/>
        <v>-5338.7983790156695</v>
      </c>
      <c r="Z211" s="9">
        <f t="shared" si="30"/>
        <v>-8609.6768652951669</v>
      </c>
      <c r="AA211" s="9">
        <f t="shared" si="30"/>
        <v>14406.902320169371</v>
      </c>
      <c r="AB211" s="9">
        <f t="shared" si="30"/>
        <v>-260.0643742947326</v>
      </c>
    </row>
    <row r="212" spans="1:28" x14ac:dyDescent="0.3">
      <c r="A212" s="1">
        <v>44719</v>
      </c>
      <c r="B212" s="2">
        <v>69.510000000000005</v>
      </c>
      <c r="C212" s="2">
        <v>74.64</v>
      </c>
      <c r="D212" s="9">
        <f>B212-B211</f>
        <v>0.59000000000000341</v>
      </c>
      <c r="E212" s="9">
        <f>C212-C211</f>
        <v>0.43999999999999773</v>
      </c>
      <c r="F212" s="3">
        <f>F$1/B212</f>
        <v>1438.6419220256078</v>
      </c>
      <c r="G212" s="3">
        <f>F$1/C212</f>
        <v>1339.7642015005358</v>
      </c>
      <c r="H212" s="2">
        <f>D212*F211</f>
        <v>856.06500290192025</v>
      </c>
      <c r="I212" s="2">
        <f>E212*G211</f>
        <v>592.99191374662769</v>
      </c>
      <c r="J212" s="2">
        <f>I212-H212</f>
        <v>-263.07308915529256</v>
      </c>
      <c r="K212" s="2">
        <f t="shared" si="26"/>
        <v>263.07308915529256</v>
      </c>
      <c r="L212" s="14">
        <f>C212/B212</f>
        <v>1.0738023305999136</v>
      </c>
      <c r="M212" s="14">
        <f t="shared" si="28"/>
        <v>1.074899887001544</v>
      </c>
      <c r="N212" s="14">
        <f t="shared" si="24"/>
        <v>1.0743453901922291</v>
      </c>
      <c r="O212" s="14">
        <f t="shared" si="25"/>
        <v>1.0801147271238649</v>
      </c>
      <c r="P212" s="14">
        <f t="shared" si="27"/>
        <v>1.1107915073842189</v>
      </c>
      <c r="Q212" s="4" t="str">
        <f t="shared" si="31"/>
        <v>OVER</v>
      </c>
      <c r="R212" s="4" t="str">
        <f t="shared" si="31"/>
        <v>OVER</v>
      </c>
      <c r="S212" s="4" t="str">
        <f t="shared" si="29"/>
        <v>UNDER</v>
      </c>
      <c r="T212" s="4" t="str">
        <f t="shared" si="29"/>
        <v>UNDER</v>
      </c>
      <c r="U212" s="2">
        <f>IF(Q212="OVER",$J212,$K212)</f>
        <v>-263.07308915529256</v>
      </c>
      <c r="V212" s="2">
        <f>IF(R212="OVER",$J212,$K212)</f>
        <v>-263.07308915529256</v>
      </c>
      <c r="W212" s="2">
        <f>IF(S212="OVER",$J212,$K212)</f>
        <v>263.07308915529256</v>
      </c>
      <c r="X212" s="2">
        <f>IF(T212="OVER",$J212,$K212)</f>
        <v>263.07308915529256</v>
      </c>
      <c r="Y212" s="9">
        <f t="shared" si="30"/>
        <v>-5601.8714681709625</v>
      </c>
      <c r="Z212" s="9">
        <f t="shared" si="30"/>
        <v>-8872.749954450459</v>
      </c>
      <c r="AA212" s="9">
        <f t="shared" si="30"/>
        <v>14669.975409324663</v>
      </c>
      <c r="AB212" s="9">
        <f t="shared" si="30"/>
        <v>3.0087148605599623</v>
      </c>
    </row>
    <row r="213" spans="1:28" x14ac:dyDescent="0.3">
      <c r="A213" s="1">
        <v>44720</v>
      </c>
      <c r="B213" s="2">
        <v>69.22</v>
      </c>
      <c r="C213" s="2">
        <v>74.38</v>
      </c>
      <c r="D213" s="9">
        <f>B213-B212</f>
        <v>-0.29000000000000625</v>
      </c>
      <c r="E213" s="9">
        <f>C213-C212</f>
        <v>-0.26000000000000512</v>
      </c>
      <c r="F213" s="3">
        <f>F$1/B213</f>
        <v>1444.6691707598959</v>
      </c>
      <c r="G213" s="3">
        <f>F$1/C213</f>
        <v>1344.4474321054047</v>
      </c>
      <c r="H213" s="2">
        <f>D213*F212</f>
        <v>-417.20615738743527</v>
      </c>
      <c r="I213" s="2">
        <f>E213*G212</f>
        <v>-348.33869239014615</v>
      </c>
      <c r="J213" s="2">
        <f>I213-H213</f>
        <v>68.867464997289119</v>
      </c>
      <c r="K213" s="2">
        <f t="shared" si="26"/>
        <v>-68.867464997289119</v>
      </c>
      <c r="L213" s="14">
        <f>C213/B213</f>
        <v>1.0745449292112106</v>
      </c>
      <c r="M213" s="14">
        <f t="shared" si="28"/>
        <v>1.0744428915928683</v>
      </c>
      <c r="N213" s="14">
        <f t="shared" si="24"/>
        <v>1.0746076646449216</v>
      </c>
      <c r="O213" s="14">
        <f t="shared" si="25"/>
        <v>1.0799350558407981</v>
      </c>
      <c r="P213" s="14">
        <f t="shared" si="27"/>
        <v>1.1103577049510849</v>
      </c>
      <c r="Q213" s="4" t="str">
        <f t="shared" si="31"/>
        <v>UNDER</v>
      </c>
      <c r="R213" s="4" t="str">
        <f t="shared" si="31"/>
        <v>UNDER</v>
      </c>
      <c r="S213" s="4" t="str">
        <f t="shared" si="29"/>
        <v>UNDER</v>
      </c>
      <c r="T213" s="4" t="str">
        <f t="shared" si="29"/>
        <v>UNDER</v>
      </c>
      <c r="U213" s="2">
        <f>IF(Q213="OVER",$J213,$K213)</f>
        <v>-68.867464997289119</v>
      </c>
      <c r="V213" s="2">
        <f>IF(R213="OVER",$J213,$K213)</f>
        <v>-68.867464997289119</v>
      </c>
      <c r="W213" s="2">
        <f>IF(S213="OVER",$J213,$K213)</f>
        <v>-68.867464997289119</v>
      </c>
      <c r="X213" s="2">
        <f>IF(T213="OVER",$J213,$K213)</f>
        <v>-68.867464997289119</v>
      </c>
      <c r="Y213" s="9">
        <f t="shared" si="30"/>
        <v>-5670.7389331682516</v>
      </c>
      <c r="Z213" s="9">
        <f t="shared" si="30"/>
        <v>-8941.617419447748</v>
      </c>
      <c r="AA213" s="9">
        <f t="shared" si="30"/>
        <v>14601.107944327374</v>
      </c>
      <c r="AB213" s="9">
        <f t="shared" si="30"/>
        <v>-65.858750136729157</v>
      </c>
    </row>
    <row r="214" spans="1:28" x14ac:dyDescent="0.3">
      <c r="A214" s="1">
        <v>44721</v>
      </c>
      <c r="B214" s="2">
        <v>68.209999999999994</v>
      </c>
      <c r="C214" s="2">
        <v>73.36</v>
      </c>
      <c r="D214" s="9">
        <f>B214-B213</f>
        <v>-1.0100000000000051</v>
      </c>
      <c r="E214" s="9">
        <f>C214-C213</f>
        <v>-1.019999999999996</v>
      </c>
      <c r="F214" s="3">
        <f>F$1/B214</f>
        <v>1466.0606949127696</v>
      </c>
      <c r="G214" s="3">
        <f>F$1/C214</f>
        <v>1363.1406761177755</v>
      </c>
      <c r="H214" s="2">
        <f>D214*F213</f>
        <v>-1459.1158624675022</v>
      </c>
      <c r="I214" s="2">
        <f>E214*G213</f>
        <v>-1371.3363807475075</v>
      </c>
      <c r="J214" s="2">
        <f>I214-H214</f>
        <v>87.779481719994692</v>
      </c>
      <c r="K214" s="2">
        <f t="shared" si="26"/>
        <v>-87.779481719994692</v>
      </c>
      <c r="L214" s="14">
        <f>C214/B214</f>
        <v>1.0755021257880077</v>
      </c>
      <c r="M214" s="14">
        <f t="shared" si="28"/>
        <v>1.0748042469004395</v>
      </c>
      <c r="N214" s="14">
        <f t="shared" si="24"/>
        <v>1.0747728571412185</v>
      </c>
      <c r="O214" s="14">
        <f t="shared" si="25"/>
        <v>1.07973668474063</v>
      </c>
      <c r="P214" s="14">
        <f t="shared" si="27"/>
        <v>1.1099182864461665</v>
      </c>
      <c r="Q214" s="4" t="str">
        <f t="shared" si="31"/>
        <v>OVER</v>
      </c>
      <c r="R214" s="4" t="str">
        <f t="shared" si="31"/>
        <v>UNDER</v>
      </c>
      <c r="S214" s="4" t="str">
        <f t="shared" si="29"/>
        <v>UNDER</v>
      </c>
      <c r="T214" s="4" t="str">
        <f t="shared" si="29"/>
        <v>UNDER</v>
      </c>
      <c r="U214" s="2">
        <f>IF(Q214="OVER",$J214,$K214)</f>
        <v>87.779481719994692</v>
      </c>
      <c r="V214" s="2">
        <f>IF(R214="OVER",$J214,$K214)</f>
        <v>-87.779481719994692</v>
      </c>
      <c r="W214" s="2">
        <f>IF(S214="OVER",$J214,$K214)</f>
        <v>-87.779481719994692</v>
      </c>
      <c r="X214" s="2">
        <f>IF(T214="OVER",$J214,$K214)</f>
        <v>-87.779481719994692</v>
      </c>
      <c r="Y214" s="9">
        <f t="shared" si="30"/>
        <v>-5582.9594514482569</v>
      </c>
      <c r="Z214" s="9">
        <f t="shared" si="30"/>
        <v>-9029.3969011677436</v>
      </c>
      <c r="AA214" s="9">
        <f t="shared" si="30"/>
        <v>14513.32846260738</v>
      </c>
      <c r="AB214" s="9">
        <f t="shared" si="30"/>
        <v>-153.63823185672385</v>
      </c>
    </row>
    <row r="215" spans="1:28" x14ac:dyDescent="0.3">
      <c r="A215" s="1">
        <v>44722</v>
      </c>
      <c r="B215" s="2">
        <v>66.89</v>
      </c>
      <c r="C215" s="2">
        <v>72.19</v>
      </c>
      <c r="D215" s="9">
        <f>B215-B214</f>
        <v>-1.3199999999999932</v>
      </c>
      <c r="E215" s="9">
        <f>C215-C214</f>
        <v>-1.1700000000000017</v>
      </c>
      <c r="F215" s="3">
        <f>F$1/B215</f>
        <v>1494.9917775452234</v>
      </c>
      <c r="G215" s="3">
        <f>F$1/C215</f>
        <v>1385.2334118298934</v>
      </c>
      <c r="H215" s="2">
        <f>D215*F214</f>
        <v>-1935.2001172848459</v>
      </c>
      <c r="I215" s="2">
        <f>E215*G214</f>
        <v>-1594.8745910577995</v>
      </c>
      <c r="J215" s="2">
        <f>I215-H215</f>
        <v>340.32552622704634</v>
      </c>
      <c r="K215" s="2">
        <f t="shared" si="26"/>
        <v>-340.32552622704634</v>
      </c>
      <c r="L215" s="14">
        <f>C215/B215</f>
        <v>1.0792345642098968</v>
      </c>
      <c r="M215" s="14">
        <f t="shared" si="28"/>
        <v>1.0752413082633321</v>
      </c>
      <c r="N215" s="14">
        <f t="shared" ref="N215:N278" si="32">AVERAGE(L196:L215)</f>
        <v>1.0754109971073682</v>
      </c>
      <c r="O215" s="14">
        <f t="shared" si="25"/>
        <v>1.0796635186057224</v>
      </c>
      <c r="P215" s="14">
        <f t="shared" si="27"/>
        <v>1.1094940882567308</v>
      </c>
      <c r="Q215" s="4" t="str">
        <f t="shared" si="31"/>
        <v>OVER</v>
      </c>
      <c r="R215" s="4" t="str">
        <f t="shared" si="31"/>
        <v>OVER</v>
      </c>
      <c r="S215" s="4" t="str">
        <f t="shared" si="29"/>
        <v>UNDER</v>
      </c>
      <c r="T215" s="4" t="str">
        <f t="shared" si="29"/>
        <v>UNDER</v>
      </c>
      <c r="U215" s="2">
        <f>IF(Q215="OVER",$J215,$K215)</f>
        <v>340.32552622704634</v>
      </c>
      <c r="V215" s="2">
        <f>IF(R215="OVER",$J215,$K215)</f>
        <v>340.32552622704634</v>
      </c>
      <c r="W215" s="2">
        <f>IF(S215="OVER",$J215,$K215)</f>
        <v>-340.32552622704634</v>
      </c>
      <c r="X215" s="2">
        <f>IF(T215="OVER",$J215,$K215)</f>
        <v>-340.32552622704634</v>
      </c>
      <c r="Y215" s="9">
        <f t="shared" si="30"/>
        <v>-5242.633925221211</v>
      </c>
      <c r="Z215" s="9">
        <f t="shared" si="30"/>
        <v>-8689.0713749406968</v>
      </c>
      <c r="AA215" s="9">
        <f t="shared" si="30"/>
        <v>14173.002936380333</v>
      </c>
      <c r="AB215" s="9">
        <f t="shared" si="30"/>
        <v>-493.96375808377019</v>
      </c>
    </row>
    <row r="216" spans="1:28" x14ac:dyDescent="0.3">
      <c r="A216" s="1">
        <v>44725</v>
      </c>
      <c r="B216" s="2">
        <v>64.09</v>
      </c>
      <c r="C216" s="2">
        <v>68.94</v>
      </c>
      <c r="D216" s="9">
        <f>B216-B215</f>
        <v>-2.7999999999999972</v>
      </c>
      <c r="E216" s="9">
        <f>C216-C215</f>
        <v>-3.25</v>
      </c>
      <c r="F216" s="3">
        <f>F$1/B216</f>
        <v>1560.3058199407083</v>
      </c>
      <c r="G216" s="3">
        <f>F$1/C216</f>
        <v>1450.536698578474</v>
      </c>
      <c r="H216" s="2">
        <f>D216*F215</f>
        <v>-4185.976977126621</v>
      </c>
      <c r="I216" s="2">
        <f>E216*G215</f>
        <v>-4502.0085884471537</v>
      </c>
      <c r="J216" s="2">
        <f>I216-H216</f>
        <v>-316.03161132053265</v>
      </c>
      <c r="K216" s="2">
        <f t="shared" si="26"/>
        <v>316.03161132053265</v>
      </c>
      <c r="L216" s="14">
        <f>C216/B216</f>
        <v>1.0756748322671243</v>
      </c>
      <c r="M216" s="14">
        <f t="shared" si="28"/>
        <v>1.0752910815001644</v>
      </c>
      <c r="N216" s="14">
        <f t="shared" si="32"/>
        <v>1.0756474160868561</v>
      </c>
      <c r="O216" s="14">
        <f t="shared" si="25"/>
        <v>1.0795213947182516</v>
      </c>
      <c r="P216" s="14">
        <f t="shared" si="27"/>
        <v>1.1090584147439169</v>
      </c>
      <c r="Q216" s="4" t="str">
        <f t="shared" si="31"/>
        <v>OVER</v>
      </c>
      <c r="R216" s="4" t="str">
        <f t="shared" si="31"/>
        <v>OVER</v>
      </c>
      <c r="S216" s="4" t="str">
        <f t="shared" si="29"/>
        <v>UNDER</v>
      </c>
      <c r="T216" s="4" t="str">
        <f t="shared" si="29"/>
        <v>UNDER</v>
      </c>
      <c r="U216" s="2">
        <f>IF(Q216="OVER",$J216,$K216)</f>
        <v>-316.03161132053265</v>
      </c>
      <c r="V216" s="2">
        <f>IF(R216="OVER",$J216,$K216)</f>
        <v>-316.03161132053265</v>
      </c>
      <c r="W216" s="2">
        <f>IF(S216="OVER",$J216,$K216)</f>
        <v>316.03161132053265</v>
      </c>
      <c r="X216" s="2">
        <f>IF(T216="OVER",$J216,$K216)</f>
        <v>316.03161132053265</v>
      </c>
      <c r="Y216" s="9">
        <f t="shared" si="30"/>
        <v>-5558.6655365417437</v>
      </c>
      <c r="Z216" s="9">
        <f t="shared" si="30"/>
        <v>-9005.1029862612304</v>
      </c>
      <c r="AA216" s="9">
        <f t="shared" si="30"/>
        <v>14489.034547700867</v>
      </c>
      <c r="AB216" s="9">
        <f t="shared" si="30"/>
        <v>-177.93214676323754</v>
      </c>
    </row>
    <row r="217" spans="1:28" x14ac:dyDescent="0.3">
      <c r="A217" s="1">
        <v>44726</v>
      </c>
      <c r="B217" s="2">
        <v>63.98</v>
      </c>
      <c r="C217" s="2">
        <v>68.88</v>
      </c>
      <c r="D217" s="9">
        <f>B217-B216</f>
        <v>-0.11000000000000654</v>
      </c>
      <c r="E217" s="9">
        <f>C217-C216</f>
        <v>-6.0000000000002274E-2</v>
      </c>
      <c r="F217" s="3">
        <f>F$1/B217</f>
        <v>1562.9884338855893</v>
      </c>
      <c r="G217" s="3">
        <f>F$1/C217</f>
        <v>1451.8002322880373</v>
      </c>
      <c r="H217" s="2">
        <f>D217*F216</f>
        <v>-171.63364019348811</v>
      </c>
      <c r="I217" s="2">
        <f>E217*G216</f>
        <v>-87.032201914711735</v>
      </c>
      <c r="J217" s="2">
        <f>I217-H217</f>
        <v>84.601438278776371</v>
      </c>
      <c r="K217" s="2">
        <f t="shared" si="26"/>
        <v>-84.601438278776371</v>
      </c>
      <c r="L217" s="14">
        <f>C217/B217</f>
        <v>1.0765864332603938</v>
      </c>
      <c r="M217" s="14">
        <f t="shared" si="28"/>
        <v>1.0757767290456133</v>
      </c>
      <c r="N217" s="14">
        <f t="shared" si="32"/>
        <v>1.07594732598517</v>
      </c>
      <c r="O217" s="14">
        <f t="shared" si="25"/>
        <v>1.0793644416947779</v>
      </c>
      <c r="P217" s="14">
        <f t="shared" si="27"/>
        <v>1.1086183228552362</v>
      </c>
      <c r="Q217" s="4" t="str">
        <f t="shared" si="31"/>
        <v>OVER</v>
      </c>
      <c r="R217" s="4" t="str">
        <f t="shared" si="31"/>
        <v>OVER</v>
      </c>
      <c r="S217" s="4" t="str">
        <f t="shared" si="29"/>
        <v>UNDER</v>
      </c>
      <c r="T217" s="4" t="str">
        <f t="shared" si="29"/>
        <v>UNDER</v>
      </c>
      <c r="U217" s="2">
        <f>IF(Q217="OVER",$J217,$K217)</f>
        <v>84.601438278776371</v>
      </c>
      <c r="V217" s="2">
        <f>IF(R217="OVER",$J217,$K217)</f>
        <v>84.601438278776371</v>
      </c>
      <c r="W217" s="2">
        <f>IF(S217="OVER",$J217,$K217)</f>
        <v>-84.601438278776371</v>
      </c>
      <c r="X217" s="2">
        <f>IF(T217="OVER",$J217,$K217)</f>
        <v>-84.601438278776371</v>
      </c>
      <c r="Y217" s="9">
        <f t="shared" si="30"/>
        <v>-5474.0640982629675</v>
      </c>
      <c r="Z217" s="9">
        <f t="shared" si="30"/>
        <v>-8920.5015479824542</v>
      </c>
      <c r="AA217" s="9">
        <f t="shared" si="30"/>
        <v>14404.433109422091</v>
      </c>
      <c r="AB217" s="9">
        <f t="shared" si="30"/>
        <v>-262.5335850420139</v>
      </c>
    </row>
    <row r="218" spans="1:28" x14ac:dyDescent="0.3">
      <c r="A218" s="1">
        <v>44727</v>
      </c>
      <c r="B218" s="2">
        <v>65.209999999999994</v>
      </c>
      <c r="C218" s="2">
        <v>70.5</v>
      </c>
      <c r="D218" s="9">
        <f>B218-B217</f>
        <v>1.2299999999999969</v>
      </c>
      <c r="E218" s="9">
        <f>C218-C217</f>
        <v>1.6200000000000045</v>
      </c>
      <c r="F218" s="3">
        <f>F$1/B218</f>
        <v>1533.5071308081583</v>
      </c>
      <c r="G218" s="3">
        <f>F$1/C218</f>
        <v>1418.4397163120568</v>
      </c>
      <c r="H218" s="2">
        <f>D218*F217</f>
        <v>1922.4757736792699</v>
      </c>
      <c r="I218" s="2">
        <f>E218*G217</f>
        <v>2351.9163763066272</v>
      </c>
      <c r="J218" s="2">
        <f>I218-H218</f>
        <v>429.44060262735729</v>
      </c>
      <c r="K218" s="2">
        <f t="shared" si="26"/>
        <v>-429.44060262735729</v>
      </c>
      <c r="L218" s="14">
        <f>C218/B218</f>
        <v>1.0811225272197518</v>
      </c>
      <c r="M218" s="14">
        <f t="shared" si="28"/>
        <v>1.0763769009358415</v>
      </c>
      <c r="N218" s="14">
        <f t="shared" si="32"/>
        <v>1.0762929182653076</v>
      </c>
      <c r="O218" s="14">
        <f t="shared" si="25"/>
        <v>1.0792920204443011</v>
      </c>
      <c r="P218" s="14">
        <f t="shared" si="27"/>
        <v>1.1081885968870036</v>
      </c>
      <c r="Q218" s="4" t="str">
        <f t="shared" si="31"/>
        <v>OVER</v>
      </c>
      <c r="R218" s="4" t="str">
        <f t="shared" si="31"/>
        <v>OVER</v>
      </c>
      <c r="S218" s="4" t="str">
        <f t="shared" si="29"/>
        <v>OVER</v>
      </c>
      <c r="T218" s="4" t="str">
        <f t="shared" si="29"/>
        <v>UNDER</v>
      </c>
      <c r="U218" s="2">
        <f>IF(Q218="OVER",$J218,$K218)</f>
        <v>429.44060262735729</v>
      </c>
      <c r="V218" s="2">
        <f>IF(R218="OVER",$J218,$K218)</f>
        <v>429.44060262735729</v>
      </c>
      <c r="W218" s="2">
        <f>IF(S218="OVER",$J218,$K218)</f>
        <v>429.44060262735729</v>
      </c>
      <c r="X218" s="2">
        <f>IF(T218="OVER",$J218,$K218)</f>
        <v>-429.44060262735729</v>
      </c>
      <c r="Y218" s="9">
        <f t="shared" si="30"/>
        <v>-5044.6234956356102</v>
      </c>
      <c r="Z218" s="9">
        <f t="shared" si="30"/>
        <v>-8491.0609453550969</v>
      </c>
      <c r="AA218" s="9">
        <f t="shared" si="30"/>
        <v>14833.873712049448</v>
      </c>
      <c r="AB218" s="9">
        <f t="shared" si="30"/>
        <v>-691.97418766937119</v>
      </c>
    </row>
    <row r="219" spans="1:28" x14ac:dyDescent="0.3">
      <c r="A219" s="1">
        <v>44728</v>
      </c>
      <c r="B219" s="2">
        <v>63.06</v>
      </c>
      <c r="C219" s="2">
        <v>68.08</v>
      </c>
      <c r="D219" s="9">
        <f>B219-B218</f>
        <v>-2.1499999999999915</v>
      </c>
      <c r="E219" s="9">
        <f>C219-C218</f>
        <v>-2.4200000000000017</v>
      </c>
      <c r="F219" s="3">
        <f>F$1/B219</f>
        <v>1585.7913098636218</v>
      </c>
      <c r="G219" s="3">
        <f>F$1/C219</f>
        <v>1468.8601645123385</v>
      </c>
      <c r="H219" s="2">
        <f>D219*F218</f>
        <v>-3297.0403312375274</v>
      </c>
      <c r="I219" s="2">
        <f>E219*G218</f>
        <v>-3432.6241134751799</v>
      </c>
      <c r="J219" s="2">
        <f>I219-H219</f>
        <v>-135.58378223765249</v>
      </c>
      <c r="K219" s="2">
        <f t="shared" si="26"/>
        <v>135.58378223765249</v>
      </c>
      <c r="L219" s="14">
        <f>C219/B219</f>
        <v>1.0796067237551537</v>
      </c>
      <c r="M219" s="14">
        <f t="shared" si="28"/>
        <v>1.0767583225908957</v>
      </c>
      <c r="N219" s="14">
        <f t="shared" si="32"/>
        <v>1.0761596623655485</v>
      </c>
      <c r="O219" s="14">
        <f t="shared" si="25"/>
        <v>1.0791738172841547</v>
      </c>
      <c r="P219" s="14">
        <f t="shared" si="27"/>
        <v>1.1077552045501831</v>
      </c>
      <c r="Q219" s="4" t="str">
        <f t="shared" si="31"/>
        <v>OVER</v>
      </c>
      <c r="R219" s="4" t="str">
        <f t="shared" si="31"/>
        <v>OVER</v>
      </c>
      <c r="S219" s="4" t="str">
        <f t="shared" si="29"/>
        <v>OVER</v>
      </c>
      <c r="T219" s="4" t="str">
        <f t="shared" si="29"/>
        <v>UNDER</v>
      </c>
      <c r="U219" s="2">
        <f>IF(Q219="OVER",$J219,$K219)</f>
        <v>-135.58378223765249</v>
      </c>
      <c r="V219" s="2">
        <f>IF(R219="OVER",$J219,$K219)</f>
        <v>-135.58378223765249</v>
      </c>
      <c r="W219" s="2">
        <f>IF(S219="OVER",$J219,$K219)</f>
        <v>-135.58378223765249</v>
      </c>
      <c r="X219" s="2">
        <f>IF(T219="OVER",$J219,$K219)</f>
        <v>135.58378223765249</v>
      </c>
      <c r="Y219" s="9">
        <f t="shared" si="30"/>
        <v>-5180.2072778732627</v>
      </c>
      <c r="Z219" s="9">
        <f t="shared" si="30"/>
        <v>-8626.6447275927494</v>
      </c>
      <c r="AA219" s="9">
        <f t="shared" si="30"/>
        <v>14698.289929811795</v>
      </c>
      <c r="AB219" s="9">
        <f t="shared" si="30"/>
        <v>-556.3904054317187</v>
      </c>
    </row>
    <row r="220" spans="1:28" x14ac:dyDescent="0.3">
      <c r="A220" s="1">
        <v>44729</v>
      </c>
      <c r="B220" s="2">
        <v>63.26</v>
      </c>
      <c r="C220" s="2">
        <v>68.260000000000005</v>
      </c>
      <c r="D220" s="9">
        <f>B220-B219</f>
        <v>0.19999999999999574</v>
      </c>
      <c r="E220" s="9">
        <f>C220-C219</f>
        <v>0.18000000000000682</v>
      </c>
      <c r="F220" s="3">
        <f>F$1/B220</f>
        <v>1580.7777426493835</v>
      </c>
      <c r="G220" s="3">
        <f>F$1/C220</f>
        <v>1464.9868151186638</v>
      </c>
      <c r="H220" s="2">
        <f>D220*F219</f>
        <v>317.15826197271758</v>
      </c>
      <c r="I220" s="2">
        <f>E220*G219</f>
        <v>264.39482961223098</v>
      </c>
      <c r="J220" s="2">
        <f>I220-H220</f>
        <v>-52.763432360486604</v>
      </c>
      <c r="K220" s="2">
        <f t="shared" si="26"/>
        <v>52.763432360486604</v>
      </c>
      <c r="L220" s="14">
        <f>C220/B220</f>
        <v>1.0790388871324692</v>
      </c>
      <c r="M220" s="14">
        <f t="shared" si="28"/>
        <v>1.0771723916415481</v>
      </c>
      <c r="N220" s="14">
        <f t="shared" si="32"/>
        <v>1.0761350160859178</v>
      </c>
      <c r="O220" s="14">
        <f t="shared" si="25"/>
        <v>1.0791263510536782</v>
      </c>
      <c r="P220" s="14">
        <f t="shared" si="27"/>
        <v>1.1073071969817461</v>
      </c>
      <c r="Q220" s="4" t="str">
        <f t="shared" si="31"/>
        <v>OVER</v>
      </c>
      <c r="R220" s="4" t="str">
        <f t="shared" si="31"/>
        <v>OVER</v>
      </c>
      <c r="S220" s="4" t="str">
        <f t="shared" si="29"/>
        <v>UNDER</v>
      </c>
      <c r="T220" s="4" t="str">
        <f t="shared" si="29"/>
        <v>UNDER</v>
      </c>
      <c r="U220" s="2">
        <f>IF(Q220="OVER",$J220,$K220)</f>
        <v>-52.763432360486604</v>
      </c>
      <c r="V220" s="2">
        <f>IF(R220="OVER",$J220,$K220)</f>
        <v>-52.763432360486604</v>
      </c>
      <c r="W220" s="2">
        <f>IF(S220="OVER",$J220,$K220)</f>
        <v>52.763432360486604</v>
      </c>
      <c r="X220" s="2">
        <f>IF(T220="OVER",$J220,$K220)</f>
        <v>52.763432360486604</v>
      </c>
      <c r="Y220" s="9">
        <f t="shared" si="30"/>
        <v>-5232.9707102337488</v>
      </c>
      <c r="Z220" s="9">
        <f t="shared" si="30"/>
        <v>-8679.4081599532365</v>
      </c>
      <c r="AA220" s="9">
        <f t="shared" si="30"/>
        <v>14751.053362172283</v>
      </c>
      <c r="AB220" s="9">
        <f t="shared" si="30"/>
        <v>-503.6269730712321</v>
      </c>
    </row>
    <row r="221" spans="1:28" x14ac:dyDescent="0.3">
      <c r="A221" s="1">
        <v>44733</v>
      </c>
      <c r="B221" s="2">
        <v>64.209999999999994</v>
      </c>
      <c r="C221" s="2">
        <v>69.61</v>
      </c>
      <c r="D221" s="9">
        <f>B221-B220</f>
        <v>0.94999999999999574</v>
      </c>
      <c r="E221" s="9">
        <f>C221-C220</f>
        <v>1.3499999999999943</v>
      </c>
      <c r="F221" s="3">
        <f>F$1/B221</f>
        <v>1557.3898146706122</v>
      </c>
      <c r="G221" s="3">
        <f>F$1/C221</f>
        <v>1436.5752047119668</v>
      </c>
      <c r="H221" s="2">
        <f>D221*F220</f>
        <v>1501.7388555169075</v>
      </c>
      <c r="I221" s="2">
        <f>E221*G220</f>
        <v>1977.7322004101877</v>
      </c>
      <c r="J221" s="2">
        <f>I221-H221</f>
        <v>475.99334489328021</v>
      </c>
      <c r="K221" s="2">
        <f t="shared" si="26"/>
        <v>-475.99334489328021</v>
      </c>
      <c r="L221" s="14">
        <f>C221/B221</f>
        <v>1.0840990499922132</v>
      </c>
      <c r="M221" s="14">
        <f t="shared" si="28"/>
        <v>1.0779212403436136</v>
      </c>
      <c r="N221" s="14">
        <f t="shared" si="32"/>
        <v>1.07640872792783</v>
      </c>
      <c r="O221" s="14">
        <f t="shared" si="25"/>
        <v>1.0792173030297756</v>
      </c>
      <c r="P221" s="14">
        <f t="shared" si="27"/>
        <v>1.106885563074971</v>
      </c>
      <c r="Q221" s="4" t="str">
        <f t="shared" si="31"/>
        <v>OVER</v>
      </c>
      <c r="R221" s="4" t="str">
        <f t="shared" si="31"/>
        <v>OVER</v>
      </c>
      <c r="S221" s="4" t="str">
        <f t="shared" si="29"/>
        <v>OVER</v>
      </c>
      <c r="T221" s="4" t="str">
        <f t="shared" si="29"/>
        <v>UNDER</v>
      </c>
      <c r="U221" s="2">
        <f>IF(Q221="OVER",$J221,$K221)</f>
        <v>475.99334489328021</v>
      </c>
      <c r="V221" s="2">
        <f>IF(R221="OVER",$J221,$K221)</f>
        <v>475.99334489328021</v>
      </c>
      <c r="W221" s="2">
        <f>IF(S221="OVER",$J221,$K221)</f>
        <v>475.99334489328021</v>
      </c>
      <c r="X221" s="2">
        <f>IF(T221="OVER",$J221,$K221)</f>
        <v>-475.99334489328021</v>
      </c>
      <c r="Y221" s="9">
        <f t="shared" si="30"/>
        <v>-4756.9773653404682</v>
      </c>
      <c r="Z221" s="9">
        <f t="shared" si="30"/>
        <v>-8203.4148150599558</v>
      </c>
      <c r="AA221" s="9">
        <f t="shared" si="30"/>
        <v>15227.046707065563</v>
      </c>
      <c r="AB221" s="9">
        <f t="shared" si="30"/>
        <v>-979.62031796451231</v>
      </c>
    </row>
    <row r="222" spans="1:28" x14ac:dyDescent="0.3">
      <c r="A222" s="1">
        <v>44734</v>
      </c>
      <c r="B222" s="2">
        <v>64.37</v>
      </c>
      <c r="C222" s="2">
        <v>69.489999999999995</v>
      </c>
      <c r="D222" s="9">
        <f>B222-B221</f>
        <v>0.1600000000000108</v>
      </c>
      <c r="E222" s="9">
        <f>C222-C221</f>
        <v>-0.12000000000000455</v>
      </c>
      <c r="F222" s="3">
        <f>F$1/B222</f>
        <v>1553.5187199005748</v>
      </c>
      <c r="G222" s="3">
        <f>F$1/C222</f>
        <v>1439.0559792775939</v>
      </c>
      <c r="H222" s="2">
        <f>D222*F221</f>
        <v>249.18237034731476</v>
      </c>
      <c r="I222" s="2">
        <f>E222*G221</f>
        <v>-172.38902456544255</v>
      </c>
      <c r="J222" s="2">
        <f>I222-H222</f>
        <v>-421.57139491275734</v>
      </c>
      <c r="K222" s="2">
        <f t="shared" si="26"/>
        <v>421.57139491275734</v>
      </c>
      <c r="L222" s="14">
        <f>C222/B222</f>
        <v>1.0795401584589093</v>
      </c>
      <c r="M222" s="14">
        <f t="shared" si="28"/>
        <v>1.0784950231295132</v>
      </c>
      <c r="N222" s="14">
        <f t="shared" si="32"/>
        <v>1.0766974550655282</v>
      </c>
      <c r="O222" s="14">
        <f t="shared" si="25"/>
        <v>1.079205559104234</v>
      </c>
      <c r="P222" s="14">
        <f t="shared" si="27"/>
        <v>1.1064566032154106</v>
      </c>
      <c r="Q222" s="4" t="str">
        <f t="shared" si="31"/>
        <v>OVER</v>
      </c>
      <c r="R222" s="4" t="str">
        <f t="shared" si="31"/>
        <v>OVER</v>
      </c>
      <c r="S222" s="4" t="str">
        <f t="shared" si="29"/>
        <v>OVER</v>
      </c>
      <c r="T222" s="4" t="str">
        <f t="shared" si="29"/>
        <v>UNDER</v>
      </c>
      <c r="U222" s="2">
        <f>IF(Q222="OVER",$J222,$K222)</f>
        <v>-421.57139491275734</v>
      </c>
      <c r="V222" s="2">
        <f>IF(R222="OVER",$J222,$K222)</f>
        <v>-421.57139491275734</v>
      </c>
      <c r="W222" s="2">
        <f>IF(S222="OVER",$J222,$K222)</f>
        <v>-421.57139491275734</v>
      </c>
      <c r="X222" s="2">
        <f>IF(T222="OVER",$J222,$K222)</f>
        <v>421.57139491275734</v>
      </c>
      <c r="Y222" s="9">
        <f t="shared" si="30"/>
        <v>-5178.5487602532257</v>
      </c>
      <c r="Z222" s="9">
        <f t="shared" si="30"/>
        <v>-8624.9862099727125</v>
      </c>
      <c r="AA222" s="9">
        <f t="shared" si="30"/>
        <v>14805.475312152807</v>
      </c>
      <c r="AB222" s="9">
        <f t="shared" si="30"/>
        <v>-558.04892305175497</v>
      </c>
    </row>
    <row r="223" spans="1:28" x14ac:dyDescent="0.3">
      <c r="A223" s="1">
        <v>44735</v>
      </c>
      <c r="B223" s="2">
        <v>65.02</v>
      </c>
      <c r="C223" s="2">
        <v>70.09</v>
      </c>
      <c r="D223" s="9">
        <f>B223-B222</f>
        <v>0.64999999999999147</v>
      </c>
      <c r="E223" s="9">
        <f>C223-C222</f>
        <v>0.60000000000000853</v>
      </c>
      <c r="F223" s="3">
        <f>F$1/B223</f>
        <v>1537.9883112888342</v>
      </c>
      <c r="G223" s="3">
        <f>F$1/C223</f>
        <v>1426.7370523612497</v>
      </c>
      <c r="H223" s="2">
        <f>D223*F222</f>
        <v>1009.7871679353603</v>
      </c>
      <c r="I223" s="2">
        <f>E223*G222</f>
        <v>863.43358756656858</v>
      </c>
      <c r="J223" s="2">
        <f>I223-H223</f>
        <v>-146.35358036879177</v>
      </c>
      <c r="K223" s="2">
        <f t="shared" si="26"/>
        <v>146.35358036879177</v>
      </c>
      <c r="L223" s="14">
        <f>C223/B223</f>
        <v>1.0779760073823441</v>
      </c>
      <c r="M223" s="14">
        <f t="shared" si="28"/>
        <v>1.0788381309466266</v>
      </c>
      <c r="N223" s="14">
        <f t="shared" si="32"/>
        <v>1.076640511269747</v>
      </c>
      <c r="O223" s="14">
        <f t="shared" si="25"/>
        <v>1.079020489350732</v>
      </c>
      <c r="P223" s="14">
        <f t="shared" si="27"/>
        <v>1.1060055947663749</v>
      </c>
      <c r="Q223" s="4" t="str">
        <f t="shared" si="31"/>
        <v>OVER</v>
      </c>
      <c r="R223" s="4" t="str">
        <f t="shared" si="31"/>
        <v>OVER</v>
      </c>
      <c r="S223" s="4" t="str">
        <f t="shared" si="29"/>
        <v>UNDER</v>
      </c>
      <c r="T223" s="4" t="str">
        <f t="shared" si="29"/>
        <v>UNDER</v>
      </c>
      <c r="U223" s="2">
        <f>IF(Q223="OVER",$J223,$K223)</f>
        <v>-146.35358036879177</v>
      </c>
      <c r="V223" s="2">
        <f>IF(R223="OVER",$J223,$K223)</f>
        <v>-146.35358036879177</v>
      </c>
      <c r="W223" s="2">
        <f>IF(S223="OVER",$J223,$K223)</f>
        <v>146.35358036879177</v>
      </c>
      <c r="X223" s="2">
        <f>IF(T223="OVER",$J223,$K223)</f>
        <v>146.35358036879177</v>
      </c>
      <c r="Y223" s="9">
        <f t="shared" si="30"/>
        <v>-5324.9023406220176</v>
      </c>
      <c r="Z223" s="9">
        <f t="shared" si="30"/>
        <v>-8771.3397903415043</v>
      </c>
      <c r="AA223" s="9">
        <f t="shared" si="30"/>
        <v>14951.828892521598</v>
      </c>
      <c r="AB223" s="9">
        <f t="shared" si="30"/>
        <v>-411.6953426829632</v>
      </c>
    </row>
    <row r="224" spans="1:28" x14ac:dyDescent="0.3">
      <c r="A224" s="1">
        <v>44736</v>
      </c>
      <c r="B224" s="2">
        <v>66.06</v>
      </c>
      <c r="C224" s="2">
        <v>71.36</v>
      </c>
      <c r="D224" s="9">
        <f>B224-B223</f>
        <v>1.0400000000000063</v>
      </c>
      <c r="E224" s="9">
        <f>C224-C223</f>
        <v>1.269999999999996</v>
      </c>
      <c r="F224" s="3">
        <f>F$1/B224</f>
        <v>1513.7753557372087</v>
      </c>
      <c r="G224" s="3">
        <f>F$1/C224</f>
        <v>1401.3452914798206</v>
      </c>
      <c r="H224" s="2">
        <f>D224*F223</f>
        <v>1599.5078437403972</v>
      </c>
      <c r="I224" s="2">
        <f>E224*G223</f>
        <v>1811.9560564987814</v>
      </c>
      <c r="J224" s="2">
        <f>I224-H224</f>
        <v>212.44821275838422</v>
      </c>
      <c r="K224" s="2">
        <f t="shared" si="26"/>
        <v>-212.44821275838422</v>
      </c>
      <c r="L224" s="14">
        <f>C224/B224</f>
        <v>1.0802300938540721</v>
      </c>
      <c r="M224" s="14">
        <f t="shared" si="28"/>
        <v>1.0793109277532329</v>
      </c>
      <c r="N224" s="14">
        <f t="shared" si="32"/>
        <v>1.0770575873268358</v>
      </c>
      <c r="O224" s="14">
        <f t="shared" si="25"/>
        <v>1.0789201206238581</v>
      </c>
      <c r="P224" s="14">
        <f t="shared" si="27"/>
        <v>1.1055832895711821</v>
      </c>
      <c r="Q224" s="4" t="str">
        <f t="shared" si="31"/>
        <v>UNDER</v>
      </c>
      <c r="R224" s="4" t="str">
        <f t="shared" si="31"/>
        <v>OVER</v>
      </c>
      <c r="S224" s="4" t="str">
        <f t="shared" si="29"/>
        <v>OVER</v>
      </c>
      <c r="T224" s="4" t="str">
        <f t="shared" si="29"/>
        <v>UNDER</v>
      </c>
      <c r="U224" s="2">
        <f>IF(Q224="OVER",$J224,$K224)</f>
        <v>-212.44821275838422</v>
      </c>
      <c r="V224" s="2">
        <f>IF(R224="OVER",$J224,$K224)</f>
        <v>212.44821275838422</v>
      </c>
      <c r="W224" s="2">
        <f>IF(S224="OVER",$J224,$K224)</f>
        <v>212.44821275838422</v>
      </c>
      <c r="X224" s="2">
        <f>IF(T224="OVER",$J224,$K224)</f>
        <v>-212.44821275838422</v>
      </c>
      <c r="Y224" s="9">
        <f t="shared" si="30"/>
        <v>-5537.3505533804018</v>
      </c>
      <c r="Z224" s="9">
        <f t="shared" si="30"/>
        <v>-8558.8915775831192</v>
      </c>
      <c r="AA224" s="9">
        <f t="shared" si="30"/>
        <v>15164.277105279984</v>
      </c>
      <c r="AB224" s="9">
        <f t="shared" si="30"/>
        <v>-624.14355544134742</v>
      </c>
    </row>
    <row r="225" spans="1:28" x14ac:dyDescent="0.3">
      <c r="A225" s="1">
        <v>44739</v>
      </c>
      <c r="B225" s="2">
        <v>66.13</v>
      </c>
      <c r="C225" s="2">
        <v>71.11</v>
      </c>
      <c r="D225" s="9">
        <f>B225-B224</f>
        <v>6.9999999999993179E-2</v>
      </c>
      <c r="E225" s="9">
        <f>C225-C224</f>
        <v>-0.25</v>
      </c>
      <c r="F225" s="3">
        <f>F$1/B225</f>
        <v>1512.1729925903524</v>
      </c>
      <c r="G225" s="3">
        <f>F$1/C225</f>
        <v>1406.2719729995781</v>
      </c>
      <c r="H225" s="2">
        <f>D225*F224</f>
        <v>105.96427490159428</v>
      </c>
      <c r="I225" s="2">
        <f>E225*G224</f>
        <v>-350.33632286995515</v>
      </c>
      <c r="J225" s="2">
        <f>I225-H225</f>
        <v>-456.30059777154941</v>
      </c>
      <c r="K225" s="2">
        <f t="shared" si="26"/>
        <v>456.30059777154941</v>
      </c>
      <c r="L225" s="14">
        <f>C225/B225</f>
        <v>1.0753062150309995</v>
      </c>
      <c r="M225" s="14">
        <f t="shared" si="28"/>
        <v>1.0789180928353432</v>
      </c>
      <c r="N225" s="14">
        <f t="shared" si="32"/>
        <v>1.0770797005493373</v>
      </c>
      <c r="O225" s="14">
        <f t="shared" si="25"/>
        <v>1.0786965151947485</v>
      </c>
      <c r="P225" s="14">
        <f t="shared" si="27"/>
        <v>1.1051318133420687</v>
      </c>
      <c r="Q225" s="4" t="str">
        <f t="shared" si="31"/>
        <v>OVER</v>
      </c>
      <c r="R225" s="4" t="str">
        <f t="shared" si="31"/>
        <v>OVER</v>
      </c>
      <c r="S225" s="4" t="str">
        <f t="shared" si="29"/>
        <v>UNDER</v>
      </c>
      <c r="T225" s="4" t="str">
        <f t="shared" si="29"/>
        <v>UNDER</v>
      </c>
      <c r="U225" s="2">
        <f>IF(Q225="OVER",$J225,$K225)</f>
        <v>-456.30059777154941</v>
      </c>
      <c r="V225" s="2">
        <f>IF(R225="OVER",$J225,$K225)</f>
        <v>-456.30059777154941</v>
      </c>
      <c r="W225" s="2">
        <f>IF(S225="OVER",$J225,$K225)</f>
        <v>456.30059777154941</v>
      </c>
      <c r="X225" s="2">
        <f>IF(T225="OVER",$J225,$K225)</f>
        <v>456.30059777154941</v>
      </c>
      <c r="Y225" s="9">
        <f t="shared" si="30"/>
        <v>-5993.6511511519511</v>
      </c>
      <c r="Z225" s="9">
        <f t="shared" si="30"/>
        <v>-9015.1921753546685</v>
      </c>
      <c r="AA225" s="9">
        <f t="shared" si="30"/>
        <v>15620.577703051533</v>
      </c>
      <c r="AB225" s="9">
        <f t="shared" si="30"/>
        <v>-167.84295766979801</v>
      </c>
    </row>
    <row r="226" spans="1:28" x14ac:dyDescent="0.3">
      <c r="A226" s="1">
        <v>44740</v>
      </c>
      <c r="B226" s="2">
        <v>65.239999999999995</v>
      </c>
      <c r="C226" s="2">
        <v>70.180000000000007</v>
      </c>
      <c r="D226" s="9">
        <f>B226-B225</f>
        <v>-0.89000000000000057</v>
      </c>
      <c r="E226" s="9">
        <f>C226-C225</f>
        <v>-0.92999999999999261</v>
      </c>
      <c r="F226" s="3">
        <f>F$1/B226</f>
        <v>1532.8019619865115</v>
      </c>
      <c r="G226" s="3">
        <f>F$1/C226</f>
        <v>1424.9073810202335</v>
      </c>
      <c r="H226" s="2">
        <f>D226*F225</f>
        <v>-1345.8339634054144</v>
      </c>
      <c r="I226" s="2">
        <f>E226*G225</f>
        <v>-1307.8329348895973</v>
      </c>
      <c r="J226" s="2">
        <f>I226-H226</f>
        <v>38.001028515817097</v>
      </c>
      <c r="K226" s="2">
        <f t="shared" si="26"/>
        <v>-38.001028515817097</v>
      </c>
      <c r="L226" s="14">
        <f>C226/B226</f>
        <v>1.0757204169221339</v>
      </c>
      <c r="M226" s="14">
        <f t="shared" si="28"/>
        <v>1.0789226513008441</v>
      </c>
      <c r="N226" s="14">
        <f t="shared" si="32"/>
        <v>1.0771068664005043</v>
      </c>
      <c r="O226" s="14">
        <f t="shared" si="25"/>
        <v>1.0784882957959647</v>
      </c>
      <c r="P226" s="14">
        <f t="shared" si="27"/>
        <v>1.1046773691527099</v>
      </c>
      <c r="Q226" s="4" t="str">
        <f t="shared" si="31"/>
        <v>UNDER</v>
      </c>
      <c r="R226" s="4" t="str">
        <f t="shared" si="31"/>
        <v>UNDER</v>
      </c>
      <c r="S226" s="4" t="str">
        <f t="shared" si="29"/>
        <v>UNDER</v>
      </c>
      <c r="T226" s="4" t="str">
        <f t="shared" si="29"/>
        <v>UNDER</v>
      </c>
      <c r="U226" s="2">
        <f>IF(Q226="OVER",$J226,$K226)</f>
        <v>-38.001028515817097</v>
      </c>
      <c r="V226" s="2">
        <f>IF(R226="OVER",$J226,$K226)</f>
        <v>-38.001028515817097</v>
      </c>
      <c r="W226" s="2">
        <f>IF(S226="OVER",$J226,$K226)</f>
        <v>-38.001028515817097</v>
      </c>
      <c r="X226" s="2">
        <f>IF(T226="OVER",$J226,$K226)</f>
        <v>-38.001028515817097</v>
      </c>
      <c r="Y226" s="9">
        <f t="shared" si="30"/>
        <v>-6031.652179667768</v>
      </c>
      <c r="Z226" s="9">
        <f t="shared" si="30"/>
        <v>-9053.1932038704854</v>
      </c>
      <c r="AA226" s="9">
        <f t="shared" si="30"/>
        <v>15582.576674535716</v>
      </c>
      <c r="AB226" s="9">
        <f t="shared" si="30"/>
        <v>-205.84398618561511</v>
      </c>
    </row>
    <row r="227" spans="1:28" x14ac:dyDescent="0.3">
      <c r="A227" s="1">
        <v>44741</v>
      </c>
      <c r="B227" s="2">
        <v>65.099999999999994</v>
      </c>
      <c r="C227" s="2">
        <v>70.02</v>
      </c>
      <c r="D227" s="9">
        <f>B227-B226</f>
        <v>-0.14000000000000057</v>
      </c>
      <c r="E227" s="9">
        <f>C227-C226</f>
        <v>-0.1600000000000108</v>
      </c>
      <c r="F227" s="3">
        <f>F$1/B227</f>
        <v>1536.0983102918588</v>
      </c>
      <c r="G227" s="3">
        <f>F$1/C227</f>
        <v>1428.1633818908883</v>
      </c>
      <c r="H227" s="2">
        <f>D227*F226</f>
        <v>-214.59227467811249</v>
      </c>
      <c r="I227" s="2">
        <f>E227*G226</f>
        <v>-227.98518096325276</v>
      </c>
      <c r="J227" s="2">
        <f>I227-H227</f>
        <v>-13.39290628514027</v>
      </c>
      <c r="K227" s="2">
        <f t="shared" si="26"/>
        <v>13.39290628514027</v>
      </c>
      <c r="L227" s="14">
        <f>C227/B227</f>
        <v>1.0755760368663594</v>
      </c>
      <c r="M227" s="14">
        <f t="shared" si="28"/>
        <v>1.0788216116614406</v>
      </c>
      <c r="N227" s="14">
        <f t="shared" si="32"/>
        <v>1.0772991703535268</v>
      </c>
      <c r="O227" s="14">
        <f t="shared" si="25"/>
        <v>1.0782825502500233</v>
      </c>
      <c r="P227" s="14">
        <f t="shared" si="27"/>
        <v>1.1042338740643978</v>
      </c>
      <c r="Q227" s="4" t="str">
        <f t="shared" si="31"/>
        <v>UNDER</v>
      </c>
      <c r="R227" s="4" t="str">
        <f t="shared" si="31"/>
        <v>UNDER</v>
      </c>
      <c r="S227" s="4" t="str">
        <f t="shared" si="29"/>
        <v>UNDER</v>
      </c>
      <c r="T227" s="4" t="str">
        <f t="shared" si="29"/>
        <v>UNDER</v>
      </c>
      <c r="U227" s="2">
        <f>IF(Q227="OVER",$J227,$K227)</f>
        <v>13.39290628514027</v>
      </c>
      <c r="V227" s="2">
        <f>IF(R227="OVER",$J227,$K227)</f>
        <v>13.39290628514027</v>
      </c>
      <c r="W227" s="2">
        <f>IF(S227="OVER",$J227,$K227)</f>
        <v>13.39290628514027</v>
      </c>
      <c r="X227" s="2">
        <f>IF(T227="OVER",$J227,$K227)</f>
        <v>13.39290628514027</v>
      </c>
      <c r="Y227" s="9">
        <f t="shared" si="30"/>
        <v>-6018.2592733826277</v>
      </c>
      <c r="Z227" s="9">
        <f t="shared" si="30"/>
        <v>-9039.8002975853451</v>
      </c>
      <c r="AA227" s="9">
        <f t="shared" si="30"/>
        <v>15595.969580820856</v>
      </c>
      <c r="AB227" s="9">
        <f t="shared" si="30"/>
        <v>-192.45107990047484</v>
      </c>
    </row>
    <row r="228" spans="1:28" x14ac:dyDescent="0.3">
      <c r="A228" s="1">
        <v>44742</v>
      </c>
      <c r="B228" s="2">
        <v>64.56</v>
      </c>
      <c r="C228" s="2">
        <v>69.36</v>
      </c>
      <c r="D228" s="9">
        <f>B228-B227</f>
        <v>-0.53999999999999204</v>
      </c>
      <c r="E228" s="9">
        <f>C228-C227</f>
        <v>-0.65999999999999659</v>
      </c>
      <c r="F228" s="3">
        <f>F$1/B228</f>
        <v>1548.9467162329615</v>
      </c>
      <c r="G228" s="3">
        <f>F$1/C228</f>
        <v>1441.753171856978</v>
      </c>
      <c r="H228" s="2">
        <f>D228*F227</f>
        <v>-829.49308755759148</v>
      </c>
      <c r="I228" s="2">
        <f>E228*G227</f>
        <v>-942.58783204798146</v>
      </c>
      <c r="J228" s="2">
        <f>I228-H228</f>
        <v>-113.09474449038999</v>
      </c>
      <c r="K228" s="2">
        <f t="shared" si="26"/>
        <v>113.09474449038999</v>
      </c>
      <c r="L228" s="14">
        <f>C228/B228</f>
        <v>1.0743494423791822</v>
      </c>
      <c r="M228" s="14">
        <f t="shared" si="28"/>
        <v>1.0781443031773836</v>
      </c>
      <c r="N228" s="14">
        <f t="shared" si="32"/>
        <v>1.0772606020566127</v>
      </c>
      <c r="O228" s="14">
        <f t="shared" si="25"/>
        <v>1.078052675624076</v>
      </c>
      <c r="P228" s="14">
        <f t="shared" si="27"/>
        <v>1.10377901302174</v>
      </c>
      <c r="Q228" s="4" t="str">
        <f t="shared" si="31"/>
        <v>UNDER</v>
      </c>
      <c r="R228" s="4" t="str">
        <f t="shared" si="31"/>
        <v>UNDER</v>
      </c>
      <c r="S228" s="4" t="str">
        <f t="shared" si="29"/>
        <v>UNDER</v>
      </c>
      <c r="T228" s="4" t="str">
        <f t="shared" si="29"/>
        <v>UNDER</v>
      </c>
      <c r="U228" s="2">
        <f>IF(Q228="OVER",$J228,$K228)</f>
        <v>113.09474449038999</v>
      </c>
      <c r="V228" s="2">
        <f>IF(R228="OVER",$J228,$K228)</f>
        <v>113.09474449038999</v>
      </c>
      <c r="W228" s="2">
        <f>IF(S228="OVER",$J228,$K228)</f>
        <v>113.09474449038999</v>
      </c>
      <c r="X228" s="2">
        <f>IF(T228="OVER",$J228,$K228)</f>
        <v>113.09474449038999</v>
      </c>
      <c r="Y228" s="9">
        <f t="shared" si="30"/>
        <v>-5905.1645288922373</v>
      </c>
      <c r="Z228" s="9">
        <f t="shared" si="30"/>
        <v>-8926.7055530949547</v>
      </c>
      <c r="AA228" s="9">
        <f t="shared" si="30"/>
        <v>15709.064325311247</v>
      </c>
      <c r="AB228" s="9">
        <f t="shared" si="30"/>
        <v>-79.356335410084853</v>
      </c>
    </row>
    <row r="229" spans="1:28" x14ac:dyDescent="0.3">
      <c r="A229" s="1">
        <v>44743</v>
      </c>
      <c r="B229" s="2">
        <v>64.790000000000006</v>
      </c>
      <c r="C229" s="2">
        <v>69.540000000000006</v>
      </c>
      <c r="D229" s="9">
        <f>B229-B228</f>
        <v>0.23000000000000398</v>
      </c>
      <c r="E229" s="9">
        <f>C229-C228</f>
        <v>0.18000000000000682</v>
      </c>
      <c r="F229" s="3">
        <f>F$1/B229</f>
        <v>1543.4480629726809</v>
      </c>
      <c r="G229" s="3">
        <f>F$1/C229</f>
        <v>1438.021282714984</v>
      </c>
      <c r="H229" s="2">
        <f>D229*F228</f>
        <v>356.25774473358734</v>
      </c>
      <c r="I229" s="2">
        <f>E229*G228</f>
        <v>259.5155709342659</v>
      </c>
      <c r="J229" s="2">
        <f>I229-H229</f>
        <v>-96.742173799321449</v>
      </c>
      <c r="K229" s="2">
        <f t="shared" si="26"/>
        <v>96.742173799321449</v>
      </c>
      <c r="L229" s="14">
        <f>C229/B229</f>
        <v>1.0733137829912023</v>
      </c>
      <c r="M229" s="14">
        <f t="shared" si="28"/>
        <v>1.0775150091009884</v>
      </c>
      <c r="N229" s="14">
        <f t="shared" si="32"/>
        <v>1.0771366658459423</v>
      </c>
      <c r="O229" s="14">
        <f t="shared" si="25"/>
        <v>1.0777856357830309</v>
      </c>
      <c r="P229" s="14">
        <f t="shared" si="27"/>
        <v>1.1033225720720481</v>
      </c>
      <c r="Q229" s="4" t="str">
        <f t="shared" si="31"/>
        <v>UNDER</v>
      </c>
      <c r="R229" s="4" t="str">
        <f t="shared" si="31"/>
        <v>UNDER</v>
      </c>
      <c r="S229" s="4" t="str">
        <f t="shared" si="29"/>
        <v>UNDER</v>
      </c>
      <c r="T229" s="4" t="str">
        <f t="shared" si="29"/>
        <v>UNDER</v>
      </c>
      <c r="U229" s="2">
        <f>IF(Q229="OVER",$J229,$K229)</f>
        <v>96.742173799321449</v>
      </c>
      <c r="V229" s="2">
        <f>IF(R229="OVER",$J229,$K229)</f>
        <v>96.742173799321449</v>
      </c>
      <c r="W229" s="2">
        <f>IF(S229="OVER",$J229,$K229)</f>
        <v>96.742173799321449</v>
      </c>
      <c r="X229" s="2">
        <f>IF(T229="OVER",$J229,$K229)</f>
        <v>96.742173799321449</v>
      </c>
      <c r="Y229" s="9">
        <f t="shared" si="30"/>
        <v>-5808.4223550929155</v>
      </c>
      <c r="Z229" s="9">
        <f t="shared" si="30"/>
        <v>-8829.9633792956338</v>
      </c>
      <c r="AA229" s="9">
        <f t="shared" si="30"/>
        <v>15805.806499110568</v>
      </c>
      <c r="AB229" s="9">
        <f t="shared" si="30"/>
        <v>17.385838389236596</v>
      </c>
    </row>
    <row r="230" spans="1:28" x14ac:dyDescent="0.3">
      <c r="A230" s="1">
        <v>44747</v>
      </c>
      <c r="B230" s="2">
        <v>65.180000000000007</v>
      </c>
      <c r="C230" s="2">
        <v>70.05</v>
      </c>
      <c r="D230" s="9">
        <f>B230-B229</f>
        <v>0.39000000000000057</v>
      </c>
      <c r="E230" s="9">
        <f>C230-C229</f>
        <v>0.50999999999999091</v>
      </c>
      <c r="F230" s="3">
        <f>F$1/B230</f>
        <v>1534.2129487572874</v>
      </c>
      <c r="G230" s="3">
        <f>F$1/C230</f>
        <v>1427.5517487508923</v>
      </c>
      <c r="H230" s="2">
        <f>D230*F229</f>
        <v>601.94474455934642</v>
      </c>
      <c r="I230" s="2">
        <f>E230*G229</f>
        <v>733.39085418462878</v>
      </c>
      <c r="J230" s="2">
        <f>I230-H230</f>
        <v>131.44610962528236</v>
      </c>
      <c r="K230" s="2">
        <f t="shared" si="26"/>
        <v>-131.44610962528236</v>
      </c>
      <c r="L230" s="14">
        <f>C230/B230</f>
        <v>1.0747161706044797</v>
      </c>
      <c r="M230" s="14">
        <f t="shared" si="28"/>
        <v>1.0770827374481895</v>
      </c>
      <c r="N230" s="14">
        <f t="shared" si="32"/>
        <v>1.077127564544869</v>
      </c>
      <c r="O230" s="14">
        <f t="shared" si="25"/>
        <v>1.0776234758278429</v>
      </c>
      <c r="P230" s="14">
        <f t="shared" si="27"/>
        <v>1.1028682549962456</v>
      </c>
      <c r="Q230" s="4" t="str">
        <f t="shared" si="31"/>
        <v>UNDER</v>
      </c>
      <c r="R230" s="4" t="str">
        <f t="shared" si="31"/>
        <v>UNDER</v>
      </c>
      <c r="S230" s="4" t="str">
        <f t="shared" si="29"/>
        <v>UNDER</v>
      </c>
      <c r="T230" s="4" t="str">
        <f t="shared" si="29"/>
        <v>UNDER</v>
      </c>
      <c r="U230" s="2">
        <f>IF(Q230="OVER",$J230,$K230)</f>
        <v>-131.44610962528236</v>
      </c>
      <c r="V230" s="2">
        <f>IF(R230="OVER",$J230,$K230)</f>
        <v>-131.44610962528236</v>
      </c>
      <c r="W230" s="2">
        <f>IF(S230="OVER",$J230,$K230)</f>
        <v>-131.44610962528236</v>
      </c>
      <c r="X230" s="2">
        <f>IF(T230="OVER",$J230,$K230)</f>
        <v>-131.44610962528236</v>
      </c>
      <c r="Y230" s="9">
        <f t="shared" si="30"/>
        <v>-5939.8684647181981</v>
      </c>
      <c r="Z230" s="9">
        <f t="shared" si="30"/>
        <v>-8961.4094889209155</v>
      </c>
      <c r="AA230" s="9">
        <f t="shared" si="30"/>
        <v>15674.360389485286</v>
      </c>
      <c r="AB230" s="9">
        <f t="shared" si="30"/>
        <v>-114.06027123604576</v>
      </c>
    </row>
    <row r="231" spans="1:28" x14ac:dyDescent="0.3">
      <c r="A231" s="1">
        <v>44748</v>
      </c>
      <c r="B231" s="2">
        <v>64.94</v>
      </c>
      <c r="C231" s="2">
        <v>70.02</v>
      </c>
      <c r="D231" s="9">
        <f>B231-B230</f>
        <v>-0.24000000000000909</v>
      </c>
      <c r="E231" s="9">
        <f>C231-C230</f>
        <v>-3.0000000000001137E-2</v>
      </c>
      <c r="F231" s="3">
        <f>F$1/B231</f>
        <v>1539.882968894364</v>
      </c>
      <c r="G231" s="3">
        <f>F$1/C231</f>
        <v>1428.1633818908883</v>
      </c>
      <c r="H231" s="2">
        <f>D231*F230</f>
        <v>-368.21110770176296</v>
      </c>
      <c r="I231" s="2">
        <f>E231*G230</f>
        <v>-42.82655246252839</v>
      </c>
      <c r="J231" s="2">
        <f>I231-H231</f>
        <v>325.38455523923454</v>
      </c>
      <c r="K231" s="2">
        <f t="shared" si="26"/>
        <v>-325.38455523923454</v>
      </c>
      <c r="L231" s="14">
        <f>C231/B231</f>
        <v>1.0782260548198337</v>
      </c>
      <c r="M231" s="14">
        <f t="shared" si="28"/>
        <v>1.0764954379309517</v>
      </c>
      <c r="N231" s="14">
        <f t="shared" si="32"/>
        <v>1.0772083391372826</v>
      </c>
      <c r="O231" s="14">
        <f t="shared" si="25"/>
        <v>1.0775534875526851</v>
      </c>
      <c r="P231" s="14">
        <f t="shared" si="27"/>
        <v>1.1024306244107198</v>
      </c>
      <c r="Q231" s="4" t="str">
        <f t="shared" si="31"/>
        <v>UNDER</v>
      </c>
      <c r="R231" s="4" t="str">
        <f t="shared" si="31"/>
        <v>UNDER</v>
      </c>
      <c r="S231" s="4" t="str">
        <f t="shared" si="29"/>
        <v>OVER</v>
      </c>
      <c r="T231" s="4" t="str">
        <f t="shared" si="29"/>
        <v>UNDER</v>
      </c>
      <c r="U231" s="2">
        <f>IF(Q231="OVER",$J231,$K231)</f>
        <v>-325.38455523923454</v>
      </c>
      <c r="V231" s="2">
        <f>IF(R231="OVER",$J231,$K231)</f>
        <v>-325.38455523923454</v>
      </c>
      <c r="W231" s="2">
        <f>IF(S231="OVER",$J231,$K231)</f>
        <v>325.38455523923454</v>
      </c>
      <c r="X231" s="2">
        <f>IF(T231="OVER",$J231,$K231)</f>
        <v>-325.38455523923454</v>
      </c>
      <c r="Y231" s="9">
        <f t="shared" si="30"/>
        <v>-6265.253019957433</v>
      </c>
      <c r="Z231" s="9">
        <f t="shared" si="30"/>
        <v>-9286.7940441601495</v>
      </c>
      <c r="AA231" s="9">
        <f t="shared" si="30"/>
        <v>15999.74494472452</v>
      </c>
      <c r="AB231" s="9">
        <f t="shared" si="30"/>
        <v>-439.44482647528031</v>
      </c>
    </row>
    <row r="232" spans="1:28" x14ac:dyDescent="0.3">
      <c r="A232" s="1">
        <v>44749</v>
      </c>
      <c r="B232" s="2">
        <v>65.75</v>
      </c>
      <c r="C232" s="2">
        <v>70.86</v>
      </c>
      <c r="D232" s="9">
        <f>B232-B231</f>
        <v>0.81000000000000227</v>
      </c>
      <c r="E232" s="9">
        <f>C232-C231</f>
        <v>0.84000000000000341</v>
      </c>
      <c r="F232" s="3">
        <f>F$1/B232</f>
        <v>1520.9125475285171</v>
      </c>
      <c r="G232" s="3">
        <f>F$1/C232</f>
        <v>1411.2334180073385</v>
      </c>
      <c r="H232" s="2">
        <f>D232*F231</f>
        <v>1247.3052048044383</v>
      </c>
      <c r="I232" s="2">
        <f>E232*G231</f>
        <v>1199.6572407883511</v>
      </c>
      <c r="J232" s="2">
        <f>I232-H232</f>
        <v>-47.647964016087144</v>
      </c>
      <c r="K232" s="2">
        <f t="shared" si="26"/>
        <v>47.647964016087144</v>
      </c>
      <c r="L232" s="14">
        <f>C232/B232</f>
        <v>1.0777186311787073</v>
      </c>
      <c r="M232" s="14">
        <f t="shared" si="28"/>
        <v>1.0763132852029313</v>
      </c>
      <c r="N232" s="14">
        <f t="shared" si="32"/>
        <v>1.0774041541662223</v>
      </c>
      <c r="O232" s="14">
        <f t="shared" si="25"/>
        <v>1.0773856608070009</v>
      </c>
      <c r="P232" s="14">
        <f t="shared" si="27"/>
        <v>1.1019833724472068</v>
      </c>
      <c r="Q232" s="4" t="str">
        <f t="shared" si="31"/>
        <v>OVER</v>
      </c>
      <c r="R232" s="4" t="str">
        <f t="shared" si="31"/>
        <v>OVER</v>
      </c>
      <c r="S232" s="4" t="str">
        <f t="shared" si="29"/>
        <v>OVER</v>
      </c>
      <c r="T232" s="4" t="str">
        <f t="shared" si="29"/>
        <v>UNDER</v>
      </c>
      <c r="U232" s="2">
        <f>IF(Q232="OVER",$J232,$K232)</f>
        <v>-47.647964016087144</v>
      </c>
      <c r="V232" s="2">
        <f>IF(R232="OVER",$J232,$K232)</f>
        <v>-47.647964016087144</v>
      </c>
      <c r="W232" s="2">
        <f>IF(S232="OVER",$J232,$K232)</f>
        <v>-47.647964016087144</v>
      </c>
      <c r="X232" s="2">
        <f>IF(T232="OVER",$J232,$K232)</f>
        <v>47.647964016087144</v>
      </c>
      <c r="Y232" s="9">
        <f t="shared" si="30"/>
        <v>-6312.9009839735199</v>
      </c>
      <c r="Z232" s="9">
        <f t="shared" si="30"/>
        <v>-9334.4420081762364</v>
      </c>
      <c r="AA232" s="9">
        <f t="shared" si="30"/>
        <v>15952.096980708433</v>
      </c>
      <c r="AB232" s="9">
        <f t="shared" si="30"/>
        <v>-391.79686245919316</v>
      </c>
    </row>
    <row r="233" spans="1:28" x14ac:dyDescent="0.3">
      <c r="A233" s="1">
        <v>44750</v>
      </c>
      <c r="B233" s="2">
        <v>65.900000000000006</v>
      </c>
      <c r="C233" s="2">
        <v>70.89</v>
      </c>
      <c r="D233" s="9">
        <f>B233-B232</f>
        <v>0.15000000000000568</v>
      </c>
      <c r="E233" s="9">
        <f>C233-C232</f>
        <v>3.0000000000001137E-2</v>
      </c>
      <c r="F233" s="3">
        <f>F$1/B233</f>
        <v>1517.4506828528072</v>
      </c>
      <c r="G233" s="3">
        <f>F$1/C233</f>
        <v>1410.636196924813</v>
      </c>
      <c r="H233" s="2">
        <f>D233*F232</f>
        <v>228.13688212928619</v>
      </c>
      <c r="I233" s="2">
        <f>E233*G232</f>
        <v>42.337002540221761</v>
      </c>
      <c r="J233" s="2">
        <f>I233-H233</f>
        <v>-185.79987958906443</v>
      </c>
      <c r="K233" s="2">
        <f t="shared" si="26"/>
        <v>185.79987958906443</v>
      </c>
      <c r="L233" s="14">
        <f>C233/B233</f>
        <v>1.075720789074355</v>
      </c>
      <c r="M233" s="14">
        <f t="shared" si="28"/>
        <v>1.0760877633721324</v>
      </c>
      <c r="N233" s="14">
        <f t="shared" si="32"/>
        <v>1.0774629471593797</v>
      </c>
      <c r="O233" s="14">
        <f t="shared" si="25"/>
        <v>1.0771607029866983</v>
      </c>
      <c r="P233" s="14">
        <f t="shared" si="27"/>
        <v>1.1015265216367351</v>
      </c>
      <c r="Q233" s="4" t="str">
        <f t="shared" si="31"/>
        <v>OVER</v>
      </c>
      <c r="R233" s="4" t="str">
        <f t="shared" si="31"/>
        <v>OVER</v>
      </c>
      <c r="S233" s="4" t="str">
        <f t="shared" si="29"/>
        <v>UNDER</v>
      </c>
      <c r="T233" s="4" t="str">
        <f t="shared" si="29"/>
        <v>UNDER</v>
      </c>
      <c r="U233" s="2">
        <f>IF(Q233="OVER",$J233,$K233)</f>
        <v>-185.79987958906443</v>
      </c>
      <c r="V233" s="2">
        <f>IF(R233="OVER",$J233,$K233)</f>
        <v>-185.79987958906443</v>
      </c>
      <c r="W233" s="2">
        <f>IF(S233="OVER",$J233,$K233)</f>
        <v>185.79987958906443</v>
      </c>
      <c r="X233" s="2">
        <f>IF(T233="OVER",$J233,$K233)</f>
        <v>185.79987958906443</v>
      </c>
      <c r="Y233" s="9">
        <f t="shared" si="30"/>
        <v>-6498.7008635625843</v>
      </c>
      <c r="Z233" s="9">
        <f t="shared" si="30"/>
        <v>-9520.2418877653017</v>
      </c>
      <c r="AA233" s="9">
        <f t="shared" si="30"/>
        <v>16137.896860297498</v>
      </c>
      <c r="AB233" s="9">
        <f t="shared" si="30"/>
        <v>-205.99698287012873</v>
      </c>
    </row>
    <row r="234" spans="1:28" x14ac:dyDescent="0.3">
      <c r="A234" s="1">
        <v>44753</v>
      </c>
      <c r="B234" s="2">
        <v>65.19</v>
      </c>
      <c r="C234" s="2">
        <v>70.2</v>
      </c>
      <c r="D234" s="9">
        <f>B234-B233</f>
        <v>-0.71000000000000796</v>
      </c>
      <c r="E234" s="9">
        <f>C234-C233</f>
        <v>-0.68999999999999773</v>
      </c>
      <c r="F234" s="3">
        <f>F$1/B234</f>
        <v>1533.9776039269827</v>
      </c>
      <c r="G234" s="3">
        <f>F$1/C234</f>
        <v>1424.5014245014245</v>
      </c>
      <c r="H234" s="2">
        <f>D234*F233</f>
        <v>-1077.3899848255053</v>
      </c>
      <c r="I234" s="2">
        <f>E234*G233</f>
        <v>-973.33897587811782</v>
      </c>
      <c r="J234" s="2">
        <f>I234-H234</f>
        <v>104.05100894738746</v>
      </c>
      <c r="K234" s="2">
        <f t="shared" si="26"/>
        <v>-104.05100894738746</v>
      </c>
      <c r="L234" s="14">
        <f>C234/B234</f>
        <v>1.076852277956742</v>
      </c>
      <c r="M234" s="14">
        <f t="shared" si="28"/>
        <v>1.0757499817823994</v>
      </c>
      <c r="N234" s="14">
        <f t="shared" si="32"/>
        <v>1.0775304547678162</v>
      </c>
      <c r="O234" s="14">
        <f t="shared" si="25"/>
        <v>1.0769660617650303</v>
      </c>
      <c r="P234" s="14">
        <f t="shared" si="27"/>
        <v>1.1010694258509111</v>
      </c>
      <c r="Q234" s="4" t="str">
        <f t="shared" si="31"/>
        <v>UNDER</v>
      </c>
      <c r="R234" s="4" t="str">
        <f t="shared" si="31"/>
        <v>UNDER</v>
      </c>
      <c r="S234" s="4" t="str">
        <f t="shared" si="29"/>
        <v>UNDER</v>
      </c>
      <c r="T234" s="4" t="str">
        <f t="shared" si="29"/>
        <v>UNDER</v>
      </c>
      <c r="U234" s="2">
        <f>IF(Q234="OVER",$J234,$K234)</f>
        <v>-104.05100894738746</v>
      </c>
      <c r="V234" s="2">
        <f>IF(R234="OVER",$J234,$K234)</f>
        <v>-104.05100894738746</v>
      </c>
      <c r="W234" s="2">
        <f>IF(S234="OVER",$J234,$K234)</f>
        <v>-104.05100894738746</v>
      </c>
      <c r="X234" s="2">
        <f>IF(T234="OVER",$J234,$K234)</f>
        <v>-104.05100894738746</v>
      </c>
      <c r="Y234" s="9">
        <f t="shared" si="30"/>
        <v>-6602.7518725099717</v>
      </c>
      <c r="Z234" s="9">
        <f t="shared" si="30"/>
        <v>-9624.29289671269</v>
      </c>
      <c r="AA234" s="9">
        <f t="shared" si="30"/>
        <v>16033.84585135011</v>
      </c>
      <c r="AB234" s="9">
        <f t="shared" si="30"/>
        <v>-310.04799181751616</v>
      </c>
    </row>
    <row r="235" spans="1:28" x14ac:dyDescent="0.3">
      <c r="A235" s="1">
        <v>44754</v>
      </c>
      <c r="B235" s="2">
        <v>64.930000000000007</v>
      </c>
      <c r="C235" s="2">
        <v>69.959999999999994</v>
      </c>
      <c r="D235" s="9">
        <f>B235-B234</f>
        <v>-0.25999999999999091</v>
      </c>
      <c r="E235" s="9">
        <f>C235-C234</f>
        <v>-0.24000000000000909</v>
      </c>
      <c r="F235" s="3">
        <f>F$1/B235</f>
        <v>1540.1201293700908</v>
      </c>
      <c r="G235" s="3">
        <f>F$1/C235</f>
        <v>1429.3882218410522</v>
      </c>
      <c r="H235" s="2">
        <f>D235*F234</f>
        <v>-398.83417702100155</v>
      </c>
      <c r="I235" s="2">
        <f>E235*G234</f>
        <v>-341.88034188035482</v>
      </c>
      <c r="J235" s="2">
        <f>I235-H235</f>
        <v>56.953835140646731</v>
      </c>
      <c r="K235" s="2">
        <f t="shared" si="26"/>
        <v>-56.953835140646731</v>
      </c>
      <c r="L235" s="14">
        <f>C235/B235</f>
        <v>1.0774680425073153</v>
      </c>
      <c r="M235" s="14">
        <f t="shared" si="28"/>
        <v>1.0759661645300311</v>
      </c>
      <c r="N235" s="14">
        <f t="shared" si="32"/>
        <v>1.0774421286826872</v>
      </c>
      <c r="O235" s="14">
        <f t="shared" si="25"/>
        <v>1.0768536109908182</v>
      </c>
      <c r="P235" s="14">
        <f t="shared" si="27"/>
        <v>1.100614618900932</v>
      </c>
      <c r="Q235" s="4" t="str">
        <f t="shared" si="31"/>
        <v>OVER</v>
      </c>
      <c r="R235" s="4" t="str">
        <f t="shared" si="31"/>
        <v>UNDER</v>
      </c>
      <c r="S235" s="4" t="str">
        <f t="shared" si="29"/>
        <v>OVER</v>
      </c>
      <c r="T235" s="4" t="str">
        <f t="shared" si="29"/>
        <v>UNDER</v>
      </c>
      <c r="U235" s="2">
        <f>IF(Q235="OVER",$J235,$K235)</f>
        <v>56.953835140646731</v>
      </c>
      <c r="V235" s="2">
        <f>IF(R235="OVER",$J235,$K235)</f>
        <v>-56.953835140646731</v>
      </c>
      <c r="W235" s="2">
        <f>IF(S235="OVER",$J235,$K235)</f>
        <v>56.953835140646731</v>
      </c>
      <c r="X235" s="2">
        <f>IF(T235="OVER",$J235,$K235)</f>
        <v>-56.953835140646731</v>
      </c>
      <c r="Y235" s="9">
        <f t="shared" si="30"/>
        <v>-6545.7980373693254</v>
      </c>
      <c r="Z235" s="9">
        <f t="shared" si="30"/>
        <v>-9681.2467318533363</v>
      </c>
      <c r="AA235" s="9">
        <f t="shared" si="30"/>
        <v>16090.799686490756</v>
      </c>
      <c r="AB235" s="9">
        <f t="shared" si="30"/>
        <v>-367.00182695816289</v>
      </c>
    </row>
    <row r="236" spans="1:28" x14ac:dyDescent="0.3">
      <c r="A236" s="1">
        <v>44755</v>
      </c>
      <c r="B236" s="2">
        <v>64.69</v>
      </c>
      <c r="C236" s="2">
        <v>69.709999999999994</v>
      </c>
      <c r="D236" s="9">
        <f>B236-B235</f>
        <v>-0.24000000000000909</v>
      </c>
      <c r="E236" s="9">
        <f>C236-C235</f>
        <v>-0.25</v>
      </c>
      <c r="F236" s="3">
        <f>F$1/B236</f>
        <v>1545.833977430824</v>
      </c>
      <c r="G236" s="3">
        <f>F$1/C236</f>
        <v>1434.5144168698896</v>
      </c>
      <c r="H236" s="2">
        <f>D236*F235</f>
        <v>-369.62883104883582</v>
      </c>
      <c r="I236" s="2">
        <f>E236*G235</f>
        <v>-357.34705546026305</v>
      </c>
      <c r="J236" s="2">
        <f>I236-H236</f>
        <v>12.281775588572771</v>
      </c>
      <c r="K236" s="2">
        <f t="shared" si="26"/>
        <v>-12.281775588572771</v>
      </c>
      <c r="L236" s="14">
        <f>C236/B236</f>
        <v>1.0776008656670273</v>
      </c>
      <c r="M236" s="14">
        <f t="shared" si="28"/>
        <v>1.0761542094045204</v>
      </c>
      <c r="N236" s="14">
        <f t="shared" si="32"/>
        <v>1.0775384303526825</v>
      </c>
      <c r="O236" s="14">
        <f t="shared" si="25"/>
        <v>1.0766715242579159</v>
      </c>
      <c r="P236" s="14">
        <f t="shared" si="27"/>
        <v>1.1001542971076548</v>
      </c>
      <c r="Q236" s="4" t="str">
        <f t="shared" si="31"/>
        <v>OVER</v>
      </c>
      <c r="R236" s="4" t="str">
        <f t="shared" si="31"/>
        <v>OVER</v>
      </c>
      <c r="S236" s="4" t="str">
        <f t="shared" si="29"/>
        <v>OVER</v>
      </c>
      <c r="T236" s="4" t="str">
        <f t="shared" si="29"/>
        <v>UNDER</v>
      </c>
      <c r="U236" s="2">
        <f>IF(Q236="OVER",$J236,$K236)</f>
        <v>12.281775588572771</v>
      </c>
      <c r="V236" s="2">
        <f>IF(R236="OVER",$J236,$K236)</f>
        <v>12.281775588572771</v>
      </c>
      <c r="W236" s="2">
        <f>IF(S236="OVER",$J236,$K236)</f>
        <v>12.281775588572771</v>
      </c>
      <c r="X236" s="2">
        <f>IF(T236="OVER",$J236,$K236)</f>
        <v>-12.281775588572771</v>
      </c>
      <c r="Y236" s="9">
        <f t="shared" si="30"/>
        <v>-6533.5162617807528</v>
      </c>
      <c r="Z236" s="9">
        <f t="shared" si="30"/>
        <v>-9668.9649562647628</v>
      </c>
      <c r="AA236" s="9">
        <f t="shared" si="30"/>
        <v>16103.08146207933</v>
      </c>
      <c r="AB236" s="9">
        <f t="shared" si="30"/>
        <v>-379.28360254673566</v>
      </c>
    </row>
    <row r="237" spans="1:28" x14ac:dyDescent="0.3">
      <c r="A237" s="1">
        <v>44756</v>
      </c>
      <c r="B237" s="2">
        <v>64.739999999999995</v>
      </c>
      <c r="C237" s="2">
        <v>69.62</v>
      </c>
      <c r="D237" s="9">
        <f>B237-B236</f>
        <v>4.9999999999997158E-2</v>
      </c>
      <c r="E237" s="9">
        <f>C237-C236</f>
        <v>-8.99999999999892E-2</v>
      </c>
      <c r="F237" s="3">
        <f>F$1/B237</f>
        <v>1544.6400988569665</v>
      </c>
      <c r="G237" s="3">
        <f>F$1/C237</f>
        <v>1436.3688595231254</v>
      </c>
      <c r="H237" s="2">
        <f>D237*F236</f>
        <v>77.291698871536809</v>
      </c>
      <c r="I237" s="2">
        <f>E237*G236</f>
        <v>-129.10629751827457</v>
      </c>
      <c r="J237" s="2">
        <f>I237-H237</f>
        <v>-206.3979963898114</v>
      </c>
      <c r="K237" s="2">
        <f t="shared" si="26"/>
        <v>206.3979963898114</v>
      </c>
      <c r="L237" s="14">
        <f>C237/B237</f>
        <v>1.0753784368242201</v>
      </c>
      <c r="M237" s="14">
        <f t="shared" si="28"/>
        <v>1.0761344494003064</v>
      </c>
      <c r="N237" s="14">
        <f t="shared" si="32"/>
        <v>1.0774780305308735</v>
      </c>
      <c r="O237" s="14">
        <f t="shared" si="25"/>
        <v>1.0763632181882536</v>
      </c>
      <c r="P237" s="14">
        <f t="shared" si="27"/>
        <v>1.0996720552805797</v>
      </c>
      <c r="Q237" s="4" t="str">
        <f t="shared" si="31"/>
        <v>OVER</v>
      </c>
      <c r="R237" s="4" t="str">
        <f t="shared" si="31"/>
        <v>OVER</v>
      </c>
      <c r="S237" s="4" t="str">
        <f t="shared" si="29"/>
        <v>UNDER</v>
      </c>
      <c r="T237" s="4" t="str">
        <f t="shared" si="29"/>
        <v>UNDER</v>
      </c>
      <c r="U237" s="2">
        <f>IF(Q237="OVER",$J237,$K237)</f>
        <v>-206.3979963898114</v>
      </c>
      <c r="V237" s="2">
        <f>IF(R237="OVER",$J237,$K237)</f>
        <v>-206.3979963898114</v>
      </c>
      <c r="W237" s="2">
        <f>IF(S237="OVER",$J237,$K237)</f>
        <v>206.3979963898114</v>
      </c>
      <c r="X237" s="2">
        <f>IF(T237="OVER",$J237,$K237)</f>
        <v>206.3979963898114</v>
      </c>
      <c r="Y237" s="9">
        <f t="shared" si="30"/>
        <v>-6739.9142581705637</v>
      </c>
      <c r="Z237" s="9">
        <f t="shared" si="30"/>
        <v>-9875.3629526545737</v>
      </c>
      <c r="AA237" s="9">
        <f t="shared" si="30"/>
        <v>16309.479458469141</v>
      </c>
      <c r="AB237" s="9">
        <f t="shared" si="30"/>
        <v>-172.88560615692427</v>
      </c>
    </row>
    <row r="238" spans="1:28" x14ac:dyDescent="0.3">
      <c r="A238" s="1">
        <v>44757</v>
      </c>
      <c r="B238" s="2">
        <v>65.13</v>
      </c>
      <c r="C238" s="2">
        <v>70.12</v>
      </c>
      <c r="D238" s="9">
        <f>B238-B237</f>
        <v>0.39000000000000057</v>
      </c>
      <c r="E238" s="9">
        <f>C238-C237</f>
        <v>0.5</v>
      </c>
      <c r="F238" s="3">
        <f>F$1/B238</f>
        <v>1535.3907569476432</v>
      </c>
      <c r="G238" s="3">
        <f>F$1/C238</f>
        <v>1426.1266400456359</v>
      </c>
      <c r="H238" s="2">
        <f>D238*F237</f>
        <v>602.40963855421785</v>
      </c>
      <c r="I238" s="2">
        <f>E238*G237</f>
        <v>718.18442976156268</v>
      </c>
      <c r="J238" s="2">
        <f>I238-H238</f>
        <v>115.77479120734483</v>
      </c>
      <c r="K238" s="2">
        <f t="shared" si="26"/>
        <v>-115.77479120734483</v>
      </c>
      <c r="L238" s="14">
        <f>C238/B238</f>
        <v>1.0766159987716875</v>
      </c>
      <c r="M238" s="14">
        <f t="shared" si="28"/>
        <v>1.076361105039557</v>
      </c>
      <c r="N238" s="14">
        <f t="shared" si="32"/>
        <v>1.0772527041084703</v>
      </c>
      <c r="O238" s="14">
        <f t="shared" si="25"/>
        <v>1.0761609303481123</v>
      </c>
      <c r="P238" s="14">
        <f t="shared" si="27"/>
        <v>1.0992003247788114</v>
      </c>
      <c r="Q238" s="4" t="str">
        <f t="shared" si="31"/>
        <v>UNDER</v>
      </c>
      <c r="R238" s="4" t="str">
        <f t="shared" si="31"/>
        <v>UNDER</v>
      </c>
      <c r="S238" s="4" t="str">
        <f t="shared" si="29"/>
        <v>OVER</v>
      </c>
      <c r="T238" s="4" t="str">
        <f t="shared" si="29"/>
        <v>UNDER</v>
      </c>
      <c r="U238" s="2">
        <f>IF(Q238="OVER",$J238,$K238)</f>
        <v>-115.77479120734483</v>
      </c>
      <c r="V238" s="2">
        <f>IF(R238="OVER",$J238,$K238)</f>
        <v>-115.77479120734483</v>
      </c>
      <c r="W238" s="2">
        <f>IF(S238="OVER",$J238,$K238)</f>
        <v>115.77479120734483</v>
      </c>
      <c r="X238" s="2">
        <f>IF(T238="OVER",$J238,$K238)</f>
        <v>-115.77479120734483</v>
      </c>
      <c r="Y238" s="9">
        <f t="shared" si="30"/>
        <v>-6855.6890493779083</v>
      </c>
      <c r="Z238" s="9">
        <f t="shared" si="30"/>
        <v>-9991.1377438619184</v>
      </c>
      <c r="AA238" s="9">
        <f t="shared" si="30"/>
        <v>16425.254249676487</v>
      </c>
      <c r="AB238" s="9">
        <f t="shared" si="30"/>
        <v>-288.6603973642691</v>
      </c>
    </row>
    <row r="239" spans="1:28" x14ac:dyDescent="0.3">
      <c r="A239" s="1">
        <v>44760</v>
      </c>
      <c r="B239" s="2">
        <v>65.3</v>
      </c>
      <c r="C239" s="2">
        <v>70.34</v>
      </c>
      <c r="D239" s="9">
        <f>B239-B238</f>
        <v>0.17000000000000171</v>
      </c>
      <c r="E239" s="9">
        <f>C239-C238</f>
        <v>0.21999999999999886</v>
      </c>
      <c r="F239" s="3">
        <f>F$1/B239</f>
        <v>1531.3935681470139</v>
      </c>
      <c r="G239" s="3">
        <f>F$1/C239</f>
        <v>1421.6661927779357</v>
      </c>
      <c r="H239" s="2">
        <f>D239*F238</f>
        <v>261.01642868110196</v>
      </c>
      <c r="I239" s="2">
        <f>E239*G238</f>
        <v>313.74786081003828</v>
      </c>
      <c r="J239" s="2">
        <f>I239-H239</f>
        <v>52.731432128936319</v>
      </c>
      <c r="K239" s="2">
        <f t="shared" si="26"/>
        <v>-52.731432128936319</v>
      </c>
      <c r="L239" s="14">
        <f>C239/B239</f>
        <v>1.0771822358346097</v>
      </c>
      <c r="M239" s="14">
        <f t="shared" si="28"/>
        <v>1.0767479503238977</v>
      </c>
      <c r="N239" s="14">
        <f t="shared" si="32"/>
        <v>1.0771314797124429</v>
      </c>
      <c r="O239" s="14">
        <f t="shared" si="25"/>
        <v>1.0760524614126907</v>
      </c>
      <c r="P239" s="14">
        <f t="shared" si="27"/>
        <v>1.0987466531128942</v>
      </c>
      <c r="Q239" s="4" t="str">
        <f t="shared" si="31"/>
        <v>OVER</v>
      </c>
      <c r="R239" s="4" t="str">
        <f t="shared" si="31"/>
        <v>UNDER</v>
      </c>
      <c r="S239" s="4" t="str">
        <f t="shared" si="29"/>
        <v>OVER</v>
      </c>
      <c r="T239" s="4" t="str">
        <f t="shared" si="29"/>
        <v>UNDER</v>
      </c>
      <c r="U239" s="2">
        <f>IF(Q239="OVER",$J239,$K239)</f>
        <v>52.731432128936319</v>
      </c>
      <c r="V239" s="2">
        <f>IF(R239="OVER",$J239,$K239)</f>
        <v>-52.731432128936319</v>
      </c>
      <c r="W239" s="2">
        <f>IF(S239="OVER",$J239,$K239)</f>
        <v>52.731432128936319</v>
      </c>
      <c r="X239" s="2">
        <f>IF(T239="OVER",$J239,$K239)</f>
        <v>-52.731432128936319</v>
      </c>
      <c r="Y239" s="9">
        <f t="shared" si="30"/>
        <v>-6802.9576172489724</v>
      </c>
      <c r="Z239" s="9">
        <f t="shared" si="30"/>
        <v>-10043.869175990854</v>
      </c>
      <c r="AA239" s="9">
        <f t="shared" si="30"/>
        <v>16477.985681805425</v>
      </c>
      <c r="AB239" s="9">
        <f t="shared" si="30"/>
        <v>-341.39182949320542</v>
      </c>
    </row>
    <row r="240" spans="1:28" x14ac:dyDescent="0.3">
      <c r="A240" s="1">
        <v>44761</v>
      </c>
      <c r="B240" s="2">
        <v>66.25</v>
      </c>
      <c r="C240" s="2">
        <v>71.19</v>
      </c>
      <c r="D240" s="9">
        <f>B240-B239</f>
        <v>0.95000000000000284</v>
      </c>
      <c r="E240" s="9">
        <f>C240-C239</f>
        <v>0.84999999999999432</v>
      </c>
      <c r="F240" s="3">
        <f>F$1/B240</f>
        <v>1509.433962264151</v>
      </c>
      <c r="G240" s="3">
        <f>F$1/C240</f>
        <v>1404.691670178396</v>
      </c>
      <c r="H240" s="2">
        <f>D240*F239</f>
        <v>1454.8238897396675</v>
      </c>
      <c r="I240" s="2">
        <f>E240*G239</f>
        <v>1208.4162638612372</v>
      </c>
      <c r="J240" s="2">
        <f>I240-H240</f>
        <v>-246.40762587843028</v>
      </c>
      <c r="K240" s="2">
        <f t="shared" si="26"/>
        <v>246.40762587843028</v>
      </c>
      <c r="L240" s="14">
        <f>C240/B240</f>
        <v>1.074566037735849</v>
      </c>
      <c r="M240" s="14">
        <f t="shared" si="28"/>
        <v>1.0767329370370347</v>
      </c>
      <c r="N240" s="14">
        <f t="shared" si="32"/>
        <v>1.076907837242612</v>
      </c>
      <c r="O240" s="14">
        <f t="shared" si="25"/>
        <v>1.075865939393831</v>
      </c>
      <c r="P240" s="14">
        <f t="shared" si="27"/>
        <v>1.0982764838873964</v>
      </c>
      <c r="Q240" s="4" t="str">
        <f t="shared" si="31"/>
        <v>OVER</v>
      </c>
      <c r="R240" s="4" t="str">
        <f t="shared" si="31"/>
        <v>OVER</v>
      </c>
      <c r="S240" s="4" t="str">
        <f t="shared" si="29"/>
        <v>UNDER</v>
      </c>
      <c r="T240" s="4" t="str">
        <f t="shared" si="29"/>
        <v>UNDER</v>
      </c>
      <c r="U240" s="2">
        <f>IF(Q240="OVER",$J240,$K240)</f>
        <v>-246.40762587843028</v>
      </c>
      <c r="V240" s="2">
        <f>IF(R240="OVER",$J240,$K240)</f>
        <v>-246.40762587843028</v>
      </c>
      <c r="W240" s="2">
        <f>IF(S240="OVER",$J240,$K240)</f>
        <v>246.40762587843028</v>
      </c>
      <c r="X240" s="2">
        <f>IF(T240="OVER",$J240,$K240)</f>
        <v>246.40762587843028</v>
      </c>
      <c r="Y240" s="9">
        <f t="shared" si="30"/>
        <v>-7049.3652431274022</v>
      </c>
      <c r="Z240" s="9">
        <f t="shared" si="30"/>
        <v>-10290.276801869284</v>
      </c>
      <c r="AA240" s="9">
        <f t="shared" si="30"/>
        <v>16724.393307683855</v>
      </c>
      <c r="AB240" s="9">
        <f t="shared" si="30"/>
        <v>-94.98420361477514</v>
      </c>
    </row>
    <row r="241" spans="1:28" x14ac:dyDescent="0.3">
      <c r="A241" s="1">
        <v>44762</v>
      </c>
      <c r="B241" s="2">
        <v>66.989999999999995</v>
      </c>
      <c r="C241" s="2">
        <v>72.010000000000005</v>
      </c>
      <c r="D241" s="9">
        <f>B241-B240</f>
        <v>0.73999999999999488</v>
      </c>
      <c r="E241" s="9">
        <f>C241-C240</f>
        <v>0.82000000000000739</v>
      </c>
      <c r="F241" s="3">
        <f>F$1/B241</f>
        <v>1492.7601134497688</v>
      </c>
      <c r="G241" s="3">
        <f>F$1/C241</f>
        <v>1388.6960144424384</v>
      </c>
      <c r="H241" s="2">
        <f>D241*F240</f>
        <v>1116.9811320754641</v>
      </c>
      <c r="I241" s="2">
        <f>E241*G240</f>
        <v>1151.8471695462952</v>
      </c>
      <c r="J241" s="2">
        <f>I241-H241</f>
        <v>34.866037470831088</v>
      </c>
      <c r="K241" s="2">
        <f t="shared" si="26"/>
        <v>-34.866037470831088</v>
      </c>
      <c r="L241" s="14">
        <f>C241/B241</f>
        <v>1.0749365576951786</v>
      </c>
      <c r="M241" s="14">
        <f t="shared" si="28"/>
        <v>1.0764039873245692</v>
      </c>
      <c r="N241" s="14">
        <f t="shared" si="32"/>
        <v>1.0764497126277601</v>
      </c>
      <c r="O241" s="14">
        <f t="shared" si="25"/>
        <v>1.0758132469567991</v>
      </c>
      <c r="P241" s="14">
        <f t="shared" si="27"/>
        <v>1.0977884947243686</v>
      </c>
      <c r="Q241" s="4" t="str">
        <f t="shared" si="31"/>
        <v>UNDER</v>
      </c>
      <c r="R241" s="4" t="str">
        <f t="shared" si="31"/>
        <v>UNDER</v>
      </c>
      <c r="S241" s="4" t="str">
        <f t="shared" si="29"/>
        <v>UNDER</v>
      </c>
      <c r="T241" s="4" t="str">
        <f t="shared" si="29"/>
        <v>UNDER</v>
      </c>
      <c r="U241" s="2">
        <f>IF(Q241="OVER",$J241,$K241)</f>
        <v>-34.866037470831088</v>
      </c>
      <c r="V241" s="2">
        <f>IF(R241="OVER",$J241,$K241)</f>
        <v>-34.866037470831088</v>
      </c>
      <c r="W241" s="2">
        <f>IF(S241="OVER",$J241,$K241)</f>
        <v>-34.866037470831088</v>
      </c>
      <c r="X241" s="2">
        <f>IF(T241="OVER",$J241,$K241)</f>
        <v>-34.866037470831088</v>
      </c>
      <c r="Y241" s="9">
        <f t="shared" si="30"/>
        <v>-7084.2312805982328</v>
      </c>
      <c r="Z241" s="9">
        <f t="shared" si="30"/>
        <v>-10325.142839340115</v>
      </c>
      <c r="AA241" s="9">
        <f t="shared" si="30"/>
        <v>16689.527270213024</v>
      </c>
      <c r="AB241" s="9">
        <f t="shared" si="30"/>
        <v>-129.85024108560623</v>
      </c>
    </row>
    <row r="242" spans="1:28" x14ac:dyDescent="0.3">
      <c r="A242" s="1">
        <v>44763</v>
      </c>
      <c r="B242" s="2">
        <v>67.23</v>
      </c>
      <c r="C242" s="2">
        <v>72.02</v>
      </c>
      <c r="D242" s="9">
        <f>B242-B241</f>
        <v>0.24000000000000909</v>
      </c>
      <c r="E242" s="9">
        <f>C242-C241</f>
        <v>9.9999999999909051E-3</v>
      </c>
      <c r="F242" s="3">
        <f>F$1/B242</f>
        <v>1487.4312063067082</v>
      </c>
      <c r="G242" s="3">
        <f>F$1/C242</f>
        <v>1388.5031935573452</v>
      </c>
      <c r="H242" s="2">
        <f>D242*F241</f>
        <v>358.26242722795809</v>
      </c>
      <c r="I242" s="2">
        <f>E242*G241</f>
        <v>13.886960144411754</v>
      </c>
      <c r="J242" s="2">
        <f>I242-H242</f>
        <v>-344.37546708354631</v>
      </c>
      <c r="K242" s="2">
        <f t="shared" si="26"/>
        <v>344.37546708354631</v>
      </c>
      <c r="L242" s="14">
        <f>C242/B242</f>
        <v>1.0712479547820912</v>
      </c>
      <c r="M242" s="14">
        <f t="shared" si="28"/>
        <v>1.0757569196849075</v>
      </c>
      <c r="N242" s="14">
        <f t="shared" si="32"/>
        <v>1.0760351024439194</v>
      </c>
      <c r="O242" s="14">
        <f t="shared" si="25"/>
        <v>1.0758512016803621</v>
      </c>
      <c r="P242" s="14">
        <f t="shared" si="27"/>
        <v>1.0972864593296996</v>
      </c>
      <c r="Q242" s="4" t="str">
        <f t="shared" si="31"/>
        <v>UNDER</v>
      </c>
      <c r="R242" s="4" t="str">
        <f t="shared" si="31"/>
        <v>UNDER</v>
      </c>
      <c r="S242" s="4" t="str">
        <f t="shared" si="29"/>
        <v>UNDER</v>
      </c>
      <c r="T242" s="4" t="str">
        <f t="shared" si="29"/>
        <v>UNDER</v>
      </c>
      <c r="U242" s="2">
        <f>IF(Q242="OVER",$J242,$K242)</f>
        <v>344.37546708354631</v>
      </c>
      <c r="V242" s="2">
        <f>IF(R242="OVER",$J242,$K242)</f>
        <v>344.37546708354631</v>
      </c>
      <c r="W242" s="2">
        <f>IF(S242="OVER",$J242,$K242)</f>
        <v>344.37546708354631</v>
      </c>
      <c r="X242" s="2">
        <f>IF(T242="OVER",$J242,$K242)</f>
        <v>344.37546708354631</v>
      </c>
      <c r="Y242" s="9">
        <f t="shared" si="30"/>
        <v>-6739.8558135146868</v>
      </c>
      <c r="Z242" s="9">
        <f t="shared" si="30"/>
        <v>-9980.7673722565687</v>
      </c>
      <c r="AA242" s="9">
        <f t="shared" si="30"/>
        <v>17033.902737296572</v>
      </c>
      <c r="AB242" s="9">
        <f t="shared" si="30"/>
        <v>214.52522599794008</v>
      </c>
    </row>
    <row r="243" spans="1:28" x14ac:dyDescent="0.3">
      <c r="A243" s="1">
        <v>44764</v>
      </c>
      <c r="B243" s="2">
        <v>66.739999999999995</v>
      </c>
      <c r="C243" s="2">
        <v>71.62</v>
      </c>
      <c r="D243" s="9">
        <f>B243-B242</f>
        <v>-0.49000000000000909</v>
      </c>
      <c r="E243" s="9">
        <f>C243-C242</f>
        <v>-0.39999999999999147</v>
      </c>
      <c r="F243" s="3">
        <f>F$1/B243</f>
        <v>1498.3518130056939</v>
      </c>
      <c r="G243" s="3">
        <f>F$1/C243</f>
        <v>1396.2580284836638</v>
      </c>
      <c r="H243" s="2">
        <f>D243*F242</f>
        <v>-728.8412910903005</v>
      </c>
      <c r="I243" s="2">
        <f>E243*G242</f>
        <v>-555.40127742292623</v>
      </c>
      <c r="J243" s="2">
        <f>I243-H243</f>
        <v>173.44001366737427</v>
      </c>
      <c r="K243" s="2">
        <f t="shared" si="26"/>
        <v>-173.44001366737427</v>
      </c>
      <c r="L243" s="14">
        <f>C243/B243</f>
        <v>1.0731195684746779</v>
      </c>
      <c r="M243" s="14">
        <f t="shared" si="28"/>
        <v>1.0754967976249397</v>
      </c>
      <c r="N243" s="14">
        <f t="shared" si="32"/>
        <v>1.0757922804985358</v>
      </c>
      <c r="O243" s="14">
        <f t="shared" si="25"/>
        <v>1.0759276042467085</v>
      </c>
      <c r="P243" s="14">
        <f t="shared" si="27"/>
        <v>1.0968038533683633</v>
      </c>
      <c r="Q243" s="4" t="str">
        <f t="shared" si="31"/>
        <v>UNDER</v>
      </c>
      <c r="R243" s="4" t="str">
        <f t="shared" si="31"/>
        <v>UNDER</v>
      </c>
      <c r="S243" s="4" t="str">
        <f t="shared" si="29"/>
        <v>UNDER</v>
      </c>
      <c r="T243" s="4" t="str">
        <f t="shared" si="29"/>
        <v>UNDER</v>
      </c>
      <c r="U243" s="2">
        <f>IF(Q243="OVER",$J243,$K243)</f>
        <v>-173.44001366737427</v>
      </c>
      <c r="V243" s="2">
        <f>IF(R243="OVER",$J243,$K243)</f>
        <v>-173.44001366737427</v>
      </c>
      <c r="W243" s="2">
        <f>IF(S243="OVER",$J243,$K243)</f>
        <v>-173.44001366737427</v>
      </c>
      <c r="X243" s="2">
        <f>IF(T243="OVER",$J243,$K243)</f>
        <v>-173.44001366737427</v>
      </c>
      <c r="Y243" s="9">
        <f t="shared" si="30"/>
        <v>-6913.2958271820607</v>
      </c>
      <c r="Z243" s="9">
        <f t="shared" si="30"/>
        <v>-10154.207385923943</v>
      </c>
      <c r="AA243" s="9">
        <f t="shared" si="30"/>
        <v>16860.462723629196</v>
      </c>
      <c r="AB243" s="9">
        <f t="shared" si="30"/>
        <v>41.08521233056581</v>
      </c>
    </row>
    <row r="244" spans="1:28" x14ac:dyDescent="0.3">
      <c r="A244" s="1">
        <v>44767</v>
      </c>
      <c r="B244" s="2">
        <v>66.650000000000006</v>
      </c>
      <c r="C244" s="2">
        <v>71.42</v>
      </c>
      <c r="D244" s="9">
        <f>B244-B243</f>
        <v>-8.99999999999892E-2</v>
      </c>
      <c r="E244" s="9">
        <f>C244-C243</f>
        <v>-0.20000000000000284</v>
      </c>
      <c r="F244" s="3">
        <f>F$1/B244</f>
        <v>1500.3750937734433</v>
      </c>
      <c r="G244" s="3">
        <f>F$1/C244</f>
        <v>1400.1680201624195</v>
      </c>
      <c r="H244" s="2">
        <f>D244*F243</f>
        <v>-134.85166317049627</v>
      </c>
      <c r="I244" s="2">
        <f>E244*G243</f>
        <v>-279.2516056967367</v>
      </c>
      <c r="J244" s="2">
        <f>I244-H244</f>
        <v>-144.39994252624044</v>
      </c>
      <c r="K244" s="2">
        <f t="shared" si="26"/>
        <v>144.39994252624044</v>
      </c>
      <c r="L244" s="14">
        <f>C244/B244</f>
        <v>1.0715678919729932</v>
      </c>
      <c r="M244" s="14">
        <f t="shared" si="28"/>
        <v>1.0749683590265648</v>
      </c>
      <c r="N244" s="14">
        <f t="shared" si="32"/>
        <v>1.0753591704044823</v>
      </c>
      <c r="O244" s="14">
        <f t="shared" si="25"/>
        <v>1.0759149965689268</v>
      </c>
      <c r="P244" s="14">
        <f t="shared" si="27"/>
        <v>1.0963247503021836</v>
      </c>
      <c r="Q244" s="4" t="str">
        <f t="shared" si="31"/>
        <v>UNDER</v>
      </c>
      <c r="R244" s="4" t="str">
        <f t="shared" si="31"/>
        <v>UNDER</v>
      </c>
      <c r="S244" s="4" t="str">
        <f t="shared" si="29"/>
        <v>UNDER</v>
      </c>
      <c r="T244" s="4" t="str">
        <f t="shared" si="29"/>
        <v>UNDER</v>
      </c>
      <c r="U244" s="2">
        <f>IF(Q244="OVER",$J244,$K244)</f>
        <v>144.39994252624044</v>
      </c>
      <c r="V244" s="2">
        <f>IF(R244="OVER",$J244,$K244)</f>
        <v>144.39994252624044</v>
      </c>
      <c r="W244" s="2">
        <f>IF(S244="OVER",$J244,$K244)</f>
        <v>144.39994252624044</v>
      </c>
      <c r="X244" s="2">
        <f>IF(T244="OVER",$J244,$K244)</f>
        <v>144.39994252624044</v>
      </c>
      <c r="Y244" s="9">
        <f t="shared" si="30"/>
        <v>-6768.8958846558207</v>
      </c>
      <c r="Z244" s="9">
        <f t="shared" si="30"/>
        <v>-10009.807443397702</v>
      </c>
      <c r="AA244" s="9">
        <f t="shared" si="30"/>
        <v>17004.862666155437</v>
      </c>
      <c r="AB244" s="9">
        <f t="shared" si="30"/>
        <v>185.48515485680625</v>
      </c>
    </row>
    <row r="245" spans="1:28" x14ac:dyDescent="0.3">
      <c r="A245" s="1">
        <v>44768</v>
      </c>
      <c r="B245" s="2">
        <v>65.91</v>
      </c>
      <c r="C245" s="2">
        <v>70.599999999999994</v>
      </c>
      <c r="D245" s="9">
        <f>B245-B244</f>
        <v>-0.74000000000000909</v>
      </c>
      <c r="E245" s="9">
        <f>C245-C244</f>
        <v>-0.82000000000000739</v>
      </c>
      <c r="F245" s="3">
        <f>F$1/B245</f>
        <v>1517.2204521316949</v>
      </c>
      <c r="G245" s="3">
        <f>F$1/C245</f>
        <v>1416.4305949008499</v>
      </c>
      <c r="H245" s="2">
        <f>D245*F244</f>
        <v>-1110.2775693923616</v>
      </c>
      <c r="I245" s="2">
        <f>E245*G244</f>
        <v>-1148.1377765331943</v>
      </c>
      <c r="J245" s="2">
        <f>I245-H245</f>
        <v>-37.860207140832699</v>
      </c>
      <c r="K245" s="2">
        <f t="shared" si="26"/>
        <v>37.860207140832699</v>
      </c>
      <c r="L245" s="14">
        <f>C245/B245</f>
        <v>1.0711576392049764</v>
      </c>
      <c r="M245" s="14">
        <f t="shared" si="28"/>
        <v>1.074337318696331</v>
      </c>
      <c r="N245" s="14">
        <f t="shared" si="32"/>
        <v>1.0751517416131811</v>
      </c>
      <c r="O245" s="14">
        <f t="shared" ref="O245:O308" si="33">AVERAGE(L196:L245)</f>
        <v>1.0760087140552883</v>
      </c>
      <c r="P245" s="14">
        <f t="shared" si="27"/>
        <v>1.0958140034767192</v>
      </c>
      <c r="Q245" s="4" t="str">
        <f t="shared" si="31"/>
        <v>UNDER</v>
      </c>
      <c r="R245" s="4" t="str">
        <f t="shared" si="31"/>
        <v>UNDER</v>
      </c>
      <c r="S245" s="4" t="str">
        <f t="shared" si="29"/>
        <v>UNDER</v>
      </c>
      <c r="T245" s="4" t="str">
        <f t="shared" si="29"/>
        <v>UNDER</v>
      </c>
      <c r="U245" s="2">
        <f>IF(Q245="OVER",$J245,$K245)</f>
        <v>37.860207140832699</v>
      </c>
      <c r="V245" s="2">
        <f>IF(R245="OVER",$J245,$K245)</f>
        <v>37.860207140832699</v>
      </c>
      <c r="W245" s="2">
        <f>IF(S245="OVER",$J245,$K245)</f>
        <v>37.860207140832699</v>
      </c>
      <c r="X245" s="2">
        <f>IF(T245="OVER",$J245,$K245)</f>
        <v>37.860207140832699</v>
      </c>
      <c r="Y245" s="9">
        <f t="shared" si="30"/>
        <v>-6731.0356775149885</v>
      </c>
      <c r="Z245" s="9">
        <f t="shared" si="30"/>
        <v>-9971.9472362568686</v>
      </c>
      <c r="AA245" s="9">
        <f t="shared" si="30"/>
        <v>17042.722873296269</v>
      </c>
      <c r="AB245" s="9">
        <f t="shared" si="30"/>
        <v>223.34536199763895</v>
      </c>
    </row>
    <row r="246" spans="1:28" x14ac:dyDescent="0.3">
      <c r="A246" s="1">
        <v>44769</v>
      </c>
      <c r="B246" s="2">
        <v>66.94</v>
      </c>
      <c r="C246" s="2">
        <v>71.75</v>
      </c>
      <c r="D246" s="9">
        <f>B246-B245</f>
        <v>1.0300000000000011</v>
      </c>
      <c r="E246" s="9">
        <f>C246-C245</f>
        <v>1.1500000000000057</v>
      </c>
      <c r="F246" s="3">
        <f>F$1/B246</f>
        <v>1493.8751120406334</v>
      </c>
      <c r="G246" s="3">
        <f>F$1/C246</f>
        <v>1393.7282229965156</v>
      </c>
      <c r="H246" s="2">
        <f>D246*F245</f>
        <v>1562.7370656956475</v>
      </c>
      <c r="I246" s="2">
        <f>E246*G245</f>
        <v>1628.8951841359853</v>
      </c>
      <c r="J246" s="2">
        <f>I246-H246</f>
        <v>66.15811844033783</v>
      </c>
      <c r="K246" s="2">
        <f t="shared" si="26"/>
        <v>-66.15811844033783</v>
      </c>
      <c r="L246" s="14">
        <f>C246/B246</f>
        <v>1.0718553928891545</v>
      </c>
      <c r="M246" s="14">
        <f t="shared" si="28"/>
        <v>1.073762771418544</v>
      </c>
      <c r="N246" s="14">
        <f t="shared" si="32"/>
        <v>1.0749584904115321</v>
      </c>
      <c r="O246" s="14">
        <f t="shared" si="33"/>
        <v>1.076026892859524</v>
      </c>
      <c r="P246" s="14">
        <f t="shared" si="27"/>
        <v>1.0953201058379904</v>
      </c>
      <c r="Q246" s="4" t="str">
        <f t="shared" si="31"/>
        <v>UNDER</v>
      </c>
      <c r="R246" s="4" t="str">
        <f t="shared" si="31"/>
        <v>UNDER</v>
      </c>
      <c r="S246" s="4" t="str">
        <f t="shared" si="29"/>
        <v>UNDER</v>
      </c>
      <c r="T246" s="4" t="str">
        <f t="shared" si="29"/>
        <v>UNDER</v>
      </c>
      <c r="U246" s="2">
        <f>IF(Q246="OVER",$J246,$K246)</f>
        <v>-66.15811844033783</v>
      </c>
      <c r="V246" s="2">
        <f>IF(R246="OVER",$J246,$K246)</f>
        <v>-66.15811844033783</v>
      </c>
      <c r="W246" s="2">
        <f>IF(S246="OVER",$J246,$K246)</f>
        <v>-66.15811844033783</v>
      </c>
      <c r="X246" s="2">
        <f>IF(T246="OVER",$J246,$K246)</f>
        <v>-66.15811844033783</v>
      </c>
      <c r="Y246" s="9">
        <f t="shared" si="30"/>
        <v>-6797.1937959553261</v>
      </c>
      <c r="Z246" s="9">
        <f t="shared" si="30"/>
        <v>-10038.105354697207</v>
      </c>
      <c r="AA246" s="9">
        <f t="shared" si="30"/>
        <v>16976.564754855932</v>
      </c>
      <c r="AB246" s="9">
        <f t="shared" si="30"/>
        <v>157.18724355730112</v>
      </c>
    </row>
    <row r="247" spans="1:28" x14ac:dyDescent="0.3">
      <c r="A247" s="1">
        <v>44770</v>
      </c>
      <c r="B247" s="2">
        <v>67.599999999999994</v>
      </c>
      <c r="C247" s="2">
        <v>72.040000000000006</v>
      </c>
      <c r="D247" s="9">
        <f>B247-B246</f>
        <v>0.65999999999999659</v>
      </c>
      <c r="E247" s="9">
        <f>C247-C246</f>
        <v>0.29000000000000625</v>
      </c>
      <c r="F247" s="3">
        <f>F$1/B247</f>
        <v>1479.2899408284025</v>
      </c>
      <c r="G247" s="3">
        <f>F$1/C247</f>
        <v>1388.1177123820098</v>
      </c>
      <c r="H247" s="2">
        <f>D247*F246</f>
        <v>985.957573946813</v>
      </c>
      <c r="I247" s="2">
        <f>E247*G246</f>
        <v>404.18118466899824</v>
      </c>
      <c r="J247" s="2">
        <f>I247-H247</f>
        <v>-581.77638927781481</v>
      </c>
      <c r="K247" s="2">
        <f t="shared" si="26"/>
        <v>581.77638927781481</v>
      </c>
      <c r="L247" s="14">
        <f>C247/B247</f>
        <v>1.0656804733727812</v>
      </c>
      <c r="M247" s="14">
        <f t="shared" si="28"/>
        <v>1.0727929750734</v>
      </c>
      <c r="N247" s="14">
        <f t="shared" si="32"/>
        <v>1.074463712236853</v>
      </c>
      <c r="O247" s="14">
        <f t="shared" si="33"/>
        <v>1.0759287376210971</v>
      </c>
      <c r="P247" s="14">
        <f t="shared" si="27"/>
        <v>1.094789940129737</v>
      </c>
      <c r="Q247" s="4" t="str">
        <f t="shared" si="31"/>
        <v>UNDER</v>
      </c>
      <c r="R247" s="4" t="str">
        <f t="shared" si="31"/>
        <v>UNDER</v>
      </c>
      <c r="S247" s="4" t="str">
        <f t="shared" si="29"/>
        <v>UNDER</v>
      </c>
      <c r="T247" s="4" t="str">
        <f t="shared" si="29"/>
        <v>UNDER</v>
      </c>
      <c r="U247" s="2">
        <f>IF(Q247="OVER",$J247,$K247)</f>
        <v>581.77638927781481</v>
      </c>
      <c r="V247" s="2">
        <f>IF(R247="OVER",$J247,$K247)</f>
        <v>581.77638927781481</v>
      </c>
      <c r="W247" s="2">
        <f>IF(S247="OVER",$J247,$K247)</f>
        <v>581.77638927781481</v>
      </c>
      <c r="X247" s="2">
        <f>IF(T247="OVER",$J247,$K247)</f>
        <v>581.77638927781481</v>
      </c>
      <c r="Y247" s="9">
        <f t="shared" si="30"/>
        <v>-6215.4174066775113</v>
      </c>
      <c r="Z247" s="9">
        <f t="shared" si="30"/>
        <v>-9456.3289654193923</v>
      </c>
      <c r="AA247" s="9">
        <f t="shared" si="30"/>
        <v>17558.341144133745</v>
      </c>
      <c r="AB247" s="9">
        <f t="shared" si="30"/>
        <v>738.96363283511596</v>
      </c>
    </row>
    <row r="248" spans="1:28" x14ac:dyDescent="0.3">
      <c r="A248" s="1">
        <v>44771</v>
      </c>
      <c r="B248" s="2">
        <v>67.97</v>
      </c>
      <c r="C248" s="2">
        <v>72.5</v>
      </c>
      <c r="D248" s="9">
        <f>B248-B247</f>
        <v>0.37000000000000455</v>
      </c>
      <c r="E248" s="9">
        <f>C248-C247</f>
        <v>0.45999999999999375</v>
      </c>
      <c r="F248" s="3">
        <f>F$1/B248</f>
        <v>1471.2373105781962</v>
      </c>
      <c r="G248" s="3">
        <f>F$1/C248</f>
        <v>1379.3103448275863</v>
      </c>
      <c r="H248" s="2">
        <f>D248*F247</f>
        <v>547.33727810651567</v>
      </c>
      <c r="I248" s="2">
        <f>E248*G247</f>
        <v>638.53414769571589</v>
      </c>
      <c r="J248" s="2">
        <f>I248-H248</f>
        <v>91.196869589200219</v>
      </c>
      <c r="K248" s="2">
        <f t="shared" si="26"/>
        <v>-91.196869589200219</v>
      </c>
      <c r="L248" s="14">
        <f>C248/B248</f>
        <v>1.0666470501691923</v>
      </c>
      <c r="M248" s="14">
        <f t="shared" si="28"/>
        <v>1.0717960802131505</v>
      </c>
      <c r="N248" s="14">
        <f t="shared" si="32"/>
        <v>1.0740785926263536</v>
      </c>
      <c r="O248" s="14">
        <f t="shared" si="33"/>
        <v>1.0757774649921412</v>
      </c>
      <c r="P248" s="14">
        <f t="shared" si="27"/>
        <v>1.0942643011235034</v>
      </c>
      <c r="Q248" s="4" t="str">
        <f t="shared" si="31"/>
        <v>UNDER</v>
      </c>
      <c r="R248" s="4" t="str">
        <f t="shared" si="31"/>
        <v>UNDER</v>
      </c>
      <c r="S248" s="4" t="str">
        <f t="shared" si="29"/>
        <v>UNDER</v>
      </c>
      <c r="T248" s="4" t="str">
        <f t="shared" si="29"/>
        <v>UNDER</v>
      </c>
      <c r="U248" s="2">
        <f>IF(Q248="OVER",$J248,$K248)</f>
        <v>-91.196869589200219</v>
      </c>
      <c r="V248" s="2">
        <f>IF(R248="OVER",$J248,$K248)</f>
        <v>-91.196869589200219</v>
      </c>
      <c r="W248" s="2">
        <f>IF(S248="OVER",$J248,$K248)</f>
        <v>-91.196869589200219</v>
      </c>
      <c r="X248" s="2">
        <f>IF(T248="OVER",$J248,$K248)</f>
        <v>-91.196869589200219</v>
      </c>
      <c r="Y248" s="9">
        <f t="shared" si="30"/>
        <v>-6306.6142762667114</v>
      </c>
      <c r="Z248" s="9">
        <f t="shared" si="30"/>
        <v>-9547.5258350085933</v>
      </c>
      <c r="AA248" s="9">
        <f t="shared" si="30"/>
        <v>17467.144274544546</v>
      </c>
      <c r="AB248" s="9">
        <f t="shared" si="30"/>
        <v>647.76676324591574</v>
      </c>
    </row>
    <row r="249" spans="1:28" x14ac:dyDescent="0.3">
      <c r="A249" s="1">
        <v>44774</v>
      </c>
      <c r="B249" s="2">
        <v>67.78</v>
      </c>
      <c r="C249" s="2">
        <v>72.459999999999994</v>
      </c>
      <c r="D249" s="9">
        <f>B249-B248</f>
        <v>-0.18999999999999773</v>
      </c>
      <c r="E249" s="9">
        <f>C249-C248</f>
        <v>-4.0000000000006253E-2</v>
      </c>
      <c r="F249" s="3">
        <f>F$1/B249</f>
        <v>1475.3614635585718</v>
      </c>
      <c r="G249" s="3">
        <f>F$1/C249</f>
        <v>1380.0717637317141</v>
      </c>
      <c r="H249" s="2">
        <f>D249*F248</f>
        <v>-279.53508900985395</v>
      </c>
      <c r="I249" s="2">
        <f>E249*G248</f>
        <v>-55.172413793112078</v>
      </c>
      <c r="J249" s="2">
        <f>I249-H249</f>
        <v>224.36267521674188</v>
      </c>
      <c r="K249" s="2">
        <f t="shared" si="26"/>
        <v>-224.36267521674188</v>
      </c>
      <c r="L249" s="14">
        <f>C249/B249</f>
        <v>1.0690469164945411</v>
      </c>
      <c r="M249" s="14">
        <f t="shared" si="28"/>
        <v>1.0709825482791435</v>
      </c>
      <c r="N249" s="14">
        <f t="shared" si="32"/>
        <v>1.0738652493015206</v>
      </c>
      <c r="O249" s="14">
        <f t="shared" si="33"/>
        <v>1.0755129664870255</v>
      </c>
      <c r="P249" s="14">
        <f t="shared" si="27"/>
        <v>1.0937416810427036</v>
      </c>
      <c r="Q249" s="4" t="str">
        <f t="shared" si="31"/>
        <v>UNDER</v>
      </c>
      <c r="R249" s="4" t="str">
        <f t="shared" si="31"/>
        <v>UNDER</v>
      </c>
      <c r="S249" s="4" t="str">
        <f t="shared" si="29"/>
        <v>UNDER</v>
      </c>
      <c r="T249" s="4" t="str">
        <f t="shared" si="29"/>
        <v>UNDER</v>
      </c>
      <c r="U249" s="2">
        <f>IF(Q249="OVER",$J249,$K249)</f>
        <v>-224.36267521674188</v>
      </c>
      <c r="V249" s="2">
        <f>IF(R249="OVER",$J249,$K249)</f>
        <v>-224.36267521674188</v>
      </c>
      <c r="W249" s="2">
        <f>IF(S249="OVER",$J249,$K249)</f>
        <v>-224.36267521674188</v>
      </c>
      <c r="X249" s="2">
        <f>IF(T249="OVER",$J249,$K249)</f>
        <v>-224.36267521674188</v>
      </c>
      <c r="Y249" s="9">
        <f t="shared" si="30"/>
        <v>-6530.9769514834534</v>
      </c>
      <c r="Z249" s="9">
        <f t="shared" si="30"/>
        <v>-9771.8885102253353</v>
      </c>
      <c r="AA249" s="9">
        <f t="shared" si="30"/>
        <v>17242.781599327805</v>
      </c>
      <c r="AB249" s="9">
        <f t="shared" si="30"/>
        <v>423.40408802917386</v>
      </c>
    </row>
    <row r="250" spans="1:28" x14ac:dyDescent="0.3">
      <c r="A250" s="1">
        <v>44775</v>
      </c>
      <c r="B250" s="2">
        <v>68.05</v>
      </c>
      <c r="C250" s="2">
        <v>72.959999999999994</v>
      </c>
      <c r="D250" s="9">
        <f>B250-B249</f>
        <v>0.26999999999999602</v>
      </c>
      <c r="E250" s="9">
        <f>C250-C249</f>
        <v>0.5</v>
      </c>
      <c r="F250" s="3">
        <f>F$1/B250</f>
        <v>1469.5077149155034</v>
      </c>
      <c r="G250" s="3">
        <f>F$1/C250</f>
        <v>1370.6140350877195</v>
      </c>
      <c r="H250" s="2">
        <f>D250*F249</f>
        <v>398.34759516080851</v>
      </c>
      <c r="I250" s="2">
        <f>E250*G249</f>
        <v>690.03588186585705</v>
      </c>
      <c r="J250" s="2">
        <f>I250-H250</f>
        <v>291.68828670504854</v>
      </c>
      <c r="K250" s="2">
        <f t="shared" si="26"/>
        <v>-291.68828670504854</v>
      </c>
      <c r="L250" s="14">
        <f>C250/B250</f>
        <v>1.0721528288023512</v>
      </c>
      <c r="M250" s="14">
        <f t="shared" si="28"/>
        <v>1.0707412273857937</v>
      </c>
      <c r="N250" s="14">
        <f t="shared" si="32"/>
        <v>1.0737370822114143</v>
      </c>
      <c r="O250" s="14">
        <f t="shared" si="33"/>
        <v>1.0753653868085709</v>
      </c>
      <c r="P250" s="14">
        <f t="shared" si="27"/>
        <v>1.0932510519978609</v>
      </c>
      <c r="Q250" s="4" t="str">
        <f t="shared" si="31"/>
        <v>UNDER</v>
      </c>
      <c r="R250" s="4" t="str">
        <f t="shared" si="31"/>
        <v>UNDER</v>
      </c>
      <c r="S250" s="4" t="str">
        <f t="shared" si="29"/>
        <v>UNDER</v>
      </c>
      <c r="T250" s="4" t="str">
        <f t="shared" si="29"/>
        <v>UNDER</v>
      </c>
      <c r="U250" s="2">
        <f>IF(Q250="OVER",$J250,$K250)</f>
        <v>-291.68828670504854</v>
      </c>
      <c r="V250" s="2">
        <f>IF(R250="OVER",$J250,$K250)</f>
        <v>-291.68828670504854</v>
      </c>
      <c r="W250" s="2">
        <f>IF(S250="OVER",$J250,$K250)</f>
        <v>-291.68828670504854</v>
      </c>
      <c r="X250" s="2">
        <f>IF(T250="OVER",$J250,$K250)</f>
        <v>-291.68828670504854</v>
      </c>
      <c r="Y250" s="9">
        <f t="shared" si="30"/>
        <v>-6822.6652381885015</v>
      </c>
      <c r="Z250" s="9">
        <f t="shared" si="30"/>
        <v>-10063.576796930383</v>
      </c>
      <c r="AA250" s="9">
        <f t="shared" si="30"/>
        <v>16951.093312622757</v>
      </c>
      <c r="AB250" s="9">
        <f t="shared" si="30"/>
        <v>131.71580132412532</v>
      </c>
    </row>
    <row r="251" spans="1:28" x14ac:dyDescent="0.3">
      <c r="A251" s="1">
        <v>44776</v>
      </c>
      <c r="B251" s="2">
        <v>69.05</v>
      </c>
      <c r="C251" s="2">
        <v>74.040000000000006</v>
      </c>
      <c r="D251" s="9">
        <f>B251-B250</f>
        <v>1</v>
      </c>
      <c r="E251" s="9">
        <f>C251-C250</f>
        <v>1.0800000000000125</v>
      </c>
      <c r="F251" s="3">
        <f>F$1/B251</f>
        <v>1448.225923244026</v>
      </c>
      <c r="G251" s="3">
        <f>F$1/C251</f>
        <v>1350.6212857914641</v>
      </c>
      <c r="H251" s="2">
        <f>D251*F250</f>
        <v>1469.5077149155034</v>
      </c>
      <c r="I251" s="2">
        <f>E251*G250</f>
        <v>1480.2631578947542</v>
      </c>
      <c r="J251" s="2">
        <f>I251-H251</f>
        <v>10.755442979250802</v>
      </c>
      <c r="K251" s="2">
        <f t="shared" si="26"/>
        <v>-10.755442979250802</v>
      </c>
      <c r="L251" s="14">
        <f>C251/B251</f>
        <v>1.072266473569877</v>
      </c>
      <c r="M251" s="14">
        <f t="shared" si="28"/>
        <v>1.0704742189732637</v>
      </c>
      <c r="N251" s="14">
        <f t="shared" si="32"/>
        <v>1.0734391031489161</v>
      </c>
      <c r="O251" s="14">
        <f t="shared" si="33"/>
        <v>1.0752382200168891</v>
      </c>
      <c r="P251" s="14">
        <f t="shared" si="27"/>
        <v>1.0927598709109982</v>
      </c>
      <c r="Q251" s="4" t="str">
        <f t="shared" si="31"/>
        <v>OVER</v>
      </c>
      <c r="R251" s="4" t="str">
        <f t="shared" si="31"/>
        <v>UNDER</v>
      </c>
      <c r="S251" s="4" t="str">
        <f t="shared" si="29"/>
        <v>UNDER</v>
      </c>
      <c r="T251" s="4" t="str">
        <f t="shared" si="29"/>
        <v>UNDER</v>
      </c>
      <c r="U251" s="2">
        <f>IF(Q251="OVER",$J251,$K251)</f>
        <v>10.755442979250802</v>
      </c>
      <c r="V251" s="2">
        <f>IF(R251="OVER",$J251,$K251)</f>
        <v>-10.755442979250802</v>
      </c>
      <c r="W251" s="2">
        <f>IF(S251="OVER",$J251,$K251)</f>
        <v>-10.755442979250802</v>
      </c>
      <c r="X251" s="2">
        <f>IF(T251="OVER",$J251,$K251)</f>
        <v>-10.755442979250802</v>
      </c>
      <c r="Y251" s="9">
        <f t="shared" si="30"/>
        <v>-6811.9097952092507</v>
      </c>
      <c r="Z251" s="9">
        <f t="shared" si="30"/>
        <v>-10074.332239909634</v>
      </c>
      <c r="AA251" s="9">
        <f t="shared" si="30"/>
        <v>16940.337869643507</v>
      </c>
      <c r="AB251" s="9">
        <f t="shared" si="30"/>
        <v>120.96035834487452</v>
      </c>
    </row>
    <row r="252" spans="1:28" x14ac:dyDescent="0.3">
      <c r="A252" s="1">
        <v>44777</v>
      </c>
      <c r="B252" s="2">
        <v>69.069999999999993</v>
      </c>
      <c r="C252" s="2">
        <v>74.08</v>
      </c>
      <c r="D252" s="9">
        <f>B252-B251</f>
        <v>1.9999999999996021E-2</v>
      </c>
      <c r="E252" s="9">
        <f>C252-C251</f>
        <v>3.9999999999992042E-2</v>
      </c>
      <c r="F252" s="3">
        <f>F$1/B252</f>
        <v>1447.8065730418418</v>
      </c>
      <c r="G252" s="3">
        <f>F$1/C252</f>
        <v>1349.8920086393089</v>
      </c>
      <c r="H252" s="2">
        <f>D252*F251</f>
        <v>28.964518464874757</v>
      </c>
      <c r="I252" s="2">
        <f>E252*G251</f>
        <v>54.024851431647811</v>
      </c>
      <c r="J252" s="2">
        <f>I252-H252</f>
        <v>25.060332966773053</v>
      </c>
      <c r="K252" s="2">
        <f t="shared" si="26"/>
        <v>-25.060332966773053</v>
      </c>
      <c r="L252" s="14">
        <f>C252/B252</f>
        <v>1.0725351093093964</v>
      </c>
      <c r="M252" s="14">
        <f t="shared" si="28"/>
        <v>1.0706029344259942</v>
      </c>
      <c r="N252" s="14">
        <f t="shared" si="32"/>
        <v>1.0731799270554507</v>
      </c>
      <c r="O252" s="14">
        <f t="shared" si="33"/>
        <v>1.0752136098889782</v>
      </c>
      <c r="P252" s="14">
        <f t="shared" si="27"/>
        <v>1.0922715069327564</v>
      </c>
      <c r="Q252" s="4" t="str">
        <f t="shared" si="31"/>
        <v>OVER</v>
      </c>
      <c r="R252" s="4" t="str">
        <f t="shared" si="31"/>
        <v>UNDER</v>
      </c>
      <c r="S252" s="4" t="str">
        <f t="shared" si="29"/>
        <v>UNDER</v>
      </c>
      <c r="T252" s="4" t="str">
        <f t="shared" si="29"/>
        <v>UNDER</v>
      </c>
      <c r="U252" s="2">
        <f>IF(Q252="OVER",$J252,$K252)</f>
        <v>25.060332966773053</v>
      </c>
      <c r="V252" s="2">
        <f>IF(R252="OVER",$J252,$K252)</f>
        <v>-25.060332966773053</v>
      </c>
      <c r="W252" s="2">
        <f>IF(S252="OVER",$J252,$K252)</f>
        <v>-25.060332966773053</v>
      </c>
      <c r="X252" s="2">
        <f>IF(T252="OVER",$J252,$K252)</f>
        <v>-25.060332966773053</v>
      </c>
      <c r="Y252" s="9">
        <f t="shared" si="30"/>
        <v>-6786.8494622424778</v>
      </c>
      <c r="Z252" s="9">
        <f t="shared" si="30"/>
        <v>-10099.392572876408</v>
      </c>
      <c r="AA252" s="9">
        <f t="shared" si="30"/>
        <v>16915.277536676735</v>
      </c>
      <c r="AB252" s="9">
        <f t="shared" si="30"/>
        <v>95.900025378101475</v>
      </c>
    </row>
    <row r="253" spans="1:28" x14ac:dyDescent="0.3">
      <c r="A253" s="1">
        <v>44778</v>
      </c>
      <c r="B253" s="2">
        <v>69.099999999999994</v>
      </c>
      <c r="C253" s="2">
        <v>74.06</v>
      </c>
      <c r="D253" s="9">
        <f>B253-B252</f>
        <v>3.0000000000001137E-2</v>
      </c>
      <c r="E253" s="9">
        <f>C253-C252</f>
        <v>-1.9999999999996021E-2</v>
      </c>
      <c r="F253" s="3">
        <f>F$1/B253</f>
        <v>1447.178002894356</v>
      </c>
      <c r="G253" s="3">
        <f>F$1/C253</f>
        <v>1350.2565487442614</v>
      </c>
      <c r="H253" s="2">
        <f>D253*F252</f>
        <v>43.434197191256899</v>
      </c>
      <c r="I253" s="2">
        <f>E253*G252</f>
        <v>-26.997840172780805</v>
      </c>
      <c r="J253" s="2">
        <f>I253-H253</f>
        <v>-70.432037364037711</v>
      </c>
      <c r="K253" s="2">
        <f t="shared" si="26"/>
        <v>70.432037364037711</v>
      </c>
      <c r="L253" s="14">
        <f>C253/B253</f>
        <v>1.0717800289435602</v>
      </c>
      <c r="M253" s="14">
        <f t="shared" si="28"/>
        <v>1.0704689804728822</v>
      </c>
      <c r="N253" s="14">
        <f t="shared" si="32"/>
        <v>1.072982889048911</v>
      </c>
      <c r="O253" s="14">
        <f t="shared" si="33"/>
        <v>1.0750669128018899</v>
      </c>
      <c r="P253" s="14">
        <f t="shared" si="27"/>
        <v>1.0917783024130829</v>
      </c>
      <c r="Q253" s="4" t="str">
        <f t="shared" si="31"/>
        <v>OVER</v>
      </c>
      <c r="R253" s="4" t="str">
        <f t="shared" si="31"/>
        <v>UNDER</v>
      </c>
      <c r="S253" s="4" t="str">
        <f t="shared" si="29"/>
        <v>UNDER</v>
      </c>
      <c r="T253" s="4" t="str">
        <f t="shared" si="29"/>
        <v>UNDER</v>
      </c>
      <c r="U253" s="2">
        <f>IF(Q253="OVER",$J253,$K253)</f>
        <v>-70.432037364037711</v>
      </c>
      <c r="V253" s="2">
        <f>IF(R253="OVER",$J253,$K253)</f>
        <v>70.432037364037711</v>
      </c>
      <c r="W253" s="2">
        <f>IF(S253="OVER",$J253,$K253)</f>
        <v>70.432037364037711</v>
      </c>
      <c r="X253" s="2">
        <f>IF(T253="OVER",$J253,$K253)</f>
        <v>70.432037364037711</v>
      </c>
      <c r="Y253" s="9">
        <f t="shared" si="30"/>
        <v>-6857.2814996065154</v>
      </c>
      <c r="Z253" s="9">
        <f t="shared" si="30"/>
        <v>-10028.960535512369</v>
      </c>
      <c r="AA253" s="9">
        <f t="shared" si="30"/>
        <v>16985.709574040771</v>
      </c>
      <c r="AB253" s="9">
        <f t="shared" si="30"/>
        <v>166.33206274213919</v>
      </c>
    </row>
    <row r="254" spans="1:28" x14ac:dyDescent="0.3">
      <c r="A254" s="1">
        <v>44781</v>
      </c>
      <c r="B254" s="2">
        <v>69.55</v>
      </c>
      <c r="C254" s="2">
        <v>74.63</v>
      </c>
      <c r="D254" s="9">
        <f>B254-B253</f>
        <v>0.45000000000000284</v>
      </c>
      <c r="E254" s="9">
        <f>C254-C253</f>
        <v>0.56999999999999318</v>
      </c>
      <c r="F254" s="3">
        <f>F$1/B254</f>
        <v>1437.8145219266714</v>
      </c>
      <c r="G254" s="3">
        <f>F$1/C254</f>
        <v>1339.9437223636608</v>
      </c>
      <c r="H254" s="2">
        <f>D254*F253</f>
        <v>651.23010130246428</v>
      </c>
      <c r="I254" s="2">
        <f>E254*G253</f>
        <v>769.64623278421982</v>
      </c>
      <c r="J254" s="2">
        <f>I254-H254</f>
        <v>118.41613148175554</v>
      </c>
      <c r="K254" s="2">
        <f t="shared" si="26"/>
        <v>-118.41613148175554</v>
      </c>
      <c r="L254" s="14">
        <f>C254/B254</f>
        <v>1.073040977713875</v>
      </c>
      <c r="M254" s="14">
        <f t="shared" si="28"/>
        <v>1.0706162890469704</v>
      </c>
      <c r="N254" s="14">
        <f t="shared" si="32"/>
        <v>1.0727923240367676</v>
      </c>
      <c r="O254" s="14">
        <f t="shared" si="33"/>
        <v>1.0750899609019215</v>
      </c>
      <c r="P254" s="14">
        <f t="shared" si="27"/>
        <v>1.0913028947094798</v>
      </c>
      <c r="Q254" s="4" t="str">
        <f t="shared" si="31"/>
        <v>OVER</v>
      </c>
      <c r="R254" s="4" t="str">
        <f t="shared" si="31"/>
        <v>UNDER</v>
      </c>
      <c r="S254" s="4" t="str">
        <f t="shared" si="29"/>
        <v>UNDER</v>
      </c>
      <c r="T254" s="4" t="str">
        <f t="shared" si="29"/>
        <v>UNDER</v>
      </c>
      <c r="U254" s="2">
        <f>IF(Q254="OVER",$J254,$K254)</f>
        <v>118.41613148175554</v>
      </c>
      <c r="V254" s="2">
        <f>IF(R254="OVER",$J254,$K254)</f>
        <v>-118.41613148175554</v>
      </c>
      <c r="W254" s="2">
        <f>IF(S254="OVER",$J254,$K254)</f>
        <v>-118.41613148175554</v>
      </c>
      <c r="X254" s="2">
        <f>IF(T254="OVER",$J254,$K254)</f>
        <v>-118.41613148175554</v>
      </c>
      <c r="Y254" s="9">
        <f t="shared" si="30"/>
        <v>-6738.8653681247597</v>
      </c>
      <c r="Z254" s="9">
        <f t="shared" si="30"/>
        <v>-10147.376666994125</v>
      </c>
      <c r="AA254" s="9">
        <f t="shared" si="30"/>
        <v>16867.293442559017</v>
      </c>
      <c r="AB254" s="9">
        <f t="shared" si="30"/>
        <v>47.915931260383644</v>
      </c>
    </row>
    <row r="255" spans="1:28" x14ac:dyDescent="0.3">
      <c r="A255" s="1">
        <v>44782</v>
      </c>
      <c r="B255" s="2">
        <v>68.959999999999994</v>
      </c>
      <c r="C255" s="2">
        <v>74.06</v>
      </c>
      <c r="D255" s="9">
        <f>B255-B254</f>
        <v>-0.59000000000000341</v>
      </c>
      <c r="E255" s="9">
        <f>C255-C254</f>
        <v>-0.56999999999999318</v>
      </c>
      <c r="F255" s="3">
        <f>F$1/B255</f>
        <v>1450.1160092807427</v>
      </c>
      <c r="G255" s="3">
        <f>F$1/C255</f>
        <v>1350.2565487442614</v>
      </c>
      <c r="H255" s="2">
        <f>D255*F254</f>
        <v>-848.31056793674099</v>
      </c>
      <c r="I255" s="2">
        <f>E255*G254</f>
        <v>-763.76792174727746</v>
      </c>
      <c r="J255" s="2">
        <f>I255-H255</f>
        <v>84.542646189463539</v>
      </c>
      <c r="K255" s="2">
        <f t="shared" si="26"/>
        <v>-84.542646189463539</v>
      </c>
      <c r="L255" s="14">
        <f>C255/B255</f>
        <v>1.0739559164733179</v>
      </c>
      <c r="M255" s="14">
        <f t="shared" si="28"/>
        <v>1.0708961167738047</v>
      </c>
      <c r="N255" s="14">
        <f t="shared" si="32"/>
        <v>1.0726167177350678</v>
      </c>
      <c r="O255" s="14">
        <f t="shared" si="33"/>
        <v>1.0750718002197686</v>
      </c>
      <c r="P255" s="14">
        <f t="shared" si="27"/>
        <v>1.0908346349875773</v>
      </c>
      <c r="Q255" s="4" t="str">
        <f t="shared" si="31"/>
        <v>OVER</v>
      </c>
      <c r="R255" s="4" t="str">
        <f t="shared" si="31"/>
        <v>OVER</v>
      </c>
      <c r="S255" s="4" t="str">
        <f t="shared" si="29"/>
        <v>UNDER</v>
      </c>
      <c r="T255" s="4" t="str">
        <f t="shared" si="29"/>
        <v>UNDER</v>
      </c>
      <c r="U255" s="2">
        <f>IF(Q255="OVER",$J255,$K255)</f>
        <v>84.542646189463539</v>
      </c>
      <c r="V255" s="2">
        <f>IF(R255="OVER",$J255,$K255)</f>
        <v>84.542646189463539</v>
      </c>
      <c r="W255" s="2">
        <f>IF(S255="OVER",$J255,$K255)</f>
        <v>-84.542646189463539</v>
      </c>
      <c r="X255" s="2">
        <f>IF(T255="OVER",$J255,$K255)</f>
        <v>-84.542646189463539</v>
      </c>
      <c r="Y255" s="9">
        <f t="shared" si="30"/>
        <v>-6654.3227219352957</v>
      </c>
      <c r="Z255" s="9">
        <f t="shared" si="30"/>
        <v>-10062.834020804661</v>
      </c>
      <c r="AA255" s="9">
        <f t="shared" si="30"/>
        <v>16782.750796369553</v>
      </c>
      <c r="AB255" s="9">
        <f t="shared" si="30"/>
        <v>-36.626714929079895</v>
      </c>
    </row>
    <row r="256" spans="1:28" x14ac:dyDescent="0.3">
      <c r="A256" s="1">
        <v>44783</v>
      </c>
      <c r="B256" s="2">
        <v>69.94</v>
      </c>
      <c r="C256" s="2">
        <v>75.56</v>
      </c>
      <c r="D256" s="9">
        <f>B256-B255</f>
        <v>0.98000000000000398</v>
      </c>
      <c r="E256" s="9">
        <f>C256-C255</f>
        <v>1.5</v>
      </c>
      <c r="F256" s="3">
        <f>F$1/B256</f>
        <v>1429.7969688304261</v>
      </c>
      <c r="G256" s="3">
        <f>F$1/C256</f>
        <v>1323.4515616728427</v>
      </c>
      <c r="H256" s="2">
        <f>D256*F255</f>
        <v>1421.1136890951336</v>
      </c>
      <c r="I256" s="2">
        <f>E256*G255</f>
        <v>2025.384823116392</v>
      </c>
      <c r="J256" s="2">
        <f>I256-H256</f>
        <v>604.27113402125838</v>
      </c>
      <c r="K256" s="2">
        <f t="shared" si="26"/>
        <v>-604.27113402125838</v>
      </c>
      <c r="L256" s="14">
        <f>C256/B256</f>
        <v>1.08035458964827</v>
      </c>
      <c r="M256" s="14">
        <f t="shared" si="28"/>
        <v>1.0717460364497162</v>
      </c>
      <c r="N256" s="14">
        <f t="shared" si="32"/>
        <v>1.0727544039341299</v>
      </c>
      <c r="O256" s="14">
        <f t="shared" si="33"/>
        <v>1.0751753500147583</v>
      </c>
      <c r="P256" s="14">
        <f t="shared" si="27"/>
        <v>1.0904087667700626</v>
      </c>
      <c r="Q256" s="4" t="str">
        <f t="shared" si="31"/>
        <v>OVER</v>
      </c>
      <c r="R256" s="4" t="str">
        <f t="shared" si="31"/>
        <v>OVER</v>
      </c>
      <c r="S256" s="4" t="str">
        <f t="shared" si="29"/>
        <v>OVER</v>
      </c>
      <c r="T256" s="4" t="str">
        <f t="shared" si="29"/>
        <v>UNDER</v>
      </c>
      <c r="U256" s="2">
        <f>IF(Q256="OVER",$J256,$K256)</f>
        <v>604.27113402125838</v>
      </c>
      <c r="V256" s="2">
        <f>IF(R256="OVER",$J256,$K256)</f>
        <v>604.27113402125838</v>
      </c>
      <c r="W256" s="2">
        <f>IF(S256="OVER",$J256,$K256)</f>
        <v>604.27113402125838</v>
      </c>
      <c r="X256" s="2">
        <f>IF(T256="OVER",$J256,$K256)</f>
        <v>-604.27113402125838</v>
      </c>
      <c r="Y256" s="9">
        <f t="shared" si="30"/>
        <v>-6050.0515879140376</v>
      </c>
      <c r="Z256" s="9">
        <f t="shared" si="30"/>
        <v>-9458.5628867834021</v>
      </c>
      <c r="AA256" s="9">
        <f t="shared" si="30"/>
        <v>17387.021930390812</v>
      </c>
      <c r="AB256" s="9">
        <f t="shared" si="30"/>
        <v>-640.89784895033824</v>
      </c>
    </row>
    <row r="257" spans="1:28" x14ac:dyDescent="0.3">
      <c r="A257" s="1">
        <v>44784</v>
      </c>
      <c r="B257" s="2">
        <v>70.099999999999994</v>
      </c>
      <c r="C257" s="2">
        <v>75.41</v>
      </c>
      <c r="D257" s="9">
        <f>B257-B256</f>
        <v>0.15999999999999659</v>
      </c>
      <c r="E257" s="9">
        <f>C257-C256</f>
        <v>-0.15000000000000568</v>
      </c>
      <c r="F257" s="3">
        <f>F$1/B257</f>
        <v>1426.5335235378031</v>
      </c>
      <c r="G257" s="3">
        <f>F$1/C257</f>
        <v>1326.0840737302747</v>
      </c>
      <c r="H257" s="2">
        <f>D257*F256</f>
        <v>228.7675150128633</v>
      </c>
      <c r="I257" s="2">
        <f>E257*G256</f>
        <v>-198.51773425093393</v>
      </c>
      <c r="J257" s="2">
        <f>I257-H257</f>
        <v>-427.28524926379725</v>
      </c>
      <c r="K257" s="2">
        <f t="shared" si="26"/>
        <v>427.28524926379725</v>
      </c>
      <c r="L257" s="14">
        <f>C257/B257</f>
        <v>1.0757489300998573</v>
      </c>
      <c r="M257" s="14">
        <f t="shared" si="28"/>
        <v>1.0727528821224239</v>
      </c>
      <c r="N257" s="14">
        <f t="shared" si="32"/>
        <v>1.0727729285979117</v>
      </c>
      <c r="O257" s="14">
        <f t="shared" si="33"/>
        <v>1.0752557294606371</v>
      </c>
      <c r="P257" s="14">
        <f t="shared" si="27"/>
        <v>1.0899453702681583</v>
      </c>
      <c r="Q257" s="4" t="str">
        <f t="shared" si="31"/>
        <v>OVER</v>
      </c>
      <c r="R257" s="4" t="str">
        <f t="shared" si="31"/>
        <v>OVER</v>
      </c>
      <c r="S257" s="4" t="str">
        <f t="shared" si="29"/>
        <v>OVER</v>
      </c>
      <c r="T257" s="4" t="str">
        <f t="shared" si="29"/>
        <v>UNDER</v>
      </c>
      <c r="U257" s="2">
        <f>IF(Q257="OVER",$J257,$K257)</f>
        <v>-427.28524926379725</v>
      </c>
      <c r="V257" s="2">
        <f>IF(R257="OVER",$J257,$K257)</f>
        <v>-427.28524926379725</v>
      </c>
      <c r="W257" s="2">
        <f>IF(S257="OVER",$J257,$K257)</f>
        <v>-427.28524926379725</v>
      </c>
      <c r="X257" s="2">
        <f>IF(T257="OVER",$J257,$K257)</f>
        <v>427.28524926379725</v>
      </c>
      <c r="Y257" s="9">
        <f t="shared" si="30"/>
        <v>-6477.3368371778352</v>
      </c>
      <c r="Z257" s="9">
        <f t="shared" si="30"/>
        <v>-9885.8481360471997</v>
      </c>
      <c r="AA257" s="9">
        <f t="shared" si="30"/>
        <v>16959.736681127015</v>
      </c>
      <c r="AB257" s="9">
        <f t="shared" si="30"/>
        <v>-213.61259968654099</v>
      </c>
    </row>
    <row r="258" spans="1:28" x14ac:dyDescent="0.3">
      <c r="A258" s="1">
        <v>44785</v>
      </c>
      <c r="B258" s="2">
        <v>70.73</v>
      </c>
      <c r="C258" s="2">
        <v>76.239999999999995</v>
      </c>
      <c r="D258" s="9">
        <f>B258-B257</f>
        <v>0.63000000000000966</v>
      </c>
      <c r="E258" s="9">
        <f>C258-C257</f>
        <v>0.82999999999999829</v>
      </c>
      <c r="F258" s="3">
        <f>F$1/B258</f>
        <v>1413.8272303124556</v>
      </c>
      <c r="G258" s="3">
        <f>F$1/C258</f>
        <v>1311.647429171039</v>
      </c>
      <c r="H258" s="2">
        <f>D258*F257</f>
        <v>898.71611982882973</v>
      </c>
      <c r="I258" s="2">
        <f>E258*G257</f>
        <v>1100.6497811961258</v>
      </c>
      <c r="J258" s="2">
        <f>I258-H258</f>
        <v>201.93366136729605</v>
      </c>
      <c r="K258" s="2">
        <f t="shared" si="26"/>
        <v>-201.93366136729605</v>
      </c>
      <c r="L258" s="14">
        <f>C258/B258</f>
        <v>1.0779018803902163</v>
      </c>
      <c r="M258" s="14">
        <f t="shared" si="28"/>
        <v>1.0738783651445263</v>
      </c>
      <c r="N258" s="14">
        <f t="shared" si="32"/>
        <v>1.0728372226788383</v>
      </c>
      <c r="O258" s="14">
        <f t="shared" si="33"/>
        <v>1.075311350902092</v>
      </c>
      <c r="P258" s="14">
        <f t="shared" si="27"/>
        <v>1.0895109480461778</v>
      </c>
      <c r="Q258" s="4" t="str">
        <f t="shared" si="31"/>
        <v>OVER</v>
      </c>
      <c r="R258" s="4" t="str">
        <f t="shared" si="31"/>
        <v>OVER</v>
      </c>
      <c r="S258" s="4" t="str">
        <f t="shared" si="29"/>
        <v>OVER</v>
      </c>
      <c r="T258" s="4" t="str">
        <f t="shared" si="29"/>
        <v>UNDER</v>
      </c>
      <c r="U258" s="2">
        <f>IF(Q258="OVER",$J258,$K258)</f>
        <v>201.93366136729605</v>
      </c>
      <c r="V258" s="2">
        <f>IF(R258="OVER",$J258,$K258)</f>
        <v>201.93366136729605</v>
      </c>
      <c r="W258" s="2">
        <f>IF(S258="OVER",$J258,$K258)</f>
        <v>201.93366136729605</v>
      </c>
      <c r="X258" s="2">
        <f>IF(T258="OVER",$J258,$K258)</f>
        <v>-201.93366136729605</v>
      </c>
      <c r="Y258" s="9">
        <f t="shared" si="30"/>
        <v>-6275.4031758105393</v>
      </c>
      <c r="Z258" s="9">
        <f t="shared" si="30"/>
        <v>-9683.9144746799029</v>
      </c>
      <c r="AA258" s="9">
        <f t="shared" si="30"/>
        <v>17161.670342494312</v>
      </c>
      <c r="AB258" s="9">
        <f t="shared" si="30"/>
        <v>-415.54626105383704</v>
      </c>
    </row>
    <row r="259" spans="1:28" x14ac:dyDescent="0.3">
      <c r="A259" s="1">
        <v>44788</v>
      </c>
      <c r="B259" s="2">
        <v>71.11</v>
      </c>
      <c r="C259" s="2">
        <v>76.55</v>
      </c>
      <c r="D259" s="9">
        <f>B259-B258</f>
        <v>0.37999999999999545</v>
      </c>
      <c r="E259" s="9">
        <f>C259-C258</f>
        <v>0.31000000000000227</v>
      </c>
      <c r="F259" s="3">
        <f>F$1/B259</f>
        <v>1406.2719729995781</v>
      </c>
      <c r="G259" s="3">
        <f>F$1/C259</f>
        <v>1306.3357282821685</v>
      </c>
      <c r="H259" s="2">
        <f>D259*F258</f>
        <v>537.25434751872672</v>
      </c>
      <c r="I259" s="2">
        <f>E259*G258</f>
        <v>406.61070304302507</v>
      </c>
      <c r="J259" s="2">
        <f>I259-H259</f>
        <v>-130.64364447570165</v>
      </c>
      <c r="K259" s="2">
        <f t="shared" si="26"/>
        <v>130.64364447570165</v>
      </c>
      <c r="L259" s="14">
        <f>C259/B259</f>
        <v>1.0765011953311769</v>
      </c>
      <c r="M259" s="14">
        <f t="shared" si="28"/>
        <v>1.0746237930281899</v>
      </c>
      <c r="N259" s="14">
        <f t="shared" si="32"/>
        <v>1.0728031706536663</v>
      </c>
      <c r="O259" s="14">
        <f t="shared" si="33"/>
        <v>1.0753255246646232</v>
      </c>
      <c r="P259" s="14">
        <f t="shared" si="27"/>
        <v>1.0890700869575163</v>
      </c>
      <c r="Q259" s="4" t="str">
        <f t="shared" si="31"/>
        <v>OVER</v>
      </c>
      <c r="R259" s="4" t="str">
        <f t="shared" si="31"/>
        <v>OVER</v>
      </c>
      <c r="S259" s="4" t="str">
        <f t="shared" si="29"/>
        <v>OVER</v>
      </c>
      <c r="T259" s="4" t="str">
        <f t="shared" si="29"/>
        <v>UNDER</v>
      </c>
      <c r="U259" s="2">
        <f>IF(Q259="OVER",$J259,$K259)</f>
        <v>-130.64364447570165</v>
      </c>
      <c r="V259" s="2">
        <f>IF(R259="OVER",$J259,$K259)</f>
        <v>-130.64364447570165</v>
      </c>
      <c r="W259" s="2">
        <f>IF(S259="OVER",$J259,$K259)</f>
        <v>-130.64364447570165</v>
      </c>
      <c r="X259" s="2">
        <f>IF(T259="OVER",$J259,$K259)</f>
        <v>130.64364447570165</v>
      </c>
      <c r="Y259" s="9">
        <f t="shared" si="30"/>
        <v>-6406.0468202862412</v>
      </c>
      <c r="Z259" s="9">
        <f t="shared" si="30"/>
        <v>-9814.5581191556048</v>
      </c>
      <c r="AA259" s="9">
        <f t="shared" si="30"/>
        <v>17031.02669801861</v>
      </c>
      <c r="AB259" s="9">
        <f t="shared" si="30"/>
        <v>-284.90261657813539</v>
      </c>
    </row>
    <row r="260" spans="1:28" x14ac:dyDescent="0.3">
      <c r="A260" s="1">
        <v>44789</v>
      </c>
      <c r="B260" s="2">
        <v>70.91</v>
      </c>
      <c r="C260" s="2">
        <v>76.33</v>
      </c>
      <c r="D260" s="9">
        <f>B260-B259</f>
        <v>-0.20000000000000284</v>
      </c>
      <c r="E260" s="9">
        <f>C260-C259</f>
        <v>-0.21999999999999886</v>
      </c>
      <c r="F260" s="3">
        <f>F$1/B260</f>
        <v>1410.2383302778171</v>
      </c>
      <c r="G260" s="3">
        <f>F$1/C260</f>
        <v>1310.1008777675881</v>
      </c>
      <c r="H260" s="2">
        <f>D260*F259</f>
        <v>-281.25439459991964</v>
      </c>
      <c r="I260" s="2">
        <f>E260*G259</f>
        <v>-287.3938602220756</v>
      </c>
      <c r="J260" s="2">
        <f>I260-H260</f>
        <v>-6.1394656221559671</v>
      </c>
      <c r="K260" s="2">
        <f t="shared" si="26"/>
        <v>6.1394656221559671</v>
      </c>
      <c r="L260" s="14">
        <f>C260/B260</f>
        <v>1.0764349175010577</v>
      </c>
      <c r="M260" s="14">
        <f t="shared" si="28"/>
        <v>1.0750520018980605</v>
      </c>
      <c r="N260" s="14">
        <f t="shared" si="32"/>
        <v>1.072896614641927</v>
      </c>
      <c r="O260" s="14">
        <f t="shared" si="33"/>
        <v>1.0753562590821255</v>
      </c>
      <c r="P260" s="14">
        <f t="shared" si="27"/>
        <v>1.0886288793091519</v>
      </c>
      <c r="Q260" s="4" t="str">
        <f t="shared" si="31"/>
        <v>OVER</v>
      </c>
      <c r="R260" s="4" t="str">
        <f t="shared" si="31"/>
        <v>OVER</v>
      </c>
      <c r="S260" s="4" t="str">
        <f t="shared" si="29"/>
        <v>OVER</v>
      </c>
      <c r="T260" s="4" t="str">
        <f t="shared" si="29"/>
        <v>UNDER</v>
      </c>
      <c r="U260" s="2">
        <f>IF(Q260="OVER",$J260,$K260)</f>
        <v>-6.1394656221559671</v>
      </c>
      <c r="V260" s="2">
        <f>IF(R260="OVER",$J260,$K260)</f>
        <v>-6.1394656221559671</v>
      </c>
      <c r="W260" s="2">
        <f>IF(S260="OVER",$J260,$K260)</f>
        <v>-6.1394656221559671</v>
      </c>
      <c r="X260" s="2">
        <f>IF(T260="OVER",$J260,$K260)</f>
        <v>6.1394656221559671</v>
      </c>
      <c r="Y260" s="9">
        <f t="shared" si="30"/>
        <v>-6412.1862859083976</v>
      </c>
      <c r="Z260" s="9">
        <f t="shared" si="30"/>
        <v>-9820.6975847777612</v>
      </c>
      <c r="AA260" s="9">
        <f t="shared" si="30"/>
        <v>17024.887232396453</v>
      </c>
      <c r="AB260" s="9">
        <f t="shared" si="30"/>
        <v>-278.76315095597943</v>
      </c>
    </row>
    <row r="261" spans="1:28" x14ac:dyDescent="0.3">
      <c r="A261" s="1">
        <v>44790</v>
      </c>
      <c r="B261" s="2">
        <v>70.19</v>
      </c>
      <c r="C261" s="2">
        <v>75.38</v>
      </c>
      <c r="D261" s="9">
        <f>B261-B260</f>
        <v>-0.71999999999999886</v>
      </c>
      <c r="E261" s="9">
        <f>C261-C260</f>
        <v>-0.95000000000000284</v>
      </c>
      <c r="F261" s="3">
        <f>F$1/B261</f>
        <v>1424.7043738424277</v>
      </c>
      <c r="G261" s="3">
        <f>F$1/C261</f>
        <v>1326.6118333775539</v>
      </c>
      <c r="H261" s="2">
        <f>D261*F260</f>
        <v>-1015.3715978000267</v>
      </c>
      <c r="I261" s="2">
        <f>E261*G260</f>
        <v>-1244.5958338792125</v>
      </c>
      <c r="J261" s="2">
        <f>I261-H261</f>
        <v>-229.22423607918574</v>
      </c>
      <c r="K261" s="2">
        <f t="shared" ref="K261:K324" si="34">H261-I261</f>
        <v>229.22423607918574</v>
      </c>
      <c r="L261" s="14">
        <f>C261/B261</f>
        <v>1.0739421570024219</v>
      </c>
      <c r="M261" s="14">
        <f t="shared" si="28"/>
        <v>1.075219570241315</v>
      </c>
      <c r="N261" s="14">
        <f t="shared" si="32"/>
        <v>1.0728468946072891</v>
      </c>
      <c r="O261" s="14">
        <f t="shared" si="33"/>
        <v>1.0753028909627427</v>
      </c>
      <c r="P261" s="14">
        <f t="shared" si="27"/>
        <v>1.088177949039379</v>
      </c>
      <c r="Q261" s="4" t="str">
        <f t="shared" si="31"/>
        <v>OVER</v>
      </c>
      <c r="R261" s="4" t="str">
        <f t="shared" si="31"/>
        <v>OVER</v>
      </c>
      <c r="S261" s="4" t="str">
        <f t="shared" si="29"/>
        <v>UNDER</v>
      </c>
      <c r="T261" s="4" t="str">
        <f t="shared" si="29"/>
        <v>UNDER</v>
      </c>
      <c r="U261" s="2">
        <f>IF(Q261="OVER",$J261,$K261)</f>
        <v>-229.22423607918574</v>
      </c>
      <c r="V261" s="2">
        <f>IF(R261="OVER",$J261,$K261)</f>
        <v>-229.22423607918574</v>
      </c>
      <c r="W261" s="2">
        <f>IF(S261="OVER",$J261,$K261)</f>
        <v>229.22423607918574</v>
      </c>
      <c r="X261" s="2">
        <f>IF(T261="OVER",$J261,$K261)</f>
        <v>229.22423607918574</v>
      </c>
      <c r="Y261" s="9">
        <f t="shared" si="30"/>
        <v>-6641.4105219875837</v>
      </c>
      <c r="Z261" s="9">
        <f t="shared" si="30"/>
        <v>-10049.921820856947</v>
      </c>
      <c r="AA261" s="9">
        <f t="shared" si="30"/>
        <v>17254.111468475639</v>
      </c>
      <c r="AB261" s="9">
        <f t="shared" si="30"/>
        <v>-49.538914876793683</v>
      </c>
    </row>
    <row r="262" spans="1:28" x14ac:dyDescent="0.3">
      <c r="A262" s="1">
        <v>44791</v>
      </c>
      <c r="B262" s="2">
        <v>70.41</v>
      </c>
      <c r="C262" s="2">
        <v>75.56</v>
      </c>
      <c r="D262" s="9">
        <f>B262-B261</f>
        <v>0.21999999999999886</v>
      </c>
      <c r="E262" s="9">
        <f>C262-C261</f>
        <v>0.18000000000000682</v>
      </c>
      <c r="F262" s="3">
        <f>F$1/B262</f>
        <v>1420.25280499929</v>
      </c>
      <c r="G262" s="3">
        <f>F$1/C262</f>
        <v>1323.4515616728427</v>
      </c>
      <c r="H262" s="2">
        <f>D262*F261</f>
        <v>313.43496224533249</v>
      </c>
      <c r="I262" s="2">
        <f>E262*G261</f>
        <v>238.79013000796874</v>
      </c>
      <c r="J262" s="2">
        <f>I262-H262</f>
        <v>-74.644832237363744</v>
      </c>
      <c r="K262" s="2">
        <f t="shared" si="34"/>
        <v>74.644832237363744</v>
      </c>
      <c r="L262" s="14">
        <f>C262/B262</f>
        <v>1.0731430194574636</v>
      </c>
      <c r="M262" s="14">
        <f t="shared" si="28"/>
        <v>1.0752803612561217</v>
      </c>
      <c r="N262" s="14">
        <f t="shared" si="32"/>
        <v>1.0729416478410578</v>
      </c>
      <c r="O262" s="14">
        <f t="shared" si="33"/>
        <v>1.0752897047398935</v>
      </c>
      <c r="P262" s="14">
        <f t="shared" si="27"/>
        <v>1.0877195254291678</v>
      </c>
      <c r="Q262" s="4" t="str">
        <f t="shared" si="31"/>
        <v>UNDER</v>
      </c>
      <c r="R262" s="4" t="str">
        <f t="shared" si="31"/>
        <v>OVER</v>
      </c>
      <c r="S262" s="4" t="str">
        <f t="shared" si="29"/>
        <v>UNDER</v>
      </c>
      <c r="T262" s="4" t="str">
        <f t="shared" si="29"/>
        <v>UNDER</v>
      </c>
      <c r="U262" s="2">
        <f>IF(Q262="OVER",$J262,$K262)</f>
        <v>74.644832237363744</v>
      </c>
      <c r="V262" s="2">
        <f>IF(R262="OVER",$J262,$K262)</f>
        <v>-74.644832237363744</v>
      </c>
      <c r="W262" s="2">
        <f>IF(S262="OVER",$J262,$K262)</f>
        <v>74.644832237363744</v>
      </c>
      <c r="X262" s="2">
        <f>IF(T262="OVER",$J262,$K262)</f>
        <v>74.644832237363744</v>
      </c>
      <c r="Y262" s="9">
        <f t="shared" si="30"/>
        <v>-6566.7656897502202</v>
      </c>
      <c r="Z262" s="9">
        <f t="shared" si="30"/>
        <v>-10124.566653094311</v>
      </c>
      <c r="AA262" s="9">
        <f t="shared" si="30"/>
        <v>17328.756300713005</v>
      </c>
      <c r="AB262" s="9">
        <f t="shared" si="30"/>
        <v>25.105917360570061</v>
      </c>
    </row>
    <row r="263" spans="1:28" x14ac:dyDescent="0.3">
      <c r="A263" s="1">
        <v>44792</v>
      </c>
      <c r="B263" s="2">
        <v>69.599999999999994</v>
      </c>
      <c r="C263" s="2">
        <v>74.930000000000007</v>
      </c>
      <c r="D263" s="9">
        <f>B263-B262</f>
        <v>-0.81000000000000227</v>
      </c>
      <c r="E263" s="9">
        <f>C263-C262</f>
        <v>-0.62999999999999545</v>
      </c>
      <c r="F263" s="3">
        <f>F$1/B263</f>
        <v>1436.7816091954023</v>
      </c>
      <c r="G263" s="3">
        <f>F$1/C263</f>
        <v>1334.5789403443212</v>
      </c>
      <c r="H263" s="2">
        <f>D263*F262</f>
        <v>-1150.4047720494282</v>
      </c>
      <c r="I263" s="2">
        <f>E263*G262</f>
        <v>-833.77448385388482</v>
      </c>
      <c r="J263" s="2">
        <f>I263-H263</f>
        <v>316.63028819554336</v>
      </c>
      <c r="K263" s="2">
        <f t="shared" si="34"/>
        <v>-316.63028819554336</v>
      </c>
      <c r="L263" s="14">
        <f>C263/B263</f>
        <v>1.0765804597701152</v>
      </c>
      <c r="M263" s="14">
        <f t="shared" si="28"/>
        <v>1.0757604043387772</v>
      </c>
      <c r="N263" s="14">
        <f t="shared" si="32"/>
        <v>1.0731146924058297</v>
      </c>
      <c r="O263" s="14">
        <f t="shared" si="33"/>
        <v>1.0753304153510717</v>
      </c>
      <c r="P263" s="14">
        <f t="shared" si="27"/>
        <v>1.0872867928432468</v>
      </c>
      <c r="Q263" s="4" t="str">
        <f t="shared" si="31"/>
        <v>UNDER</v>
      </c>
      <c r="R263" s="4" t="str">
        <f t="shared" si="31"/>
        <v>OVER</v>
      </c>
      <c r="S263" s="4" t="str">
        <f t="shared" si="29"/>
        <v>OVER</v>
      </c>
      <c r="T263" s="4" t="str">
        <f t="shared" si="29"/>
        <v>UNDER</v>
      </c>
      <c r="U263" s="2">
        <f>IF(Q263="OVER",$J263,$K263)</f>
        <v>-316.63028819554336</v>
      </c>
      <c r="V263" s="2">
        <f>IF(R263="OVER",$J263,$K263)</f>
        <v>316.63028819554336</v>
      </c>
      <c r="W263" s="2">
        <f>IF(S263="OVER",$J263,$K263)</f>
        <v>316.63028819554336</v>
      </c>
      <c r="X263" s="2">
        <f>IF(T263="OVER",$J263,$K263)</f>
        <v>-316.63028819554336</v>
      </c>
      <c r="Y263" s="9">
        <f t="shared" si="30"/>
        <v>-6883.3959779457637</v>
      </c>
      <c r="Z263" s="9">
        <f t="shared" si="30"/>
        <v>-9807.9363648987674</v>
      </c>
      <c r="AA263" s="9">
        <f t="shared" si="30"/>
        <v>17645.386588908546</v>
      </c>
      <c r="AB263" s="9">
        <f t="shared" si="30"/>
        <v>-291.5243708349733</v>
      </c>
    </row>
    <row r="264" spans="1:28" x14ac:dyDescent="0.3">
      <c r="A264" s="1">
        <v>44795</v>
      </c>
      <c r="B264" s="2">
        <v>68.69</v>
      </c>
      <c r="C264" s="2">
        <v>74.03</v>
      </c>
      <c r="D264" s="9">
        <f>B264-B263</f>
        <v>-0.90999999999999659</v>
      </c>
      <c r="E264" s="9">
        <f>C264-C263</f>
        <v>-0.90000000000000568</v>
      </c>
      <c r="F264" s="3">
        <f>F$1/B264</f>
        <v>1455.8159848595137</v>
      </c>
      <c r="G264" s="3">
        <f>F$1/C264</f>
        <v>1350.80372821829</v>
      </c>
      <c r="H264" s="2">
        <f>D264*F263</f>
        <v>-1307.4712643678113</v>
      </c>
      <c r="I264" s="2">
        <f>E264*G263</f>
        <v>-1201.1210463098967</v>
      </c>
      <c r="J264" s="2">
        <f>I264-H264</f>
        <v>106.35021805791462</v>
      </c>
      <c r="K264" s="2">
        <f t="shared" si="34"/>
        <v>-106.35021805791462</v>
      </c>
      <c r="L264" s="14">
        <f>C264/B264</f>
        <v>1.077740573591498</v>
      </c>
      <c r="M264" s="14">
        <f t="shared" si="28"/>
        <v>1.0762303639265396</v>
      </c>
      <c r="N264" s="14">
        <f t="shared" si="32"/>
        <v>1.0734233264867548</v>
      </c>
      <c r="O264" s="14">
        <f t="shared" si="33"/>
        <v>1.0753751843071413</v>
      </c>
      <c r="P264" s="14">
        <f t="shared" si="27"/>
        <v>1.0868603335826312</v>
      </c>
      <c r="Q264" s="4" t="str">
        <f t="shared" si="31"/>
        <v>OVER</v>
      </c>
      <c r="R264" s="4" t="str">
        <f t="shared" si="31"/>
        <v>OVER</v>
      </c>
      <c r="S264" s="4" t="str">
        <f t="shared" si="29"/>
        <v>OVER</v>
      </c>
      <c r="T264" s="4" t="str">
        <f t="shared" si="29"/>
        <v>UNDER</v>
      </c>
      <c r="U264" s="2">
        <f>IF(Q264="OVER",$J264,$K264)</f>
        <v>106.35021805791462</v>
      </c>
      <c r="V264" s="2">
        <f>IF(R264="OVER",$J264,$K264)</f>
        <v>106.35021805791462</v>
      </c>
      <c r="W264" s="2">
        <f>IF(S264="OVER",$J264,$K264)</f>
        <v>106.35021805791462</v>
      </c>
      <c r="X264" s="2">
        <f>IF(T264="OVER",$J264,$K264)</f>
        <v>-106.35021805791462</v>
      </c>
      <c r="Y264" s="9">
        <f t="shared" si="30"/>
        <v>-6777.0457598878493</v>
      </c>
      <c r="Z264" s="9">
        <f t="shared" si="30"/>
        <v>-9701.586146840853</v>
      </c>
      <c r="AA264" s="9">
        <f t="shared" si="30"/>
        <v>17751.736806966463</v>
      </c>
      <c r="AB264" s="9">
        <f t="shared" si="30"/>
        <v>-397.87458889288791</v>
      </c>
    </row>
    <row r="265" spans="1:28" x14ac:dyDescent="0.3">
      <c r="A265" s="1">
        <v>44796</v>
      </c>
      <c r="B265" s="2">
        <v>68.94</v>
      </c>
      <c r="C265" s="2">
        <v>74.42</v>
      </c>
      <c r="D265" s="9">
        <f>B265-B264</f>
        <v>0.25</v>
      </c>
      <c r="E265" s="9">
        <f>C265-C264</f>
        <v>0.39000000000000057</v>
      </c>
      <c r="F265" s="3">
        <f>F$1/B265</f>
        <v>1450.536698578474</v>
      </c>
      <c r="G265" s="3">
        <f>F$1/C265</f>
        <v>1343.7248051599033</v>
      </c>
      <c r="H265" s="2">
        <f>D265*F264</f>
        <v>363.95399621487843</v>
      </c>
      <c r="I265" s="2">
        <f>E265*G264</f>
        <v>526.81345400513385</v>
      </c>
      <c r="J265" s="2">
        <f>I265-H265</f>
        <v>162.85945779025542</v>
      </c>
      <c r="K265" s="2">
        <f t="shared" si="34"/>
        <v>-162.85945779025542</v>
      </c>
      <c r="L265" s="14">
        <f>C265/B265</f>
        <v>1.0794894110821005</v>
      </c>
      <c r="M265" s="14">
        <f t="shared" si="28"/>
        <v>1.0767837133874179</v>
      </c>
      <c r="N265" s="14">
        <f t="shared" si="32"/>
        <v>1.0738399150806113</v>
      </c>
      <c r="O265" s="14">
        <f t="shared" si="33"/>
        <v>1.0753802812445854</v>
      </c>
      <c r="P265" s="14">
        <f t="shared" si="27"/>
        <v>1.0864506385855466</v>
      </c>
      <c r="Q265" s="4" t="str">
        <f t="shared" si="31"/>
        <v>OVER</v>
      </c>
      <c r="R265" s="4" t="str">
        <f t="shared" si="31"/>
        <v>OVER</v>
      </c>
      <c r="S265" s="4" t="str">
        <f t="shared" si="29"/>
        <v>OVER</v>
      </c>
      <c r="T265" s="4" t="str">
        <f t="shared" si="29"/>
        <v>UNDER</v>
      </c>
      <c r="U265" s="2">
        <f>IF(Q265="OVER",$J265,$K265)</f>
        <v>162.85945779025542</v>
      </c>
      <c r="V265" s="2">
        <f>IF(R265="OVER",$J265,$K265)</f>
        <v>162.85945779025542</v>
      </c>
      <c r="W265" s="2">
        <f>IF(S265="OVER",$J265,$K265)</f>
        <v>162.85945779025542</v>
      </c>
      <c r="X265" s="2">
        <f>IF(T265="OVER",$J265,$K265)</f>
        <v>-162.85945779025542</v>
      </c>
      <c r="Y265" s="9">
        <f t="shared" si="30"/>
        <v>-6614.1863020975943</v>
      </c>
      <c r="Z265" s="9">
        <f t="shared" si="30"/>
        <v>-9538.726689050598</v>
      </c>
      <c r="AA265" s="9">
        <f t="shared" si="30"/>
        <v>17914.596264756718</v>
      </c>
      <c r="AB265" s="9">
        <f t="shared" si="30"/>
        <v>-560.73404668314333</v>
      </c>
    </row>
    <row r="266" spans="1:28" x14ac:dyDescent="0.3">
      <c r="A266" s="1">
        <v>44797</v>
      </c>
      <c r="B266" s="2">
        <v>69.150000000000006</v>
      </c>
      <c r="C266" s="2">
        <v>74.55</v>
      </c>
      <c r="D266" s="9">
        <f>B266-B265</f>
        <v>0.21000000000000796</v>
      </c>
      <c r="E266" s="9">
        <f>C266-C265</f>
        <v>0.12999999999999545</v>
      </c>
      <c r="F266" s="3">
        <f>F$1/B266</f>
        <v>1446.1315979754156</v>
      </c>
      <c r="G266" s="3">
        <f>F$1/C266</f>
        <v>1341.3816230717639</v>
      </c>
      <c r="H266" s="2">
        <f>D266*F265</f>
        <v>304.61270670149111</v>
      </c>
      <c r="I266" s="2">
        <f>E266*G265</f>
        <v>174.68422467078133</v>
      </c>
      <c r="J266" s="2">
        <f>I266-H266</f>
        <v>-129.92848203070977</v>
      </c>
      <c r="K266" s="2">
        <f t="shared" si="34"/>
        <v>129.92848203070977</v>
      </c>
      <c r="L266" s="14">
        <f>C266/B266</f>
        <v>1.0780911062906724</v>
      </c>
      <c r="M266" s="14">
        <f t="shared" si="28"/>
        <v>1.076557365051658</v>
      </c>
      <c r="N266" s="14">
        <f t="shared" si="32"/>
        <v>1.0741517007506871</v>
      </c>
      <c r="O266" s="14">
        <f t="shared" si="33"/>
        <v>1.0754286067250565</v>
      </c>
      <c r="P266" s="14">
        <f t="shared" si="27"/>
        <v>1.0860221576126248</v>
      </c>
      <c r="Q266" s="4" t="str">
        <f t="shared" si="31"/>
        <v>OVER</v>
      </c>
      <c r="R266" s="4" t="str">
        <f t="shared" si="31"/>
        <v>OVER</v>
      </c>
      <c r="S266" s="4" t="str">
        <f t="shared" si="29"/>
        <v>OVER</v>
      </c>
      <c r="T266" s="4" t="str">
        <f t="shared" si="29"/>
        <v>UNDER</v>
      </c>
      <c r="U266" s="2">
        <f>IF(Q266="OVER",$J266,$K266)</f>
        <v>-129.92848203070977</v>
      </c>
      <c r="V266" s="2">
        <f>IF(R266="OVER",$J266,$K266)</f>
        <v>-129.92848203070977</v>
      </c>
      <c r="W266" s="2">
        <f>IF(S266="OVER",$J266,$K266)</f>
        <v>-129.92848203070977</v>
      </c>
      <c r="X266" s="2">
        <f>IF(T266="OVER",$J266,$K266)</f>
        <v>129.92848203070977</v>
      </c>
      <c r="Y266" s="9">
        <f t="shared" si="30"/>
        <v>-6744.1147841283037</v>
      </c>
      <c r="Z266" s="9">
        <f t="shared" si="30"/>
        <v>-9668.6551710813073</v>
      </c>
      <c r="AA266" s="9">
        <f t="shared" si="30"/>
        <v>17784.667782726006</v>
      </c>
      <c r="AB266" s="9">
        <f t="shared" si="30"/>
        <v>-430.80556465243353</v>
      </c>
    </row>
    <row r="267" spans="1:28" x14ac:dyDescent="0.3">
      <c r="A267" s="1">
        <v>44798</v>
      </c>
      <c r="B267" s="2">
        <v>69.97</v>
      </c>
      <c r="C267" s="2">
        <v>75.319999999999993</v>
      </c>
      <c r="D267" s="9">
        <f>B267-B266</f>
        <v>0.81999999999999318</v>
      </c>
      <c r="E267" s="9">
        <f>C267-C266</f>
        <v>0.76999999999999602</v>
      </c>
      <c r="F267" s="3">
        <f>F$1/B267</f>
        <v>1429.1839359725598</v>
      </c>
      <c r="G267" s="3">
        <f>F$1/C267</f>
        <v>1327.6686139139672</v>
      </c>
      <c r="H267" s="2">
        <f>D267*F266</f>
        <v>1185.8279103398309</v>
      </c>
      <c r="I267" s="2">
        <f>E267*G266</f>
        <v>1032.8638497652528</v>
      </c>
      <c r="J267" s="2">
        <f>I267-H267</f>
        <v>-152.96406057457807</v>
      </c>
      <c r="K267" s="2">
        <f t="shared" si="34"/>
        <v>152.96406057457807</v>
      </c>
      <c r="L267" s="14">
        <f>C267/B267</f>
        <v>1.0764613405745318</v>
      </c>
      <c r="M267" s="14">
        <f t="shared" si="28"/>
        <v>1.0766286060991255</v>
      </c>
      <c r="N267" s="14">
        <f t="shared" si="32"/>
        <v>1.0746907441107747</v>
      </c>
      <c r="O267" s="14">
        <f t="shared" si="33"/>
        <v>1.0754261048713392</v>
      </c>
      <c r="P267" s="14">
        <f t="shared" ref="P267:P330" si="35">AVERAGE(L68:L267)</f>
        <v>1.0855766238507447</v>
      </c>
      <c r="Q267" s="4" t="str">
        <f t="shared" si="31"/>
        <v>OVER</v>
      </c>
      <c r="R267" s="4" t="str">
        <f t="shared" si="31"/>
        <v>OVER</v>
      </c>
      <c r="S267" s="4" t="str">
        <f t="shared" si="29"/>
        <v>OVER</v>
      </c>
      <c r="T267" s="4" t="str">
        <f t="shared" si="29"/>
        <v>UNDER</v>
      </c>
      <c r="U267" s="2">
        <f>IF(Q267="OVER",$J267,$K267)</f>
        <v>-152.96406057457807</v>
      </c>
      <c r="V267" s="2">
        <f>IF(R267="OVER",$J267,$K267)</f>
        <v>-152.96406057457807</v>
      </c>
      <c r="W267" s="2">
        <f>IF(S267="OVER",$J267,$K267)</f>
        <v>-152.96406057457807</v>
      </c>
      <c r="X267" s="2">
        <f>IF(T267="OVER",$J267,$K267)</f>
        <v>152.96406057457807</v>
      </c>
      <c r="Y267" s="9">
        <f t="shared" si="30"/>
        <v>-6897.0788447028817</v>
      </c>
      <c r="Z267" s="9">
        <f t="shared" si="30"/>
        <v>-9821.6192316558845</v>
      </c>
      <c r="AA267" s="9">
        <f t="shared" si="30"/>
        <v>17631.703722151429</v>
      </c>
      <c r="AB267" s="9">
        <f t="shared" si="30"/>
        <v>-277.84150407785546</v>
      </c>
    </row>
    <row r="268" spans="1:28" x14ac:dyDescent="0.3">
      <c r="A268" s="1">
        <v>44799</v>
      </c>
      <c r="B268" s="2">
        <v>68.88</v>
      </c>
      <c r="C268" s="2">
        <v>74.3</v>
      </c>
      <c r="D268" s="9">
        <f>B268-B267</f>
        <v>-1.0900000000000034</v>
      </c>
      <c r="E268" s="9">
        <f>C268-C267</f>
        <v>-1.019999999999996</v>
      </c>
      <c r="F268" s="3">
        <f>F$1/B268</f>
        <v>1451.8002322880373</v>
      </c>
      <c r="G268" s="3">
        <f>F$1/C268</f>
        <v>1345.8950201884254</v>
      </c>
      <c r="H268" s="2">
        <f>D268*F267</f>
        <v>-1557.8104902100949</v>
      </c>
      <c r="I268" s="2">
        <f>E268*G267</f>
        <v>-1354.2219861922413</v>
      </c>
      <c r="J268" s="2">
        <f>I268-H268</f>
        <v>203.58850401785367</v>
      </c>
      <c r="K268" s="2">
        <f t="shared" si="34"/>
        <v>-203.58850401785367</v>
      </c>
      <c r="L268" s="14">
        <f>C268/B268</f>
        <v>1.0786875725900116</v>
      </c>
      <c r="M268" s="14">
        <f t="shared" si="28"/>
        <v>1.0767071753191051</v>
      </c>
      <c r="N268" s="14">
        <f t="shared" si="32"/>
        <v>1.0752927702318158</v>
      </c>
      <c r="O268" s="14">
        <f t="shared" si="33"/>
        <v>1.0753774057787444</v>
      </c>
      <c r="P268" s="14">
        <f t="shared" si="35"/>
        <v>1.0851300124636389</v>
      </c>
      <c r="Q268" s="4" t="str">
        <f t="shared" si="31"/>
        <v>UNDER</v>
      </c>
      <c r="R268" s="4" t="str">
        <f t="shared" si="31"/>
        <v>OVER</v>
      </c>
      <c r="S268" s="4" t="str">
        <f t="shared" si="29"/>
        <v>OVER</v>
      </c>
      <c r="T268" s="4" t="str">
        <f t="shared" si="29"/>
        <v>UNDER</v>
      </c>
      <c r="U268" s="2">
        <f>IF(Q268="OVER",$J268,$K268)</f>
        <v>-203.58850401785367</v>
      </c>
      <c r="V268" s="2">
        <f>IF(R268="OVER",$J268,$K268)</f>
        <v>203.58850401785367</v>
      </c>
      <c r="W268" s="2">
        <f>IF(S268="OVER",$J268,$K268)</f>
        <v>203.58850401785367</v>
      </c>
      <c r="X268" s="2">
        <f>IF(T268="OVER",$J268,$K268)</f>
        <v>-203.58850401785367</v>
      </c>
      <c r="Y268" s="9">
        <f t="shared" si="30"/>
        <v>-7100.6673487207354</v>
      </c>
      <c r="Z268" s="9">
        <f t="shared" si="30"/>
        <v>-9618.0307276380299</v>
      </c>
      <c r="AA268" s="9">
        <f t="shared" si="30"/>
        <v>17835.292226169284</v>
      </c>
      <c r="AB268" s="9">
        <f t="shared" ref="AB268:AB331" si="36">AB267+X268</f>
        <v>-481.43000809570913</v>
      </c>
    </row>
    <row r="269" spans="1:28" x14ac:dyDescent="0.3">
      <c r="A269" s="1">
        <v>44802</v>
      </c>
      <c r="B269" s="2">
        <v>68.56</v>
      </c>
      <c r="C269" s="2">
        <v>73.8</v>
      </c>
      <c r="D269" s="9">
        <f>B269-B268</f>
        <v>-0.31999999999999318</v>
      </c>
      <c r="E269" s="9">
        <f>C269-C268</f>
        <v>-0.5</v>
      </c>
      <c r="F269" s="3">
        <f>F$1/B269</f>
        <v>1458.5764294049009</v>
      </c>
      <c r="G269" s="3">
        <f>F$1/C269</f>
        <v>1355.0135501355014</v>
      </c>
      <c r="H269" s="2">
        <f>D269*F268</f>
        <v>-464.57607433216202</v>
      </c>
      <c r="I269" s="2">
        <f>E269*G268</f>
        <v>-672.9475100942127</v>
      </c>
      <c r="J269" s="2">
        <f>I269-H269</f>
        <v>-208.37143576205068</v>
      </c>
      <c r="K269" s="2">
        <f t="shared" si="34"/>
        <v>208.37143576205068</v>
      </c>
      <c r="L269" s="14">
        <f>C269/B269</f>
        <v>1.0764294049008167</v>
      </c>
      <c r="M269" s="14">
        <f t="shared" ref="M269:M332" si="37">AVERAGE(L260:L269)</f>
        <v>1.0766999962760688</v>
      </c>
      <c r="N269" s="14">
        <f t="shared" si="32"/>
        <v>1.0756618946521295</v>
      </c>
      <c r="O269" s="14">
        <f t="shared" si="33"/>
        <v>1.0753138594016574</v>
      </c>
      <c r="P269" s="14">
        <f t="shared" si="35"/>
        <v>1.0846796773635259</v>
      </c>
      <c r="Q269" s="4" t="str">
        <f t="shared" si="31"/>
        <v>OVER</v>
      </c>
      <c r="R269" s="4" t="str">
        <f t="shared" si="31"/>
        <v>OVER</v>
      </c>
      <c r="S269" s="4" t="str">
        <f t="shared" ref="S269:T332" si="38">IF($L269&gt;O269,"OVER","UNDER")</f>
        <v>OVER</v>
      </c>
      <c r="T269" s="4" t="str">
        <f t="shared" si="38"/>
        <v>UNDER</v>
      </c>
      <c r="U269" s="2">
        <f>IF(Q269="OVER",$J269,$K269)</f>
        <v>-208.37143576205068</v>
      </c>
      <c r="V269" s="2">
        <f>IF(R269="OVER",$J269,$K269)</f>
        <v>-208.37143576205068</v>
      </c>
      <c r="W269" s="2">
        <f>IF(S269="OVER",$J269,$K269)</f>
        <v>-208.37143576205068</v>
      </c>
      <c r="X269" s="2">
        <f>IF(T269="OVER",$J269,$K269)</f>
        <v>208.37143576205068</v>
      </c>
      <c r="Y269" s="9">
        <f t="shared" ref="Y269:AB332" si="39">Y268+U269</f>
        <v>-7309.0387844827865</v>
      </c>
      <c r="Z269" s="9">
        <f t="shared" si="39"/>
        <v>-9826.4021634000801</v>
      </c>
      <c r="AA269" s="9">
        <f t="shared" si="39"/>
        <v>17626.920790407232</v>
      </c>
      <c r="AB269" s="9">
        <f t="shared" si="36"/>
        <v>-273.05857233365845</v>
      </c>
    </row>
    <row r="270" spans="1:28" x14ac:dyDescent="0.3">
      <c r="A270" s="1">
        <v>44803</v>
      </c>
      <c r="B270" s="2">
        <v>68.2</v>
      </c>
      <c r="C270" s="2">
        <v>73.48</v>
      </c>
      <c r="D270" s="9">
        <f>B270-B269</f>
        <v>-0.35999999999999943</v>
      </c>
      <c r="E270" s="9">
        <f>C270-C269</f>
        <v>-0.31999999999999318</v>
      </c>
      <c r="F270" s="3">
        <f>F$1/B270</f>
        <v>1466.2756598240469</v>
      </c>
      <c r="G270" s="3">
        <f>F$1/C270</f>
        <v>1360.9145345672291</v>
      </c>
      <c r="H270" s="2">
        <f>D270*F269</f>
        <v>-525.08751458576353</v>
      </c>
      <c r="I270" s="2">
        <f>E270*G269</f>
        <v>-433.60433604335122</v>
      </c>
      <c r="J270" s="2">
        <f>I270-H270</f>
        <v>91.483178542412304</v>
      </c>
      <c r="K270" s="2">
        <f t="shared" si="34"/>
        <v>-91.483178542412304</v>
      </c>
      <c r="L270" s="14">
        <f>C270/B270</f>
        <v>1.0774193548387097</v>
      </c>
      <c r="M270" s="14">
        <f t="shared" si="37"/>
        <v>1.0767984400098343</v>
      </c>
      <c r="N270" s="14">
        <f t="shared" si="32"/>
        <v>1.0759252209539474</v>
      </c>
      <c r="O270" s="14">
        <f t="shared" si="33"/>
        <v>1.0752814687557821</v>
      </c>
      <c r="P270" s="14">
        <f t="shared" si="35"/>
        <v>1.0842378669165647</v>
      </c>
      <c r="Q270" s="4" t="str">
        <f t="shared" ref="Q270:R333" si="40">IF($L269&gt;M269,"OVER","UNDER")</f>
        <v>UNDER</v>
      </c>
      <c r="R270" s="4" t="str">
        <f t="shared" si="40"/>
        <v>OVER</v>
      </c>
      <c r="S270" s="4" t="str">
        <f t="shared" si="38"/>
        <v>OVER</v>
      </c>
      <c r="T270" s="4" t="str">
        <f t="shared" si="38"/>
        <v>UNDER</v>
      </c>
      <c r="U270" s="2">
        <f>IF(Q270="OVER",$J270,$K270)</f>
        <v>-91.483178542412304</v>
      </c>
      <c r="V270" s="2">
        <f>IF(R270="OVER",$J270,$K270)</f>
        <v>91.483178542412304</v>
      </c>
      <c r="W270" s="2">
        <f>IF(S270="OVER",$J270,$K270)</f>
        <v>91.483178542412304</v>
      </c>
      <c r="X270" s="2">
        <f>IF(T270="OVER",$J270,$K270)</f>
        <v>-91.483178542412304</v>
      </c>
      <c r="Y270" s="9">
        <f t="shared" si="39"/>
        <v>-7400.5219630251986</v>
      </c>
      <c r="Z270" s="9">
        <f t="shared" si="39"/>
        <v>-9734.918984857668</v>
      </c>
      <c r="AA270" s="9">
        <f t="shared" si="39"/>
        <v>17718.403968949646</v>
      </c>
      <c r="AB270" s="9">
        <f t="shared" si="36"/>
        <v>-364.54175087607075</v>
      </c>
    </row>
    <row r="271" spans="1:28" x14ac:dyDescent="0.3">
      <c r="A271" s="1">
        <v>44804</v>
      </c>
      <c r="B271" s="2">
        <v>68.02</v>
      </c>
      <c r="C271" s="2">
        <v>73.290000000000006</v>
      </c>
      <c r="D271" s="9">
        <f>B271-B270</f>
        <v>-0.18000000000000682</v>
      </c>
      <c r="E271" s="9">
        <f>C271-C270</f>
        <v>-0.18999999999999773</v>
      </c>
      <c r="F271" s="3">
        <f>F$1/B271</f>
        <v>1470.1558365186711</v>
      </c>
      <c r="G271" s="3">
        <f>F$1/C271</f>
        <v>1364.4426251876107</v>
      </c>
      <c r="H271" s="2">
        <f>D271*F270</f>
        <v>-263.92961876833846</v>
      </c>
      <c r="I271" s="2">
        <f>E271*G270</f>
        <v>-258.57376156777042</v>
      </c>
      <c r="J271" s="2">
        <f>I271-H271</f>
        <v>5.3558572005680389</v>
      </c>
      <c r="K271" s="2">
        <f t="shared" si="34"/>
        <v>-5.3558572005680389</v>
      </c>
      <c r="L271" s="14">
        <f>C271/B271</f>
        <v>1.0774772125845342</v>
      </c>
      <c r="M271" s="14">
        <f t="shared" si="37"/>
        <v>1.0771519455680454</v>
      </c>
      <c r="N271" s="14">
        <f t="shared" si="32"/>
        <v>1.0761857579046803</v>
      </c>
      <c r="O271" s="14">
        <f t="shared" si="33"/>
        <v>1.0751490320076287</v>
      </c>
      <c r="P271" s="14">
        <f t="shared" si="35"/>
        <v>1.0838016640431256</v>
      </c>
      <c r="Q271" s="4" t="str">
        <f t="shared" si="40"/>
        <v>OVER</v>
      </c>
      <c r="R271" s="4" t="str">
        <f t="shared" si="40"/>
        <v>OVER</v>
      </c>
      <c r="S271" s="4" t="str">
        <f t="shared" si="38"/>
        <v>OVER</v>
      </c>
      <c r="T271" s="4" t="str">
        <f t="shared" si="38"/>
        <v>UNDER</v>
      </c>
      <c r="U271" s="2">
        <f>IF(Q271="OVER",$J271,$K271)</f>
        <v>5.3558572005680389</v>
      </c>
      <c r="V271" s="2">
        <f>IF(R271="OVER",$J271,$K271)</f>
        <v>5.3558572005680389</v>
      </c>
      <c r="W271" s="2">
        <f>IF(S271="OVER",$J271,$K271)</f>
        <v>5.3558572005680389</v>
      </c>
      <c r="X271" s="2">
        <f>IF(T271="OVER",$J271,$K271)</f>
        <v>-5.3558572005680389</v>
      </c>
      <c r="Y271" s="9">
        <f t="shared" si="39"/>
        <v>-7395.1661058246309</v>
      </c>
      <c r="Z271" s="9">
        <f t="shared" si="39"/>
        <v>-9729.5631276571003</v>
      </c>
      <c r="AA271" s="9">
        <f t="shared" si="39"/>
        <v>17723.759826150213</v>
      </c>
      <c r="AB271" s="9">
        <f t="shared" si="36"/>
        <v>-369.89760807663879</v>
      </c>
    </row>
    <row r="272" spans="1:28" x14ac:dyDescent="0.3">
      <c r="A272" s="1">
        <v>44805</v>
      </c>
      <c r="B272" s="2">
        <v>67.39</v>
      </c>
      <c r="C272" s="2">
        <v>72.78</v>
      </c>
      <c r="D272" s="9">
        <f>B272-B271</f>
        <v>-0.62999999999999545</v>
      </c>
      <c r="E272" s="9">
        <f>C272-C271</f>
        <v>-0.51000000000000512</v>
      </c>
      <c r="F272" s="3">
        <f>F$1/B272</f>
        <v>1483.8996883810655</v>
      </c>
      <c r="G272" s="3">
        <f>F$1/C272</f>
        <v>1374.0038472107722</v>
      </c>
      <c r="H272" s="2">
        <f>D272*F271</f>
        <v>-926.19817700675605</v>
      </c>
      <c r="I272" s="2">
        <f>E272*G271</f>
        <v>-695.86573884568838</v>
      </c>
      <c r="J272" s="2">
        <f>I272-H272</f>
        <v>230.33243816106767</v>
      </c>
      <c r="K272" s="2">
        <f t="shared" si="34"/>
        <v>-230.33243816106767</v>
      </c>
      <c r="L272" s="14">
        <f>C272/B272</f>
        <v>1.0799821932037394</v>
      </c>
      <c r="M272" s="14">
        <f t="shared" si="37"/>
        <v>1.077835862942673</v>
      </c>
      <c r="N272" s="14">
        <f t="shared" si="32"/>
        <v>1.0765581120993974</v>
      </c>
      <c r="O272" s="14">
        <f t="shared" si="33"/>
        <v>1.0751578727025253</v>
      </c>
      <c r="P272" s="14">
        <f t="shared" si="35"/>
        <v>1.0833704954508843</v>
      </c>
      <c r="Q272" s="4" t="str">
        <f t="shared" si="40"/>
        <v>OVER</v>
      </c>
      <c r="R272" s="4" t="str">
        <f t="shared" si="40"/>
        <v>OVER</v>
      </c>
      <c r="S272" s="4" t="str">
        <f t="shared" si="38"/>
        <v>OVER</v>
      </c>
      <c r="T272" s="4" t="str">
        <f t="shared" si="38"/>
        <v>UNDER</v>
      </c>
      <c r="U272" s="2">
        <f>IF(Q272="OVER",$J272,$K272)</f>
        <v>230.33243816106767</v>
      </c>
      <c r="V272" s="2">
        <f>IF(R272="OVER",$J272,$K272)</f>
        <v>230.33243816106767</v>
      </c>
      <c r="W272" s="2">
        <f>IF(S272="OVER",$J272,$K272)</f>
        <v>230.33243816106767</v>
      </c>
      <c r="X272" s="2">
        <f>IF(T272="OVER",$J272,$K272)</f>
        <v>-230.33243816106767</v>
      </c>
      <c r="Y272" s="9">
        <f t="shared" si="39"/>
        <v>-7164.8336676635636</v>
      </c>
      <c r="Z272" s="9">
        <f t="shared" si="39"/>
        <v>-9499.2306894960329</v>
      </c>
      <c r="AA272" s="9">
        <f t="shared" si="39"/>
        <v>17954.092264311283</v>
      </c>
      <c r="AB272" s="9">
        <f t="shared" si="36"/>
        <v>-600.23004623770646</v>
      </c>
    </row>
    <row r="273" spans="1:28" x14ac:dyDescent="0.3">
      <c r="A273" s="1">
        <v>44806</v>
      </c>
      <c r="B273" s="2">
        <v>67.040000000000006</v>
      </c>
      <c r="C273" s="2">
        <v>72.39</v>
      </c>
      <c r="D273" s="9">
        <f>B273-B272</f>
        <v>-0.34999999999999432</v>
      </c>
      <c r="E273" s="9">
        <f>C273-C272</f>
        <v>-0.39000000000000057</v>
      </c>
      <c r="F273" s="3">
        <f>F$1/B273</f>
        <v>1491.6467780429593</v>
      </c>
      <c r="G273" s="3">
        <f>F$1/C273</f>
        <v>1381.406271584473</v>
      </c>
      <c r="H273" s="2">
        <f>D273*F272</f>
        <v>-519.36489093336445</v>
      </c>
      <c r="I273" s="2">
        <f>E273*G272</f>
        <v>-535.86150041220196</v>
      </c>
      <c r="J273" s="2">
        <f>I273-H273</f>
        <v>-16.496609478837513</v>
      </c>
      <c r="K273" s="2">
        <f t="shared" si="34"/>
        <v>16.496609478837513</v>
      </c>
      <c r="L273" s="14">
        <f>C273/B273</f>
        <v>1.0798031026252983</v>
      </c>
      <c r="M273" s="14">
        <f t="shared" si="37"/>
        <v>1.0781581272281913</v>
      </c>
      <c r="N273" s="14">
        <f t="shared" si="32"/>
        <v>1.0769592657834843</v>
      </c>
      <c r="O273" s="14">
        <f t="shared" si="33"/>
        <v>1.0751944146073844</v>
      </c>
      <c r="P273" s="14">
        <f t="shared" si="35"/>
        <v>1.082948246789766</v>
      </c>
      <c r="Q273" s="4" t="str">
        <f t="shared" si="40"/>
        <v>OVER</v>
      </c>
      <c r="R273" s="4" t="str">
        <f t="shared" si="40"/>
        <v>OVER</v>
      </c>
      <c r="S273" s="4" t="str">
        <f t="shared" si="38"/>
        <v>OVER</v>
      </c>
      <c r="T273" s="4" t="str">
        <f t="shared" si="38"/>
        <v>UNDER</v>
      </c>
      <c r="U273" s="2">
        <f>IF(Q273="OVER",$J273,$K273)</f>
        <v>-16.496609478837513</v>
      </c>
      <c r="V273" s="2">
        <f>IF(R273="OVER",$J273,$K273)</f>
        <v>-16.496609478837513</v>
      </c>
      <c r="W273" s="2">
        <f>IF(S273="OVER",$J273,$K273)</f>
        <v>-16.496609478837513</v>
      </c>
      <c r="X273" s="2">
        <f>IF(T273="OVER",$J273,$K273)</f>
        <v>16.496609478837513</v>
      </c>
      <c r="Y273" s="9">
        <f t="shared" si="39"/>
        <v>-7181.3302771424014</v>
      </c>
      <c r="Z273" s="9">
        <f t="shared" si="39"/>
        <v>-9515.7272989748708</v>
      </c>
      <c r="AA273" s="9">
        <f t="shared" si="39"/>
        <v>17937.595654832447</v>
      </c>
      <c r="AB273" s="9">
        <f t="shared" si="36"/>
        <v>-583.73343675886895</v>
      </c>
    </row>
    <row r="274" spans="1:28" x14ac:dyDescent="0.3">
      <c r="A274" s="1">
        <v>44810</v>
      </c>
      <c r="B274" s="2">
        <v>66.63</v>
      </c>
      <c r="C274" s="2">
        <v>71.930000000000007</v>
      </c>
      <c r="D274" s="9">
        <f>B274-B273</f>
        <v>-0.4100000000000108</v>
      </c>
      <c r="E274" s="9">
        <f>C274-C273</f>
        <v>-0.45999999999999375</v>
      </c>
      <c r="F274" s="3">
        <f>F$1/B274</f>
        <v>1500.8254539996999</v>
      </c>
      <c r="G274" s="3">
        <f>F$1/C274</f>
        <v>1390.2405116085081</v>
      </c>
      <c r="H274" s="2">
        <f>D274*F273</f>
        <v>-611.57517899762945</v>
      </c>
      <c r="I274" s="2">
        <f>E274*G273</f>
        <v>-635.44688492884893</v>
      </c>
      <c r="J274" s="2">
        <f>I274-H274</f>
        <v>-23.871705931219481</v>
      </c>
      <c r="K274" s="2">
        <f t="shared" si="34"/>
        <v>23.871705931219481</v>
      </c>
      <c r="L274" s="14">
        <f>C274/B274</f>
        <v>1.0795437490619844</v>
      </c>
      <c r="M274" s="14">
        <f t="shared" si="37"/>
        <v>1.0783384447752398</v>
      </c>
      <c r="N274" s="14">
        <f t="shared" si="32"/>
        <v>1.0772844043508898</v>
      </c>
      <c r="O274" s="14">
        <f t="shared" si="33"/>
        <v>1.0751806877115428</v>
      </c>
      <c r="P274" s="14">
        <f t="shared" si="35"/>
        <v>1.0825358590315637</v>
      </c>
      <c r="Q274" s="4" t="str">
        <f t="shared" si="40"/>
        <v>OVER</v>
      </c>
      <c r="R274" s="4" t="str">
        <f t="shared" si="40"/>
        <v>OVER</v>
      </c>
      <c r="S274" s="4" t="str">
        <f t="shared" si="38"/>
        <v>OVER</v>
      </c>
      <c r="T274" s="4" t="str">
        <f t="shared" si="38"/>
        <v>UNDER</v>
      </c>
      <c r="U274" s="2">
        <f>IF(Q274="OVER",$J274,$K274)</f>
        <v>-23.871705931219481</v>
      </c>
      <c r="V274" s="2">
        <f>IF(R274="OVER",$J274,$K274)</f>
        <v>-23.871705931219481</v>
      </c>
      <c r="W274" s="2">
        <f>IF(S274="OVER",$J274,$K274)</f>
        <v>-23.871705931219481</v>
      </c>
      <c r="X274" s="2">
        <f>IF(T274="OVER",$J274,$K274)</f>
        <v>23.871705931219481</v>
      </c>
      <c r="Y274" s="9">
        <f t="shared" si="39"/>
        <v>-7205.2019830736208</v>
      </c>
      <c r="Z274" s="9">
        <f t="shared" si="39"/>
        <v>-9539.5990049060911</v>
      </c>
      <c r="AA274" s="9">
        <f t="shared" si="39"/>
        <v>17913.723948901228</v>
      </c>
      <c r="AB274" s="9">
        <f t="shared" si="36"/>
        <v>-559.86173082764947</v>
      </c>
    </row>
    <row r="275" spans="1:28" x14ac:dyDescent="0.3">
      <c r="A275" s="1">
        <v>44811</v>
      </c>
      <c r="B275" s="2">
        <v>67.47</v>
      </c>
      <c r="C275" s="2">
        <v>72.760000000000005</v>
      </c>
      <c r="D275" s="9">
        <f>B275-B274</f>
        <v>0.84000000000000341</v>
      </c>
      <c r="E275" s="9">
        <f>C275-C274</f>
        <v>0.82999999999999829</v>
      </c>
      <c r="F275" s="3">
        <f>F$1/B275</f>
        <v>1482.1402104639099</v>
      </c>
      <c r="G275" s="3">
        <f>F$1/C275</f>
        <v>1374.3815283122594</v>
      </c>
      <c r="H275" s="2">
        <f>D275*F274</f>
        <v>1260.6933813597529</v>
      </c>
      <c r="I275" s="2">
        <f>E275*G274</f>
        <v>1153.8996246350594</v>
      </c>
      <c r="J275" s="2">
        <f>I275-H275</f>
        <v>-106.79375672469359</v>
      </c>
      <c r="K275" s="2">
        <f t="shared" si="34"/>
        <v>106.79375672469359</v>
      </c>
      <c r="L275" s="14">
        <f>C275/B275</f>
        <v>1.078405217133541</v>
      </c>
      <c r="M275" s="14">
        <f t="shared" si="37"/>
        <v>1.078230025380384</v>
      </c>
      <c r="N275" s="14">
        <f t="shared" si="32"/>
        <v>1.0775068693839007</v>
      </c>
      <c r="O275" s="14">
        <f t="shared" si="33"/>
        <v>1.0752426677535936</v>
      </c>
      <c r="P275" s="14">
        <f t="shared" si="35"/>
        <v>1.0821273601828483</v>
      </c>
      <c r="Q275" s="4" t="str">
        <f t="shared" si="40"/>
        <v>OVER</v>
      </c>
      <c r="R275" s="4" t="str">
        <f t="shared" si="40"/>
        <v>OVER</v>
      </c>
      <c r="S275" s="4" t="str">
        <f t="shared" si="38"/>
        <v>OVER</v>
      </c>
      <c r="T275" s="4" t="str">
        <f t="shared" si="38"/>
        <v>UNDER</v>
      </c>
      <c r="U275" s="2">
        <f>IF(Q275="OVER",$J275,$K275)</f>
        <v>-106.79375672469359</v>
      </c>
      <c r="V275" s="2">
        <f>IF(R275="OVER",$J275,$K275)</f>
        <v>-106.79375672469359</v>
      </c>
      <c r="W275" s="2">
        <f>IF(S275="OVER",$J275,$K275)</f>
        <v>-106.79375672469359</v>
      </c>
      <c r="X275" s="2">
        <f>IF(T275="OVER",$J275,$K275)</f>
        <v>106.79375672469359</v>
      </c>
      <c r="Y275" s="9">
        <f t="shared" si="39"/>
        <v>-7311.9957397983144</v>
      </c>
      <c r="Z275" s="9">
        <f t="shared" si="39"/>
        <v>-9646.3927616307847</v>
      </c>
      <c r="AA275" s="9">
        <f t="shared" si="39"/>
        <v>17806.930192176536</v>
      </c>
      <c r="AB275" s="9">
        <f t="shared" si="36"/>
        <v>-453.06797410295587</v>
      </c>
    </row>
    <row r="276" spans="1:28" x14ac:dyDescent="0.3">
      <c r="A276" s="1">
        <v>44812</v>
      </c>
      <c r="B276" s="2">
        <v>67.98</v>
      </c>
      <c r="C276" s="2">
        <v>73.239999999999995</v>
      </c>
      <c r="D276" s="9">
        <f>B276-B275</f>
        <v>0.51000000000000512</v>
      </c>
      <c r="E276" s="9">
        <f>C276-C275</f>
        <v>0.47999999999998977</v>
      </c>
      <c r="F276" s="3">
        <f>F$1/B276</f>
        <v>1471.0208884966166</v>
      </c>
      <c r="G276" s="3">
        <f>F$1/C276</f>
        <v>1365.374112506827</v>
      </c>
      <c r="H276" s="2">
        <f>D276*F275</f>
        <v>755.89150733660165</v>
      </c>
      <c r="I276" s="2">
        <f>E276*G275</f>
        <v>659.7031335898705</v>
      </c>
      <c r="J276" s="2">
        <f>I276-H276</f>
        <v>-96.188373746731145</v>
      </c>
      <c r="K276" s="2">
        <f t="shared" si="34"/>
        <v>96.188373746731145</v>
      </c>
      <c r="L276" s="14">
        <f>C276/B276</f>
        <v>1.0773756987349219</v>
      </c>
      <c r="M276" s="14">
        <f t="shared" si="37"/>
        <v>1.0781584846248091</v>
      </c>
      <c r="N276" s="14">
        <f t="shared" si="32"/>
        <v>1.0773579248382334</v>
      </c>
      <c r="O276" s="14">
        <f t="shared" si="33"/>
        <v>1.0752757733898493</v>
      </c>
      <c r="P276" s="14">
        <f t="shared" si="35"/>
        <v>1.0817217793595391</v>
      </c>
      <c r="Q276" s="4" t="str">
        <f t="shared" si="40"/>
        <v>OVER</v>
      </c>
      <c r="R276" s="4" t="str">
        <f t="shared" si="40"/>
        <v>OVER</v>
      </c>
      <c r="S276" s="4" t="str">
        <f t="shared" si="38"/>
        <v>OVER</v>
      </c>
      <c r="T276" s="4" t="str">
        <f t="shared" si="38"/>
        <v>UNDER</v>
      </c>
      <c r="U276" s="2">
        <f>IF(Q276="OVER",$J276,$K276)</f>
        <v>-96.188373746731145</v>
      </c>
      <c r="V276" s="2">
        <f>IF(R276="OVER",$J276,$K276)</f>
        <v>-96.188373746731145</v>
      </c>
      <c r="W276" s="2">
        <f>IF(S276="OVER",$J276,$K276)</f>
        <v>-96.188373746731145</v>
      </c>
      <c r="X276" s="2">
        <f>IF(T276="OVER",$J276,$K276)</f>
        <v>96.188373746731145</v>
      </c>
      <c r="Y276" s="9">
        <f t="shared" si="39"/>
        <v>-7408.1841135450459</v>
      </c>
      <c r="Z276" s="9">
        <f t="shared" si="39"/>
        <v>-9742.5811353775152</v>
      </c>
      <c r="AA276" s="9">
        <f t="shared" si="39"/>
        <v>17710.741818429804</v>
      </c>
      <c r="AB276" s="9">
        <f t="shared" si="36"/>
        <v>-356.87960035622473</v>
      </c>
    </row>
    <row r="277" spans="1:28" x14ac:dyDescent="0.3">
      <c r="A277" s="1">
        <v>44813</v>
      </c>
      <c r="B277" s="2">
        <v>68.709999999999994</v>
      </c>
      <c r="C277" s="2">
        <v>74.27</v>
      </c>
      <c r="D277" s="9">
        <f>B277-B276</f>
        <v>0.72999999999998977</v>
      </c>
      <c r="E277" s="9">
        <f>C277-C276</f>
        <v>1.0300000000000011</v>
      </c>
      <c r="F277" s="3">
        <f>F$1/B277</f>
        <v>1455.3922282055016</v>
      </c>
      <c r="G277" s="3">
        <f>F$1/C277</f>
        <v>1346.4386697185944</v>
      </c>
      <c r="H277" s="2">
        <f>D277*F276</f>
        <v>1073.8452486025151</v>
      </c>
      <c r="I277" s="2">
        <f>E277*G276</f>
        <v>1406.3353358820334</v>
      </c>
      <c r="J277" s="2">
        <f>I277-H277</f>
        <v>332.49008727951832</v>
      </c>
      <c r="K277" s="2">
        <f t="shared" si="34"/>
        <v>-332.49008727951832</v>
      </c>
      <c r="L277" s="14">
        <f>C277/B277</f>
        <v>1.0809198078882258</v>
      </c>
      <c r="M277" s="14">
        <f t="shared" si="37"/>
        <v>1.0786043313561782</v>
      </c>
      <c r="N277" s="14">
        <f t="shared" si="32"/>
        <v>1.0776164687276517</v>
      </c>
      <c r="O277" s="14">
        <f t="shared" si="33"/>
        <v>1.0753826488102867</v>
      </c>
      <c r="P277" s="14">
        <f t="shared" si="35"/>
        <v>1.0813358347186828</v>
      </c>
      <c r="Q277" s="4" t="str">
        <f t="shared" si="40"/>
        <v>UNDER</v>
      </c>
      <c r="R277" s="4" t="str">
        <f t="shared" si="40"/>
        <v>OVER</v>
      </c>
      <c r="S277" s="4" t="str">
        <f t="shared" si="38"/>
        <v>OVER</v>
      </c>
      <c r="T277" s="4" t="str">
        <f t="shared" si="38"/>
        <v>UNDER</v>
      </c>
      <c r="U277" s="2">
        <f>IF(Q277="OVER",$J277,$K277)</f>
        <v>-332.49008727951832</v>
      </c>
      <c r="V277" s="2">
        <f>IF(R277="OVER",$J277,$K277)</f>
        <v>332.49008727951832</v>
      </c>
      <c r="W277" s="2">
        <f>IF(S277="OVER",$J277,$K277)</f>
        <v>332.49008727951832</v>
      </c>
      <c r="X277" s="2">
        <f>IF(T277="OVER",$J277,$K277)</f>
        <v>-332.49008727951832</v>
      </c>
      <c r="Y277" s="9">
        <f t="shared" si="39"/>
        <v>-7740.6742008245637</v>
      </c>
      <c r="Z277" s="9">
        <f t="shared" si="39"/>
        <v>-9410.0910480979965</v>
      </c>
      <c r="AA277" s="9">
        <f t="shared" si="39"/>
        <v>18043.231905709323</v>
      </c>
      <c r="AB277" s="9">
        <f t="shared" si="36"/>
        <v>-689.36968763574305</v>
      </c>
    </row>
    <row r="278" spans="1:28" x14ac:dyDescent="0.3">
      <c r="A278" s="1">
        <v>44816</v>
      </c>
      <c r="B278" s="2">
        <v>69.25</v>
      </c>
      <c r="C278" s="2">
        <v>74.650000000000006</v>
      </c>
      <c r="D278" s="9">
        <f>B278-B277</f>
        <v>0.54000000000000625</v>
      </c>
      <c r="E278" s="9">
        <f>C278-C277</f>
        <v>0.38000000000000966</v>
      </c>
      <c r="F278" s="3">
        <f>F$1/B278</f>
        <v>1444.043321299639</v>
      </c>
      <c r="G278" s="3">
        <f>F$1/C278</f>
        <v>1339.5847287340923</v>
      </c>
      <c r="H278" s="2">
        <f>D278*F277</f>
        <v>785.91180323098001</v>
      </c>
      <c r="I278" s="2">
        <f>E278*G277</f>
        <v>511.64669449307888</v>
      </c>
      <c r="J278" s="2">
        <f>I278-H278</f>
        <v>-274.26510873790113</v>
      </c>
      <c r="K278" s="2">
        <f t="shared" si="34"/>
        <v>274.26510873790113</v>
      </c>
      <c r="L278" s="14">
        <f>C278/B278</f>
        <v>1.0779783393501805</v>
      </c>
      <c r="M278" s="14">
        <f t="shared" si="37"/>
        <v>1.0785334080321951</v>
      </c>
      <c r="N278" s="14">
        <f t="shared" si="32"/>
        <v>1.0776202916756501</v>
      </c>
      <c r="O278" s="14">
        <f t="shared" si="33"/>
        <v>1.0754552267497066</v>
      </c>
      <c r="P278" s="14">
        <f t="shared" si="35"/>
        <v>1.0809349280075669</v>
      </c>
      <c r="Q278" s="4" t="str">
        <f t="shared" si="40"/>
        <v>OVER</v>
      </c>
      <c r="R278" s="4" t="str">
        <f t="shared" si="40"/>
        <v>OVER</v>
      </c>
      <c r="S278" s="4" t="str">
        <f t="shared" si="38"/>
        <v>OVER</v>
      </c>
      <c r="T278" s="4" t="str">
        <f t="shared" si="38"/>
        <v>UNDER</v>
      </c>
      <c r="U278" s="2">
        <f>IF(Q278="OVER",$J278,$K278)</f>
        <v>-274.26510873790113</v>
      </c>
      <c r="V278" s="2">
        <f>IF(R278="OVER",$J278,$K278)</f>
        <v>-274.26510873790113</v>
      </c>
      <c r="W278" s="2">
        <f>IF(S278="OVER",$J278,$K278)</f>
        <v>-274.26510873790113</v>
      </c>
      <c r="X278" s="2">
        <f>IF(T278="OVER",$J278,$K278)</f>
        <v>274.26510873790113</v>
      </c>
      <c r="Y278" s="9">
        <f t="shared" si="39"/>
        <v>-8014.9393095624646</v>
      </c>
      <c r="Z278" s="9">
        <f t="shared" si="39"/>
        <v>-9684.3561568358982</v>
      </c>
      <c r="AA278" s="9">
        <f t="shared" si="39"/>
        <v>17768.966796971421</v>
      </c>
      <c r="AB278" s="9">
        <f t="shared" si="36"/>
        <v>-415.10457889784192</v>
      </c>
    </row>
    <row r="279" spans="1:28" x14ac:dyDescent="0.3">
      <c r="A279" s="1">
        <v>44817</v>
      </c>
      <c r="B279" s="2">
        <v>67.94</v>
      </c>
      <c r="C279" s="2">
        <v>73.16</v>
      </c>
      <c r="D279" s="9">
        <f>B279-B278</f>
        <v>-1.3100000000000023</v>
      </c>
      <c r="E279" s="9">
        <f>C279-C278</f>
        <v>-1.4900000000000091</v>
      </c>
      <c r="F279" s="3">
        <f>F$1/B279</f>
        <v>1471.8869590815425</v>
      </c>
      <c r="G279" s="3">
        <f>F$1/C279</f>
        <v>1366.8671405139421</v>
      </c>
      <c r="H279" s="2">
        <f>D279*F278</f>
        <v>-1891.6967509025305</v>
      </c>
      <c r="I279" s="2">
        <f>E279*G278</f>
        <v>-1995.9812458138097</v>
      </c>
      <c r="J279" s="2">
        <f>I279-H279</f>
        <v>-104.28449491127913</v>
      </c>
      <c r="K279" s="2">
        <f t="shared" si="34"/>
        <v>104.28449491127913</v>
      </c>
      <c r="L279" s="14">
        <f>C279/B279</f>
        <v>1.0768324992640566</v>
      </c>
      <c r="M279" s="14">
        <f t="shared" si="37"/>
        <v>1.0785737174685193</v>
      </c>
      <c r="N279" s="14">
        <f t="shared" ref="N279:N342" si="41">AVERAGE(L260:L279)</f>
        <v>1.077636856872294</v>
      </c>
      <c r="O279" s="14">
        <f t="shared" si="33"/>
        <v>1.0755256010751637</v>
      </c>
      <c r="P279" s="14">
        <f t="shared" si="35"/>
        <v>1.0805210884130521</v>
      </c>
      <c r="Q279" s="4" t="str">
        <f t="shared" si="40"/>
        <v>UNDER</v>
      </c>
      <c r="R279" s="4" t="str">
        <f t="shared" si="40"/>
        <v>OVER</v>
      </c>
      <c r="S279" s="4" t="str">
        <f t="shared" si="38"/>
        <v>OVER</v>
      </c>
      <c r="T279" s="4" t="str">
        <f t="shared" si="38"/>
        <v>UNDER</v>
      </c>
      <c r="U279" s="2">
        <f>IF(Q279="OVER",$J279,$K279)</f>
        <v>104.28449491127913</v>
      </c>
      <c r="V279" s="2">
        <f>IF(R279="OVER",$J279,$K279)</f>
        <v>-104.28449491127913</v>
      </c>
      <c r="W279" s="2">
        <f>IF(S279="OVER",$J279,$K279)</f>
        <v>-104.28449491127913</v>
      </c>
      <c r="X279" s="2">
        <f>IF(T279="OVER",$J279,$K279)</f>
        <v>104.28449491127913</v>
      </c>
      <c r="Y279" s="9">
        <f t="shared" si="39"/>
        <v>-7910.654814651185</v>
      </c>
      <c r="Z279" s="9">
        <f t="shared" si="39"/>
        <v>-9788.6406517471769</v>
      </c>
      <c r="AA279" s="9">
        <f t="shared" si="39"/>
        <v>17664.682302060141</v>
      </c>
      <c r="AB279" s="9">
        <f t="shared" si="36"/>
        <v>-310.82008398656279</v>
      </c>
    </row>
    <row r="280" spans="1:28" x14ac:dyDescent="0.3">
      <c r="A280" s="1">
        <v>44818</v>
      </c>
      <c r="B280" s="2">
        <v>68.08</v>
      </c>
      <c r="C280" s="2">
        <v>73.47</v>
      </c>
      <c r="D280" s="9">
        <f>B280-B279</f>
        <v>0.14000000000000057</v>
      </c>
      <c r="E280" s="9">
        <f>C280-C279</f>
        <v>0.31000000000000227</v>
      </c>
      <c r="F280" s="3">
        <f>F$1/B280</f>
        <v>1468.8601645123385</v>
      </c>
      <c r="G280" s="3">
        <f>F$1/C280</f>
        <v>1361.0997686130393</v>
      </c>
      <c r="H280" s="2">
        <f>D280*F279</f>
        <v>206.06417427141679</v>
      </c>
      <c r="I280" s="2">
        <f>E280*G279</f>
        <v>423.72881355932515</v>
      </c>
      <c r="J280" s="2">
        <f>I280-H280</f>
        <v>217.66463928790836</v>
      </c>
      <c r="K280" s="2">
        <f t="shared" si="34"/>
        <v>-217.66463928790836</v>
      </c>
      <c r="L280" s="14">
        <f>C280/B280</f>
        <v>1.0791715628672152</v>
      </c>
      <c r="M280" s="14">
        <f t="shared" si="37"/>
        <v>1.0787489382713695</v>
      </c>
      <c r="N280" s="14">
        <f t="shared" si="41"/>
        <v>1.0777736891406022</v>
      </c>
      <c r="O280" s="14">
        <f t="shared" si="33"/>
        <v>1.0756147089204184</v>
      </c>
      <c r="P280" s="14">
        <f t="shared" si="35"/>
        <v>1.0801793949678684</v>
      </c>
      <c r="Q280" s="4" t="str">
        <f t="shared" si="40"/>
        <v>UNDER</v>
      </c>
      <c r="R280" s="4" t="str">
        <f t="shared" si="40"/>
        <v>UNDER</v>
      </c>
      <c r="S280" s="4" t="str">
        <f t="shared" si="38"/>
        <v>OVER</v>
      </c>
      <c r="T280" s="4" t="str">
        <f t="shared" si="38"/>
        <v>UNDER</v>
      </c>
      <c r="U280" s="2">
        <f>IF(Q280="OVER",$J280,$K280)</f>
        <v>-217.66463928790836</v>
      </c>
      <c r="V280" s="2">
        <f>IF(R280="OVER",$J280,$K280)</f>
        <v>-217.66463928790836</v>
      </c>
      <c r="W280" s="2">
        <f>IF(S280="OVER",$J280,$K280)</f>
        <v>217.66463928790836</v>
      </c>
      <c r="X280" s="2">
        <f>IF(T280="OVER",$J280,$K280)</f>
        <v>-217.66463928790836</v>
      </c>
      <c r="Y280" s="9">
        <f t="shared" si="39"/>
        <v>-8128.3194539390934</v>
      </c>
      <c r="Z280" s="9">
        <f t="shared" si="39"/>
        <v>-10006.305291035085</v>
      </c>
      <c r="AA280" s="9">
        <f t="shared" si="39"/>
        <v>17882.346941348049</v>
      </c>
      <c r="AB280" s="9">
        <f t="shared" si="36"/>
        <v>-528.48472327447121</v>
      </c>
    </row>
    <row r="281" spans="1:28" x14ac:dyDescent="0.3">
      <c r="A281" s="1">
        <v>44819</v>
      </c>
      <c r="B281" s="2">
        <v>67.7</v>
      </c>
      <c r="C281" s="2">
        <v>73.16</v>
      </c>
      <c r="D281" s="9">
        <f>B281-B280</f>
        <v>-0.37999999999999545</v>
      </c>
      <c r="E281" s="9">
        <f>C281-C280</f>
        <v>-0.31000000000000227</v>
      </c>
      <c r="F281" s="3">
        <f>F$1/B281</f>
        <v>1477.1048744460857</v>
      </c>
      <c r="G281" s="3">
        <f>F$1/C281</f>
        <v>1366.8671405139421</v>
      </c>
      <c r="H281" s="2">
        <f>D281*F280</f>
        <v>-558.16686251468195</v>
      </c>
      <c r="I281" s="2">
        <f>E281*G280</f>
        <v>-421.94092827004528</v>
      </c>
      <c r="J281" s="2">
        <f>I281-H281</f>
        <v>136.22593424463668</v>
      </c>
      <c r="K281" s="2">
        <f t="shared" si="34"/>
        <v>-136.22593424463668</v>
      </c>
      <c r="L281" s="14">
        <f>C281/B281</f>
        <v>1.0806499261447562</v>
      </c>
      <c r="M281" s="14">
        <f t="shared" si="37"/>
        <v>1.079066209627392</v>
      </c>
      <c r="N281" s="14">
        <f t="shared" si="41"/>
        <v>1.0781090775977189</v>
      </c>
      <c r="O281" s="14">
        <f t="shared" si="33"/>
        <v>1.0756631863469168</v>
      </c>
      <c r="P281" s="14">
        <f t="shared" si="35"/>
        <v>1.0798073689710999</v>
      </c>
      <c r="Q281" s="4" t="str">
        <f t="shared" si="40"/>
        <v>OVER</v>
      </c>
      <c r="R281" s="4" t="str">
        <f t="shared" si="40"/>
        <v>OVER</v>
      </c>
      <c r="S281" s="4" t="str">
        <f t="shared" si="38"/>
        <v>OVER</v>
      </c>
      <c r="T281" s="4" t="str">
        <f t="shared" si="38"/>
        <v>OVER</v>
      </c>
      <c r="U281" s="2">
        <f>IF(Q281="OVER",$J281,$K281)</f>
        <v>136.22593424463668</v>
      </c>
      <c r="V281" s="2">
        <f>IF(R281="OVER",$J281,$K281)</f>
        <v>136.22593424463668</v>
      </c>
      <c r="W281" s="2">
        <f>IF(S281="OVER",$J281,$K281)</f>
        <v>136.22593424463668</v>
      </c>
      <c r="X281" s="2">
        <f>IF(T281="OVER",$J281,$K281)</f>
        <v>136.22593424463668</v>
      </c>
      <c r="Y281" s="9">
        <f t="shared" si="39"/>
        <v>-7992.0935196944565</v>
      </c>
      <c r="Z281" s="9">
        <f t="shared" si="39"/>
        <v>-9870.0793567904493</v>
      </c>
      <c r="AA281" s="9">
        <f t="shared" si="39"/>
        <v>18018.572875592687</v>
      </c>
      <c r="AB281" s="9">
        <f t="shared" si="36"/>
        <v>-392.25878902983453</v>
      </c>
    </row>
    <row r="282" spans="1:28" x14ac:dyDescent="0.3">
      <c r="A282" s="1">
        <v>44820</v>
      </c>
      <c r="B282" s="2">
        <v>67.010000000000005</v>
      </c>
      <c r="C282" s="2">
        <v>72.5</v>
      </c>
      <c r="D282" s="9">
        <f>B282-B281</f>
        <v>-0.68999999999999773</v>
      </c>
      <c r="E282" s="9">
        <f>C282-C281</f>
        <v>-0.65999999999999659</v>
      </c>
      <c r="F282" s="3">
        <f>F$1/B282</f>
        <v>1492.3145799134456</v>
      </c>
      <c r="G282" s="3">
        <f>F$1/C282</f>
        <v>1379.3103448275863</v>
      </c>
      <c r="H282" s="2">
        <f>D282*F281</f>
        <v>-1019.2023633677958</v>
      </c>
      <c r="I282" s="2">
        <f>E282*G281</f>
        <v>-902.13231273919712</v>
      </c>
      <c r="J282" s="2">
        <f>I282-H282</f>
        <v>117.07005062859866</v>
      </c>
      <c r="K282" s="2">
        <f t="shared" si="34"/>
        <v>-117.07005062859866</v>
      </c>
      <c r="L282" s="14">
        <f>C282/B282</f>
        <v>1.081928070437248</v>
      </c>
      <c r="M282" s="14">
        <f t="shared" si="37"/>
        <v>1.0792607973507429</v>
      </c>
      <c r="N282" s="14">
        <f t="shared" si="41"/>
        <v>1.078548330146708</v>
      </c>
      <c r="O282" s="14">
        <f t="shared" si="33"/>
        <v>1.0757473751320878</v>
      </c>
      <c r="P282" s="14">
        <f t="shared" si="35"/>
        <v>1.0794296358867166</v>
      </c>
      <c r="Q282" s="4" t="str">
        <f t="shared" si="40"/>
        <v>OVER</v>
      </c>
      <c r="R282" s="4" t="str">
        <f t="shared" si="40"/>
        <v>OVER</v>
      </c>
      <c r="S282" s="4" t="str">
        <f t="shared" si="38"/>
        <v>OVER</v>
      </c>
      <c r="T282" s="4" t="str">
        <f t="shared" si="38"/>
        <v>OVER</v>
      </c>
      <c r="U282" s="2">
        <f>IF(Q282="OVER",$J282,$K282)</f>
        <v>117.07005062859866</v>
      </c>
      <c r="V282" s="2">
        <f>IF(R282="OVER",$J282,$K282)</f>
        <v>117.07005062859866</v>
      </c>
      <c r="W282" s="2">
        <f>IF(S282="OVER",$J282,$K282)</f>
        <v>117.07005062859866</v>
      </c>
      <c r="X282" s="2">
        <f>IF(T282="OVER",$J282,$K282)</f>
        <v>117.07005062859866</v>
      </c>
      <c r="Y282" s="9">
        <f t="shared" si="39"/>
        <v>-7875.0234690658581</v>
      </c>
      <c r="Z282" s="9">
        <f t="shared" si="39"/>
        <v>-9753.00930616185</v>
      </c>
      <c r="AA282" s="9">
        <f t="shared" si="39"/>
        <v>18135.642926221284</v>
      </c>
      <c r="AB282" s="9">
        <f t="shared" si="36"/>
        <v>-275.18873840123587</v>
      </c>
    </row>
    <row r="283" spans="1:28" x14ac:dyDescent="0.3">
      <c r="A283" s="1">
        <v>44823</v>
      </c>
      <c r="B283" s="2">
        <v>67.010000000000005</v>
      </c>
      <c r="C283" s="2">
        <v>72.510000000000005</v>
      </c>
      <c r="D283" s="9">
        <f>B283-B282</f>
        <v>0</v>
      </c>
      <c r="E283" s="9">
        <f>C283-C282</f>
        <v>1.0000000000005116E-2</v>
      </c>
      <c r="F283" s="3">
        <f>F$1/B283</f>
        <v>1492.3145799134456</v>
      </c>
      <c r="G283" s="3">
        <f>F$1/C283</f>
        <v>1379.1201213625707</v>
      </c>
      <c r="H283" s="2">
        <f>D283*F282</f>
        <v>0</v>
      </c>
      <c r="I283" s="2">
        <f>E283*G282</f>
        <v>13.793103448282919</v>
      </c>
      <c r="J283" s="2">
        <f>I283-H283</f>
        <v>13.793103448282919</v>
      </c>
      <c r="K283" s="2">
        <f t="shared" si="34"/>
        <v>-13.793103448282919</v>
      </c>
      <c r="L283" s="14">
        <f>C283/B283</f>
        <v>1.0820773018952394</v>
      </c>
      <c r="M283" s="14">
        <f t="shared" si="37"/>
        <v>1.0794882172777371</v>
      </c>
      <c r="N283" s="14">
        <f t="shared" si="41"/>
        <v>1.0788231722529642</v>
      </c>
      <c r="O283" s="14">
        <f t="shared" si="33"/>
        <v>1.0758745053885057</v>
      </c>
      <c r="P283" s="14">
        <f t="shared" si="35"/>
        <v>1.0794178732733857</v>
      </c>
      <c r="Q283" s="4" t="str">
        <f t="shared" si="40"/>
        <v>OVER</v>
      </c>
      <c r="R283" s="4" t="str">
        <f t="shared" si="40"/>
        <v>OVER</v>
      </c>
      <c r="S283" s="4" t="str">
        <f t="shared" si="38"/>
        <v>OVER</v>
      </c>
      <c r="T283" s="4" t="str">
        <f t="shared" si="38"/>
        <v>OVER</v>
      </c>
      <c r="U283" s="2">
        <f>IF(Q283="OVER",$J283,$K283)</f>
        <v>13.793103448282919</v>
      </c>
      <c r="V283" s="2">
        <f>IF(R283="OVER",$J283,$K283)</f>
        <v>13.793103448282919</v>
      </c>
      <c r="W283" s="2">
        <f>IF(S283="OVER",$J283,$K283)</f>
        <v>13.793103448282919</v>
      </c>
      <c r="X283" s="2">
        <f>IF(T283="OVER",$J283,$K283)</f>
        <v>13.793103448282919</v>
      </c>
      <c r="Y283" s="9">
        <f t="shared" si="39"/>
        <v>-7861.2303656175754</v>
      </c>
      <c r="Z283" s="9">
        <f t="shared" si="39"/>
        <v>-9739.2162027135673</v>
      </c>
      <c r="AA283" s="9">
        <f t="shared" si="39"/>
        <v>18149.436029669567</v>
      </c>
      <c r="AB283" s="9">
        <f t="shared" si="36"/>
        <v>-261.39563495295295</v>
      </c>
    </row>
    <row r="284" spans="1:28" x14ac:dyDescent="0.3">
      <c r="A284" s="1">
        <v>44824</v>
      </c>
      <c r="B284" s="2">
        <v>66.36</v>
      </c>
      <c r="C284" s="2">
        <v>71.94</v>
      </c>
      <c r="D284" s="9">
        <f>B284-B283</f>
        <v>-0.65000000000000568</v>
      </c>
      <c r="E284" s="9">
        <f>C284-C283</f>
        <v>-0.57000000000000739</v>
      </c>
      <c r="F284" s="3">
        <f>F$1/B284</f>
        <v>1506.9318866787221</v>
      </c>
      <c r="G284" s="3">
        <f>F$1/C284</f>
        <v>1390.0472616068946</v>
      </c>
      <c r="H284" s="2">
        <f>D284*F283</f>
        <v>-970.00447694374816</v>
      </c>
      <c r="I284" s="2">
        <f>E284*G283</f>
        <v>-786.09846917667551</v>
      </c>
      <c r="J284" s="2">
        <f>I284-H284</f>
        <v>183.90600776707265</v>
      </c>
      <c r="K284" s="2">
        <f t="shared" si="34"/>
        <v>-183.90600776707265</v>
      </c>
      <c r="L284" s="14">
        <f>C284/B284</f>
        <v>1.0840867992766727</v>
      </c>
      <c r="M284" s="14">
        <f t="shared" si="37"/>
        <v>1.0799425222992058</v>
      </c>
      <c r="N284" s="14">
        <f t="shared" si="41"/>
        <v>1.0791404835372227</v>
      </c>
      <c r="O284" s="14">
        <f t="shared" si="33"/>
        <v>1.0760191958149041</v>
      </c>
      <c r="P284" s="14">
        <f t="shared" si="35"/>
        <v>1.0794310072939413</v>
      </c>
      <c r="Q284" s="4" t="str">
        <f t="shared" si="40"/>
        <v>OVER</v>
      </c>
      <c r="R284" s="4" t="str">
        <f t="shared" si="40"/>
        <v>OVER</v>
      </c>
      <c r="S284" s="4" t="str">
        <f t="shared" si="38"/>
        <v>OVER</v>
      </c>
      <c r="T284" s="4" t="str">
        <f t="shared" si="38"/>
        <v>OVER</v>
      </c>
      <c r="U284" s="2">
        <f>IF(Q284="OVER",$J284,$K284)</f>
        <v>183.90600776707265</v>
      </c>
      <c r="V284" s="2">
        <f>IF(R284="OVER",$J284,$K284)</f>
        <v>183.90600776707265</v>
      </c>
      <c r="W284" s="2">
        <f>IF(S284="OVER",$J284,$K284)</f>
        <v>183.90600776707265</v>
      </c>
      <c r="X284" s="2">
        <f>IF(T284="OVER",$J284,$K284)</f>
        <v>183.90600776707265</v>
      </c>
      <c r="Y284" s="9">
        <f t="shared" si="39"/>
        <v>-7677.3243578505026</v>
      </c>
      <c r="Z284" s="9">
        <f t="shared" si="39"/>
        <v>-9555.3101949464944</v>
      </c>
      <c r="AA284" s="9">
        <f t="shared" si="39"/>
        <v>18333.34203743664</v>
      </c>
      <c r="AB284" s="9">
        <f t="shared" si="36"/>
        <v>-77.489627185880295</v>
      </c>
    </row>
    <row r="285" spans="1:28" x14ac:dyDescent="0.3">
      <c r="A285" s="1">
        <v>44825</v>
      </c>
      <c r="B285" s="2">
        <v>65.72</v>
      </c>
      <c r="C285" s="2">
        <v>71.069999999999993</v>
      </c>
      <c r="D285" s="9">
        <f>B285-B284</f>
        <v>-0.64000000000000057</v>
      </c>
      <c r="E285" s="9">
        <f>C285-C284</f>
        <v>-0.87000000000000455</v>
      </c>
      <c r="F285" s="3">
        <f>F$1/B285</f>
        <v>1521.6068167985393</v>
      </c>
      <c r="G285" s="3">
        <f>F$1/C285</f>
        <v>1407.0634585619812</v>
      </c>
      <c r="H285" s="2">
        <f>D285*F284</f>
        <v>-964.43640747438303</v>
      </c>
      <c r="I285" s="2">
        <f>E285*G284</f>
        <v>-1209.3411175980045</v>
      </c>
      <c r="J285" s="2">
        <f>I285-H285</f>
        <v>-244.9047101236215</v>
      </c>
      <c r="K285" s="2">
        <f t="shared" si="34"/>
        <v>244.9047101236215</v>
      </c>
      <c r="L285" s="14">
        <f>C285/B285</f>
        <v>1.0814059646987217</v>
      </c>
      <c r="M285" s="14">
        <f t="shared" si="37"/>
        <v>1.0802425970557237</v>
      </c>
      <c r="N285" s="14">
        <f t="shared" si="41"/>
        <v>1.0792363112180536</v>
      </c>
      <c r="O285" s="14">
        <f t="shared" si="33"/>
        <v>1.0760979542587323</v>
      </c>
      <c r="P285" s="14">
        <f t="shared" si="35"/>
        <v>1.0794417852800999</v>
      </c>
      <c r="Q285" s="4" t="str">
        <f t="shared" si="40"/>
        <v>OVER</v>
      </c>
      <c r="R285" s="4" t="str">
        <f t="shared" si="40"/>
        <v>OVER</v>
      </c>
      <c r="S285" s="4" t="str">
        <f t="shared" si="38"/>
        <v>OVER</v>
      </c>
      <c r="T285" s="4" t="str">
        <f t="shared" si="38"/>
        <v>OVER</v>
      </c>
      <c r="U285" s="2">
        <f>IF(Q285="OVER",$J285,$K285)</f>
        <v>-244.9047101236215</v>
      </c>
      <c r="V285" s="2">
        <f>IF(R285="OVER",$J285,$K285)</f>
        <v>-244.9047101236215</v>
      </c>
      <c r="W285" s="2">
        <f>IF(S285="OVER",$J285,$K285)</f>
        <v>-244.9047101236215</v>
      </c>
      <c r="X285" s="2">
        <f>IF(T285="OVER",$J285,$K285)</f>
        <v>-244.9047101236215</v>
      </c>
      <c r="Y285" s="9">
        <f t="shared" si="39"/>
        <v>-7922.2290679741236</v>
      </c>
      <c r="Z285" s="9">
        <f t="shared" si="39"/>
        <v>-9800.2149050701155</v>
      </c>
      <c r="AA285" s="9">
        <f t="shared" si="39"/>
        <v>18088.437327313019</v>
      </c>
      <c r="AB285" s="9">
        <f t="shared" si="36"/>
        <v>-322.39433730950179</v>
      </c>
    </row>
    <row r="286" spans="1:28" x14ac:dyDescent="0.3">
      <c r="A286" s="1">
        <v>44826</v>
      </c>
      <c r="B286" s="2">
        <v>64.84</v>
      </c>
      <c r="C286" s="2">
        <v>70.2</v>
      </c>
      <c r="D286" s="9">
        <f>B286-B285</f>
        <v>-0.87999999999999545</v>
      </c>
      <c r="E286" s="9">
        <f>C286-C285</f>
        <v>-0.86999999999999034</v>
      </c>
      <c r="F286" s="3">
        <f>F$1/B286</f>
        <v>1542.257865515114</v>
      </c>
      <c r="G286" s="3">
        <f>F$1/C286</f>
        <v>1424.5014245014245</v>
      </c>
      <c r="H286" s="2">
        <f>D286*F285</f>
        <v>-1339.0139987827076</v>
      </c>
      <c r="I286" s="2">
        <f>E286*G285</f>
        <v>-1224.1452089489101</v>
      </c>
      <c r="J286" s="2">
        <f>I286-H286</f>
        <v>114.86878983379756</v>
      </c>
      <c r="K286" s="2">
        <f t="shared" si="34"/>
        <v>-114.86878983379756</v>
      </c>
      <c r="L286" s="14">
        <f>C286/B286</f>
        <v>1.08266502159161</v>
      </c>
      <c r="M286" s="14">
        <f t="shared" si="37"/>
        <v>1.0807715293413926</v>
      </c>
      <c r="N286" s="14">
        <f t="shared" si="41"/>
        <v>1.0794650069831007</v>
      </c>
      <c r="O286" s="14">
        <f t="shared" si="33"/>
        <v>1.076199237377224</v>
      </c>
      <c r="P286" s="14">
        <f t="shared" si="35"/>
        <v>1.0794523275246382</v>
      </c>
      <c r="Q286" s="4" t="str">
        <f t="shared" si="40"/>
        <v>OVER</v>
      </c>
      <c r="R286" s="4" t="str">
        <f t="shared" si="40"/>
        <v>OVER</v>
      </c>
      <c r="S286" s="4" t="str">
        <f t="shared" si="38"/>
        <v>OVER</v>
      </c>
      <c r="T286" s="4" t="str">
        <f t="shared" si="38"/>
        <v>OVER</v>
      </c>
      <c r="U286" s="2">
        <f>IF(Q286="OVER",$J286,$K286)</f>
        <v>114.86878983379756</v>
      </c>
      <c r="V286" s="2">
        <f>IF(R286="OVER",$J286,$K286)</f>
        <v>114.86878983379756</v>
      </c>
      <c r="W286" s="2">
        <f>IF(S286="OVER",$J286,$K286)</f>
        <v>114.86878983379756</v>
      </c>
      <c r="X286" s="2">
        <f>IF(T286="OVER",$J286,$K286)</f>
        <v>114.86878983379756</v>
      </c>
      <c r="Y286" s="9">
        <f t="shared" si="39"/>
        <v>-7807.360278140326</v>
      </c>
      <c r="Z286" s="9">
        <f t="shared" si="39"/>
        <v>-9685.3461152363179</v>
      </c>
      <c r="AA286" s="9">
        <f t="shared" si="39"/>
        <v>18203.306117146814</v>
      </c>
      <c r="AB286" s="9">
        <f t="shared" si="36"/>
        <v>-207.52554747570423</v>
      </c>
    </row>
    <row r="287" spans="1:28" x14ac:dyDescent="0.3">
      <c r="A287" s="1">
        <v>44827</v>
      </c>
      <c r="B287" s="2">
        <v>63.79</v>
      </c>
      <c r="C287" s="2">
        <v>68.78</v>
      </c>
      <c r="D287" s="9">
        <f>B287-B286</f>
        <v>-1.0500000000000043</v>
      </c>
      <c r="E287" s="9">
        <f>C287-C286</f>
        <v>-1.4200000000000017</v>
      </c>
      <c r="F287" s="3">
        <f>F$1/B287</f>
        <v>1567.6438313215237</v>
      </c>
      <c r="G287" s="3">
        <f>F$1/C287</f>
        <v>1453.9110206455364</v>
      </c>
      <c r="H287" s="2">
        <f>D287*F286</f>
        <v>-1619.3707587908762</v>
      </c>
      <c r="I287" s="2">
        <f>E287*G286</f>
        <v>-2022.7920227920251</v>
      </c>
      <c r="J287" s="2">
        <f>I287-H287</f>
        <v>-403.42126400114898</v>
      </c>
      <c r="K287" s="2">
        <f t="shared" si="34"/>
        <v>403.42126400114898</v>
      </c>
      <c r="L287" s="14">
        <f>C287/B287</f>
        <v>1.0782254271829441</v>
      </c>
      <c r="M287" s="14">
        <f t="shared" si="37"/>
        <v>1.0805020912708645</v>
      </c>
      <c r="N287" s="14">
        <f t="shared" si="41"/>
        <v>1.0795532113135211</v>
      </c>
      <c r="O287" s="14">
        <f t="shared" si="33"/>
        <v>1.0762561771843986</v>
      </c>
      <c r="P287" s="14">
        <f t="shared" si="35"/>
        <v>1.0794392934743759</v>
      </c>
      <c r="Q287" s="4" t="str">
        <f t="shared" si="40"/>
        <v>OVER</v>
      </c>
      <c r="R287" s="4" t="str">
        <f t="shared" si="40"/>
        <v>OVER</v>
      </c>
      <c r="S287" s="4" t="str">
        <f t="shared" si="38"/>
        <v>OVER</v>
      </c>
      <c r="T287" s="4" t="str">
        <f t="shared" si="38"/>
        <v>UNDER</v>
      </c>
      <c r="U287" s="2">
        <f>IF(Q287="OVER",$J287,$K287)</f>
        <v>-403.42126400114898</v>
      </c>
      <c r="V287" s="2">
        <f>IF(R287="OVER",$J287,$K287)</f>
        <v>-403.42126400114898</v>
      </c>
      <c r="W287" s="2">
        <f>IF(S287="OVER",$J287,$K287)</f>
        <v>-403.42126400114898</v>
      </c>
      <c r="X287" s="2">
        <f>IF(T287="OVER",$J287,$K287)</f>
        <v>403.42126400114898</v>
      </c>
      <c r="Y287" s="9">
        <f t="shared" si="39"/>
        <v>-8210.7815421414743</v>
      </c>
      <c r="Z287" s="9">
        <f t="shared" si="39"/>
        <v>-10088.767379237466</v>
      </c>
      <c r="AA287" s="9">
        <f t="shared" si="39"/>
        <v>17799.884853145664</v>
      </c>
      <c r="AB287" s="9">
        <f t="shared" si="36"/>
        <v>195.89571652544475</v>
      </c>
    </row>
    <row r="288" spans="1:28" x14ac:dyDescent="0.3">
      <c r="A288" s="1">
        <v>44830</v>
      </c>
      <c r="B288" s="2">
        <v>63.52</v>
      </c>
      <c r="C288" s="2">
        <v>68.64</v>
      </c>
      <c r="D288" s="9">
        <f>B288-B287</f>
        <v>-0.26999999999999602</v>
      </c>
      <c r="E288" s="9">
        <f>C288-C287</f>
        <v>-0.14000000000000057</v>
      </c>
      <c r="F288" s="3">
        <f>F$1/B288</f>
        <v>1574.3073047858941</v>
      </c>
      <c r="G288" s="3">
        <f>F$1/C288</f>
        <v>1456.8764568764568</v>
      </c>
      <c r="H288" s="2">
        <f>D288*F287</f>
        <v>-423.26383445680517</v>
      </c>
      <c r="I288" s="2">
        <f>E288*G287</f>
        <v>-203.54754289037592</v>
      </c>
      <c r="J288" s="2">
        <f>I288-H288</f>
        <v>219.71629156642925</v>
      </c>
      <c r="K288" s="2">
        <f t="shared" si="34"/>
        <v>-219.71629156642925</v>
      </c>
      <c r="L288" s="14">
        <f>C288/B288</f>
        <v>1.0806045340050376</v>
      </c>
      <c r="M288" s="14">
        <f t="shared" si="37"/>
        <v>1.0807647107363505</v>
      </c>
      <c r="N288" s="14">
        <f t="shared" si="41"/>
        <v>1.0796490593842725</v>
      </c>
      <c r="O288" s="14">
        <f t="shared" si="33"/>
        <v>1.0763359478890657</v>
      </c>
      <c r="P288" s="14">
        <f t="shared" si="35"/>
        <v>1.0794308713583995</v>
      </c>
      <c r="Q288" s="4" t="str">
        <f t="shared" si="40"/>
        <v>UNDER</v>
      </c>
      <c r="R288" s="4" t="str">
        <f t="shared" si="40"/>
        <v>UNDER</v>
      </c>
      <c r="S288" s="4" t="str">
        <f t="shared" si="38"/>
        <v>OVER</v>
      </c>
      <c r="T288" s="4" t="str">
        <f t="shared" si="38"/>
        <v>OVER</v>
      </c>
      <c r="U288" s="2">
        <f>IF(Q288="OVER",$J288,$K288)</f>
        <v>-219.71629156642925</v>
      </c>
      <c r="V288" s="2">
        <f>IF(R288="OVER",$J288,$K288)</f>
        <v>-219.71629156642925</v>
      </c>
      <c r="W288" s="2">
        <f>IF(S288="OVER",$J288,$K288)</f>
        <v>219.71629156642925</v>
      </c>
      <c r="X288" s="2">
        <f>IF(T288="OVER",$J288,$K288)</f>
        <v>219.71629156642925</v>
      </c>
      <c r="Y288" s="9">
        <f t="shared" si="39"/>
        <v>-8430.4978337079028</v>
      </c>
      <c r="Z288" s="9">
        <f t="shared" si="39"/>
        <v>-10308.483670803895</v>
      </c>
      <c r="AA288" s="9">
        <f t="shared" si="39"/>
        <v>18019.601144712095</v>
      </c>
      <c r="AB288" s="9">
        <f t="shared" si="36"/>
        <v>415.61200809187403</v>
      </c>
    </row>
    <row r="289" spans="1:28" x14ac:dyDescent="0.3">
      <c r="A289" s="1">
        <v>44831</v>
      </c>
      <c r="B289" s="2">
        <v>63.53</v>
      </c>
      <c r="C289" s="2">
        <v>69.05</v>
      </c>
      <c r="D289" s="9">
        <f>B289-B288</f>
        <v>9.9999999999980105E-3</v>
      </c>
      <c r="E289" s="9">
        <f>C289-C288</f>
        <v>0.40999999999999659</v>
      </c>
      <c r="F289" s="3">
        <f>F$1/B289</f>
        <v>1574.0594994490791</v>
      </c>
      <c r="G289" s="3">
        <f>F$1/C289</f>
        <v>1448.225923244026</v>
      </c>
      <c r="H289" s="2">
        <f>D289*F288</f>
        <v>15.743073047855809</v>
      </c>
      <c r="I289" s="2">
        <f>E289*G288</f>
        <v>597.31934731934234</v>
      </c>
      <c r="J289" s="2">
        <f>I289-H289</f>
        <v>581.57627427148657</v>
      </c>
      <c r="K289" s="2">
        <f t="shared" si="34"/>
        <v>-581.57627427148657</v>
      </c>
      <c r="L289" s="14">
        <f>C289/B289</f>
        <v>1.0868880843695892</v>
      </c>
      <c r="M289" s="14">
        <f t="shared" si="37"/>
        <v>1.0817702692469036</v>
      </c>
      <c r="N289" s="14">
        <f t="shared" si="41"/>
        <v>1.0801719933577112</v>
      </c>
      <c r="O289" s="14">
        <f t="shared" si="33"/>
        <v>1.0765300648597651</v>
      </c>
      <c r="P289" s="14">
        <f t="shared" si="35"/>
        <v>1.0794625990206748</v>
      </c>
      <c r="Q289" s="4" t="str">
        <f t="shared" si="40"/>
        <v>UNDER</v>
      </c>
      <c r="R289" s="4" t="str">
        <f t="shared" si="40"/>
        <v>OVER</v>
      </c>
      <c r="S289" s="4" t="str">
        <f t="shared" si="38"/>
        <v>OVER</v>
      </c>
      <c r="T289" s="4" t="str">
        <f t="shared" si="38"/>
        <v>OVER</v>
      </c>
      <c r="U289" s="2">
        <f>IF(Q289="OVER",$J289,$K289)</f>
        <v>-581.57627427148657</v>
      </c>
      <c r="V289" s="2">
        <f>IF(R289="OVER",$J289,$K289)</f>
        <v>581.57627427148657</v>
      </c>
      <c r="W289" s="2">
        <f>IF(S289="OVER",$J289,$K289)</f>
        <v>581.57627427148657</v>
      </c>
      <c r="X289" s="2">
        <f>IF(T289="OVER",$J289,$K289)</f>
        <v>581.57627427148657</v>
      </c>
      <c r="Y289" s="9">
        <f t="shared" si="39"/>
        <v>-9012.0741079793897</v>
      </c>
      <c r="Z289" s="9">
        <f t="shared" si="39"/>
        <v>-9726.9073965324078</v>
      </c>
      <c r="AA289" s="9">
        <f t="shared" si="39"/>
        <v>18601.177418983581</v>
      </c>
      <c r="AB289" s="9">
        <f t="shared" si="36"/>
        <v>997.1882823633606</v>
      </c>
    </row>
    <row r="290" spans="1:28" x14ac:dyDescent="0.3">
      <c r="A290" s="1">
        <v>44832</v>
      </c>
      <c r="B290" s="2">
        <v>64.349999999999994</v>
      </c>
      <c r="C290" s="2">
        <v>69.8</v>
      </c>
      <c r="D290" s="9">
        <f>B290-B289</f>
        <v>0.81999999999999318</v>
      </c>
      <c r="E290" s="9">
        <f>C290-C289</f>
        <v>0.75</v>
      </c>
      <c r="F290" s="3">
        <f>F$1/B290</f>
        <v>1554.001554001554</v>
      </c>
      <c r="G290" s="3">
        <f>F$1/C290</f>
        <v>1432.6647564469915</v>
      </c>
      <c r="H290" s="2">
        <f>D290*F289</f>
        <v>1290.7287895482341</v>
      </c>
      <c r="I290" s="2">
        <f>E290*G289</f>
        <v>1086.1694424330194</v>
      </c>
      <c r="J290" s="2">
        <f>I290-H290</f>
        <v>-204.55934711521468</v>
      </c>
      <c r="K290" s="2">
        <f t="shared" si="34"/>
        <v>204.55934711521468</v>
      </c>
      <c r="L290" s="14">
        <f>C290/B290</f>
        <v>1.0846930846930847</v>
      </c>
      <c r="M290" s="14">
        <f t="shared" si="37"/>
        <v>1.0823224214294904</v>
      </c>
      <c r="N290" s="14">
        <f t="shared" si="41"/>
        <v>1.08053567985043</v>
      </c>
      <c r="O290" s="14">
        <f t="shared" si="33"/>
        <v>1.0767326057989099</v>
      </c>
      <c r="P290" s="14">
        <f t="shared" si="35"/>
        <v>1.0795061580703555</v>
      </c>
      <c r="Q290" s="4" t="str">
        <f t="shared" si="40"/>
        <v>OVER</v>
      </c>
      <c r="R290" s="4" t="str">
        <f t="shared" si="40"/>
        <v>OVER</v>
      </c>
      <c r="S290" s="4" t="str">
        <f t="shared" si="38"/>
        <v>OVER</v>
      </c>
      <c r="T290" s="4" t="str">
        <f t="shared" si="38"/>
        <v>OVER</v>
      </c>
      <c r="U290" s="2">
        <f>IF(Q290="OVER",$J290,$K290)</f>
        <v>-204.55934711521468</v>
      </c>
      <c r="V290" s="2">
        <f>IF(R290="OVER",$J290,$K290)</f>
        <v>-204.55934711521468</v>
      </c>
      <c r="W290" s="2">
        <f>IF(S290="OVER",$J290,$K290)</f>
        <v>-204.55934711521468</v>
      </c>
      <c r="X290" s="2">
        <f>IF(T290="OVER",$J290,$K290)</f>
        <v>-204.55934711521468</v>
      </c>
      <c r="Y290" s="9">
        <f t="shared" si="39"/>
        <v>-9216.6334550946049</v>
      </c>
      <c r="Z290" s="9">
        <f t="shared" si="39"/>
        <v>-9931.4667436476229</v>
      </c>
      <c r="AA290" s="9">
        <f t="shared" si="39"/>
        <v>18396.618071868368</v>
      </c>
      <c r="AB290" s="9">
        <f t="shared" si="36"/>
        <v>792.62893524814592</v>
      </c>
    </row>
    <row r="291" spans="1:28" x14ac:dyDescent="0.3">
      <c r="A291" s="1">
        <v>44833</v>
      </c>
      <c r="B291" s="2">
        <v>63.61</v>
      </c>
      <c r="C291" s="2">
        <v>69.319999999999993</v>
      </c>
      <c r="D291" s="9">
        <f>B291-B290</f>
        <v>-0.73999999999999488</v>
      </c>
      <c r="E291" s="9">
        <f>C291-C290</f>
        <v>-0.48000000000000398</v>
      </c>
      <c r="F291" s="3">
        <f>F$1/B291</f>
        <v>1572.0798616569723</v>
      </c>
      <c r="G291" s="3">
        <f>F$1/C291</f>
        <v>1442.5851125216388</v>
      </c>
      <c r="H291" s="2">
        <f>D291*F290</f>
        <v>-1149.9611499611419</v>
      </c>
      <c r="I291" s="2">
        <f>E291*G290</f>
        <v>-687.67908309456163</v>
      </c>
      <c r="J291" s="2">
        <f>I291-H291</f>
        <v>462.28206686658029</v>
      </c>
      <c r="K291" s="2">
        <f t="shared" si="34"/>
        <v>-462.28206686658029</v>
      </c>
      <c r="L291" s="14">
        <f>C291/B291</f>
        <v>1.089765760100613</v>
      </c>
      <c r="M291" s="14">
        <f t="shared" si="37"/>
        <v>1.0832340048250759</v>
      </c>
      <c r="N291" s="14">
        <f t="shared" si="41"/>
        <v>1.0811501072262339</v>
      </c>
      <c r="O291" s="14">
        <f t="shared" si="33"/>
        <v>1.0770291898470188</v>
      </c>
      <c r="P291" s="14">
        <f t="shared" si="35"/>
        <v>1.0795782455019911</v>
      </c>
      <c r="Q291" s="4" t="str">
        <f t="shared" si="40"/>
        <v>OVER</v>
      </c>
      <c r="R291" s="4" t="str">
        <f t="shared" si="40"/>
        <v>OVER</v>
      </c>
      <c r="S291" s="4" t="str">
        <f t="shared" si="38"/>
        <v>OVER</v>
      </c>
      <c r="T291" s="4" t="str">
        <f t="shared" si="38"/>
        <v>OVER</v>
      </c>
      <c r="U291" s="2">
        <f>IF(Q291="OVER",$J291,$K291)</f>
        <v>462.28206686658029</v>
      </c>
      <c r="V291" s="2">
        <f>IF(R291="OVER",$J291,$K291)</f>
        <v>462.28206686658029</v>
      </c>
      <c r="W291" s="2">
        <f>IF(S291="OVER",$J291,$K291)</f>
        <v>462.28206686658029</v>
      </c>
      <c r="X291" s="2">
        <f>IF(T291="OVER",$J291,$K291)</f>
        <v>462.28206686658029</v>
      </c>
      <c r="Y291" s="9">
        <f t="shared" si="39"/>
        <v>-8754.351388228024</v>
      </c>
      <c r="Z291" s="9">
        <f t="shared" si="39"/>
        <v>-9469.1846767810421</v>
      </c>
      <c r="AA291" s="9">
        <f t="shared" si="39"/>
        <v>18858.900138734949</v>
      </c>
      <c r="AB291" s="9">
        <f t="shared" si="36"/>
        <v>1254.9110021147262</v>
      </c>
    </row>
    <row r="292" spans="1:28" x14ac:dyDescent="0.3">
      <c r="A292" s="1">
        <v>44834</v>
      </c>
      <c r="B292" s="2">
        <v>63.3</v>
      </c>
      <c r="C292" s="2">
        <v>68.900000000000006</v>
      </c>
      <c r="D292" s="9">
        <f>B292-B291</f>
        <v>-0.31000000000000227</v>
      </c>
      <c r="E292" s="9">
        <f>C292-C291</f>
        <v>-0.41999999999998749</v>
      </c>
      <c r="F292" s="3">
        <f>F$1/B292</f>
        <v>1579.7788309636651</v>
      </c>
      <c r="G292" s="3">
        <f>F$1/C292</f>
        <v>1451.3788098693758</v>
      </c>
      <c r="H292" s="2">
        <f>D292*F291</f>
        <v>-487.34475711366497</v>
      </c>
      <c r="I292" s="2">
        <f>E292*G291</f>
        <v>-605.88574725907029</v>
      </c>
      <c r="J292" s="2">
        <f>I292-H292</f>
        <v>-118.54099014540532</v>
      </c>
      <c r="K292" s="2">
        <f t="shared" si="34"/>
        <v>118.54099014540532</v>
      </c>
      <c r="L292" s="14">
        <f>C292/B292</f>
        <v>1.0884676145339653</v>
      </c>
      <c r="M292" s="14">
        <f t="shared" si="37"/>
        <v>1.0838879592347477</v>
      </c>
      <c r="N292" s="14">
        <f t="shared" si="41"/>
        <v>1.0815743782927452</v>
      </c>
      <c r="O292" s="14">
        <f t="shared" si="33"/>
        <v>1.0773735830420561</v>
      </c>
      <c r="P292" s="14">
        <f t="shared" si="35"/>
        <v>1.0796479507096639</v>
      </c>
      <c r="Q292" s="4" t="str">
        <f t="shared" si="40"/>
        <v>OVER</v>
      </c>
      <c r="R292" s="4" t="str">
        <f t="shared" si="40"/>
        <v>OVER</v>
      </c>
      <c r="S292" s="4" t="str">
        <f t="shared" si="38"/>
        <v>OVER</v>
      </c>
      <c r="T292" s="4" t="str">
        <f t="shared" si="38"/>
        <v>OVER</v>
      </c>
      <c r="U292" s="2">
        <f>IF(Q292="OVER",$J292,$K292)</f>
        <v>-118.54099014540532</v>
      </c>
      <c r="V292" s="2">
        <f>IF(R292="OVER",$J292,$K292)</f>
        <v>-118.54099014540532</v>
      </c>
      <c r="W292" s="2">
        <f>IF(S292="OVER",$J292,$K292)</f>
        <v>-118.54099014540532</v>
      </c>
      <c r="X292" s="2">
        <f>IF(T292="OVER",$J292,$K292)</f>
        <v>-118.54099014540532</v>
      </c>
      <c r="Y292" s="9">
        <f t="shared" si="39"/>
        <v>-8872.8923783734299</v>
      </c>
      <c r="Z292" s="9">
        <f t="shared" si="39"/>
        <v>-9587.725666926448</v>
      </c>
      <c r="AA292" s="9">
        <f t="shared" si="39"/>
        <v>18740.359148589545</v>
      </c>
      <c r="AB292" s="9">
        <f t="shared" si="36"/>
        <v>1136.3700119693208</v>
      </c>
    </row>
    <row r="293" spans="1:28" x14ac:dyDescent="0.3">
      <c r="A293" s="1">
        <v>44837</v>
      </c>
      <c r="B293" s="2">
        <v>64.14</v>
      </c>
      <c r="C293" s="2">
        <v>69.7</v>
      </c>
      <c r="D293" s="9">
        <f>B293-B292</f>
        <v>0.84000000000000341</v>
      </c>
      <c r="E293" s="9">
        <f>C293-C292</f>
        <v>0.79999999999999716</v>
      </c>
      <c r="F293" s="3">
        <f>F$1/B293</f>
        <v>1559.0894917368257</v>
      </c>
      <c r="G293" s="3">
        <f>F$1/C293</f>
        <v>1434.7202295552368</v>
      </c>
      <c r="H293" s="2">
        <f>D293*F292</f>
        <v>1327.014218009484</v>
      </c>
      <c r="I293" s="2">
        <f>E293*G292</f>
        <v>1161.1030478954965</v>
      </c>
      <c r="J293" s="2">
        <f>I293-H293</f>
        <v>-165.91117011398751</v>
      </c>
      <c r="K293" s="2">
        <f t="shared" si="34"/>
        <v>165.91117011398751</v>
      </c>
      <c r="L293" s="14">
        <f>C293/B293</f>
        <v>1.0866853757405674</v>
      </c>
      <c r="M293" s="14">
        <f t="shared" si="37"/>
        <v>1.0843487666192804</v>
      </c>
      <c r="N293" s="14">
        <f t="shared" si="41"/>
        <v>1.081918491948509</v>
      </c>
      <c r="O293" s="14">
        <f t="shared" si="33"/>
        <v>1.0776448991873739</v>
      </c>
      <c r="P293" s="14">
        <f t="shared" si="35"/>
        <v>1.079723759289928</v>
      </c>
      <c r="Q293" s="4" t="str">
        <f t="shared" si="40"/>
        <v>OVER</v>
      </c>
      <c r="R293" s="4" t="str">
        <f t="shared" si="40"/>
        <v>OVER</v>
      </c>
      <c r="S293" s="4" t="str">
        <f t="shared" si="38"/>
        <v>OVER</v>
      </c>
      <c r="T293" s="4" t="str">
        <f t="shared" si="38"/>
        <v>OVER</v>
      </c>
      <c r="U293" s="2">
        <f>IF(Q293="OVER",$J293,$K293)</f>
        <v>-165.91117011398751</v>
      </c>
      <c r="V293" s="2">
        <f>IF(R293="OVER",$J293,$K293)</f>
        <v>-165.91117011398751</v>
      </c>
      <c r="W293" s="2">
        <f>IF(S293="OVER",$J293,$K293)</f>
        <v>-165.91117011398751</v>
      </c>
      <c r="X293" s="2">
        <f>IF(T293="OVER",$J293,$K293)</f>
        <v>-165.91117011398751</v>
      </c>
      <c r="Y293" s="9">
        <f t="shared" si="39"/>
        <v>-9038.8035484874181</v>
      </c>
      <c r="Z293" s="9">
        <f t="shared" si="39"/>
        <v>-9753.6368370404361</v>
      </c>
      <c r="AA293" s="9">
        <f t="shared" si="39"/>
        <v>18574.447978475557</v>
      </c>
      <c r="AB293" s="9">
        <f t="shared" si="36"/>
        <v>970.45884185533328</v>
      </c>
    </row>
    <row r="294" spans="1:28" x14ac:dyDescent="0.3">
      <c r="A294" s="1">
        <v>44838</v>
      </c>
      <c r="B294" s="2">
        <v>65.73</v>
      </c>
      <c r="C294" s="2">
        <v>71.319999999999993</v>
      </c>
      <c r="D294" s="9">
        <f>B294-B293</f>
        <v>1.5900000000000034</v>
      </c>
      <c r="E294" s="9">
        <f>C294-C293</f>
        <v>1.6199999999999903</v>
      </c>
      <c r="F294" s="3">
        <f>F$1/B294</f>
        <v>1521.3753232922561</v>
      </c>
      <c r="G294" s="3">
        <f>F$1/C294</f>
        <v>1402.1312394840159</v>
      </c>
      <c r="H294" s="2">
        <f>D294*F293</f>
        <v>2478.952291861558</v>
      </c>
      <c r="I294" s="2">
        <f>E294*G293</f>
        <v>2324.2467718794696</v>
      </c>
      <c r="J294" s="2">
        <f>I294-H294</f>
        <v>-154.70551998208839</v>
      </c>
      <c r="K294" s="2">
        <f t="shared" si="34"/>
        <v>154.70551998208839</v>
      </c>
      <c r="L294" s="14">
        <f>C294/B294</f>
        <v>1.085044880572037</v>
      </c>
      <c r="M294" s="14">
        <f t="shared" si="37"/>
        <v>1.0844445747488167</v>
      </c>
      <c r="N294" s="14">
        <f t="shared" si="41"/>
        <v>1.0821935485240117</v>
      </c>
      <c r="O294" s="14">
        <f t="shared" si="33"/>
        <v>1.0779144389593549</v>
      </c>
      <c r="P294" s="14">
        <f t="shared" si="35"/>
        <v>1.0798152004064954</v>
      </c>
      <c r="Q294" s="4" t="str">
        <f t="shared" si="40"/>
        <v>OVER</v>
      </c>
      <c r="R294" s="4" t="str">
        <f t="shared" si="40"/>
        <v>OVER</v>
      </c>
      <c r="S294" s="4" t="str">
        <f t="shared" si="38"/>
        <v>OVER</v>
      </c>
      <c r="T294" s="4" t="str">
        <f t="shared" si="38"/>
        <v>OVER</v>
      </c>
      <c r="U294" s="2">
        <f>IF(Q294="OVER",$J294,$K294)</f>
        <v>-154.70551998208839</v>
      </c>
      <c r="V294" s="2">
        <f>IF(R294="OVER",$J294,$K294)</f>
        <v>-154.70551998208839</v>
      </c>
      <c r="W294" s="2">
        <f>IF(S294="OVER",$J294,$K294)</f>
        <v>-154.70551998208839</v>
      </c>
      <c r="X294" s="2">
        <f>IF(T294="OVER",$J294,$K294)</f>
        <v>-154.70551998208839</v>
      </c>
      <c r="Y294" s="9">
        <f t="shared" si="39"/>
        <v>-9193.509068469506</v>
      </c>
      <c r="Z294" s="9">
        <f t="shared" si="39"/>
        <v>-9908.3423570225241</v>
      </c>
      <c r="AA294" s="9">
        <f t="shared" si="39"/>
        <v>18419.742458493467</v>
      </c>
      <c r="AB294" s="9">
        <f t="shared" si="36"/>
        <v>815.75332187324489</v>
      </c>
    </row>
    <row r="295" spans="1:28" x14ac:dyDescent="0.3">
      <c r="A295" s="1">
        <v>44839</v>
      </c>
      <c r="B295" s="2">
        <v>65.680000000000007</v>
      </c>
      <c r="C295" s="2">
        <v>71.239999999999995</v>
      </c>
      <c r="D295" s="9">
        <f>B295-B294</f>
        <v>-4.9999999999997158E-2</v>
      </c>
      <c r="E295" s="9">
        <f>C295-C294</f>
        <v>-7.9999999999998295E-2</v>
      </c>
      <c r="F295" s="3">
        <f>F$1/B295</f>
        <v>1522.5334957369062</v>
      </c>
      <c r="G295" s="3">
        <f>F$1/C295</f>
        <v>1403.7057832678272</v>
      </c>
      <c r="H295" s="2">
        <f>D295*F294</f>
        <v>-76.068766164608476</v>
      </c>
      <c r="I295" s="2">
        <f>E295*G294</f>
        <v>-112.17049915871888</v>
      </c>
      <c r="J295" s="2">
        <f>I295-H295</f>
        <v>-36.101732994110407</v>
      </c>
      <c r="K295" s="2">
        <f t="shared" si="34"/>
        <v>36.101732994110407</v>
      </c>
      <c r="L295" s="14">
        <f>C295/B295</f>
        <v>1.0846528623629719</v>
      </c>
      <c r="M295" s="14">
        <f t="shared" si="37"/>
        <v>1.084769264515242</v>
      </c>
      <c r="N295" s="14">
        <f t="shared" si="41"/>
        <v>1.082505930785483</v>
      </c>
      <c r="O295" s="14">
        <f t="shared" si="33"/>
        <v>1.0781843434225147</v>
      </c>
      <c r="P295" s="14">
        <f t="shared" si="35"/>
        <v>1.0798492137036748</v>
      </c>
      <c r="Q295" s="4" t="str">
        <f t="shared" si="40"/>
        <v>OVER</v>
      </c>
      <c r="R295" s="4" t="str">
        <f t="shared" si="40"/>
        <v>OVER</v>
      </c>
      <c r="S295" s="4" t="str">
        <f t="shared" si="38"/>
        <v>OVER</v>
      </c>
      <c r="T295" s="4" t="str">
        <f t="shared" si="38"/>
        <v>OVER</v>
      </c>
      <c r="U295" s="2">
        <f>IF(Q295="OVER",$J295,$K295)</f>
        <v>-36.101732994110407</v>
      </c>
      <c r="V295" s="2">
        <f>IF(R295="OVER",$J295,$K295)</f>
        <v>-36.101732994110407</v>
      </c>
      <c r="W295" s="2">
        <f>IF(S295="OVER",$J295,$K295)</f>
        <v>-36.101732994110407</v>
      </c>
      <c r="X295" s="2">
        <f>IF(T295="OVER",$J295,$K295)</f>
        <v>-36.101732994110407</v>
      </c>
      <c r="Y295" s="9">
        <f t="shared" si="39"/>
        <v>-9229.6108014636156</v>
      </c>
      <c r="Z295" s="9">
        <f t="shared" si="39"/>
        <v>-9944.4440900166337</v>
      </c>
      <c r="AA295" s="9">
        <f t="shared" si="39"/>
        <v>18383.640725499357</v>
      </c>
      <c r="AB295" s="9">
        <f t="shared" si="36"/>
        <v>779.65158887913447</v>
      </c>
    </row>
    <row r="296" spans="1:28" x14ac:dyDescent="0.3">
      <c r="A296" s="1">
        <v>44840</v>
      </c>
      <c r="B296" s="2">
        <v>65.67</v>
      </c>
      <c r="C296" s="2">
        <v>71.36</v>
      </c>
      <c r="D296" s="9">
        <f>B296-B295</f>
        <v>-1.0000000000005116E-2</v>
      </c>
      <c r="E296" s="9">
        <f>C296-C295</f>
        <v>0.12000000000000455</v>
      </c>
      <c r="F296" s="3">
        <f>F$1/B296</f>
        <v>1522.7653418608193</v>
      </c>
      <c r="G296" s="3">
        <f>F$1/C296</f>
        <v>1401.3452914798206</v>
      </c>
      <c r="H296" s="2">
        <f>D296*F295</f>
        <v>-15.22533495737685</v>
      </c>
      <c r="I296" s="2">
        <f>E296*G295</f>
        <v>168.44469399214566</v>
      </c>
      <c r="J296" s="2">
        <f>I296-H296</f>
        <v>183.6700289495225</v>
      </c>
      <c r="K296" s="2">
        <f t="shared" si="34"/>
        <v>-183.6700289495225</v>
      </c>
      <c r="L296" s="14">
        <f>C296/B296</f>
        <v>1.0866453479518805</v>
      </c>
      <c r="M296" s="14">
        <f t="shared" si="37"/>
        <v>1.0851672971512691</v>
      </c>
      <c r="N296" s="14">
        <f t="shared" si="41"/>
        <v>1.0829694132463308</v>
      </c>
      <c r="O296" s="14">
        <f t="shared" si="33"/>
        <v>1.0784801425237693</v>
      </c>
      <c r="P296" s="14">
        <f t="shared" si="35"/>
        <v>1.0799007799725544</v>
      </c>
      <c r="Q296" s="4" t="str">
        <f t="shared" si="40"/>
        <v>UNDER</v>
      </c>
      <c r="R296" s="4" t="str">
        <f t="shared" si="40"/>
        <v>OVER</v>
      </c>
      <c r="S296" s="4" t="str">
        <f t="shared" si="38"/>
        <v>OVER</v>
      </c>
      <c r="T296" s="4" t="str">
        <f t="shared" si="38"/>
        <v>OVER</v>
      </c>
      <c r="U296" s="2">
        <f>IF(Q296="OVER",$J296,$K296)</f>
        <v>-183.6700289495225</v>
      </c>
      <c r="V296" s="2">
        <f>IF(R296="OVER",$J296,$K296)</f>
        <v>183.6700289495225</v>
      </c>
      <c r="W296" s="2">
        <f>IF(S296="OVER",$J296,$K296)</f>
        <v>183.6700289495225</v>
      </c>
      <c r="X296" s="2">
        <f>IF(T296="OVER",$J296,$K296)</f>
        <v>183.6700289495225</v>
      </c>
      <c r="Y296" s="9">
        <f t="shared" si="39"/>
        <v>-9413.2808304131377</v>
      </c>
      <c r="Z296" s="9">
        <f t="shared" si="39"/>
        <v>-9760.7740610671117</v>
      </c>
      <c r="AA296" s="9">
        <f t="shared" si="39"/>
        <v>18567.310754448881</v>
      </c>
      <c r="AB296" s="9">
        <f t="shared" si="36"/>
        <v>963.32161782865694</v>
      </c>
    </row>
    <row r="297" spans="1:28" x14ac:dyDescent="0.3">
      <c r="A297" s="1">
        <v>44841</v>
      </c>
      <c r="B297" s="2">
        <v>64.849999999999994</v>
      </c>
      <c r="C297" s="2">
        <v>70.459999999999994</v>
      </c>
      <c r="D297" s="9">
        <f>B297-B296</f>
        <v>-0.82000000000000739</v>
      </c>
      <c r="E297" s="9">
        <f>C297-C296</f>
        <v>-0.90000000000000568</v>
      </c>
      <c r="F297" s="3">
        <f>F$1/B297</f>
        <v>1542.0200462606015</v>
      </c>
      <c r="G297" s="3">
        <f>F$1/C297</f>
        <v>1419.2449616803863</v>
      </c>
      <c r="H297" s="2">
        <f>D297*F296</f>
        <v>-1248.6675803258831</v>
      </c>
      <c r="I297" s="2">
        <f>E297*G296</f>
        <v>-1261.2107623318466</v>
      </c>
      <c r="J297" s="2">
        <f>I297-H297</f>
        <v>-12.543182005963445</v>
      </c>
      <c r="K297" s="2">
        <f t="shared" si="34"/>
        <v>12.543182005963445</v>
      </c>
      <c r="L297" s="14">
        <f>C297/B297</f>
        <v>1.0865073245952197</v>
      </c>
      <c r="M297" s="14">
        <f t="shared" si="37"/>
        <v>1.0859954868924968</v>
      </c>
      <c r="N297" s="14">
        <f t="shared" si="41"/>
        <v>1.0832487890816807</v>
      </c>
      <c r="O297" s="14">
        <f t="shared" si="33"/>
        <v>1.078896679548218</v>
      </c>
      <c r="P297" s="14">
        <f t="shared" si="35"/>
        <v>1.0799447846522647</v>
      </c>
      <c r="Q297" s="4" t="str">
        <f t="shared" si="40"/>
        <v>OVER</v>
      </c>
      <c r="R297" s="4" t="str">
        <f t="shared" si="40"/>
        <v>OVER</v>
      </c>
      <c r="S297" s="4" t="str">
        <f t="shared" si="38"/>
        <v>OVER</v>
      </c>
      <c r="T297" s="4" t="str">
        <f t="shared" si="38"/>
        <v>OVER</v>
      </c>
      <c r="U297" s="2">
        <f>IF(Q297="OVER",$J297,$K297)</f>
        <v>-12.543182005963445</v>
      </c>
      <c r="V297" s="2">
        <f>IF(R297="OVER",$J297,$K297)</f>
        <v>-12.543182005963445</v>
      </c>
      <c r="W297" s="2">
        <f>IF(S297="OVER",$J297,$K297)</f>
        <v>-12.543182005963445</v>
      </c>
      <c r="X297" s="2">
        <f>IF(T297="OVER",$J297,$K297)</f>
        <v>-12.543182005963445</v>
      </c>
      <c r="Y297" s="9">
        <f t="shared" si="39"/>
        <v>-9425.8240124191016</v>
      </c>
      <c r="Z297" s="9">
        <f t="shared" si="39"/>
        <v>-9773.3172430730756</v>
      </c>
      <c r="AA297" s="9">
        <f t="shared" si="39"/>
        <v>18554.767572442917</v>
      </c>
      <c r="AB297" s="9">
        <f t="shared" si="36"/>
        <v>950.7784358226935</v>
      </c>
    </row>
    <row r="298" spans="1:28" x14ac:dyDescent="0.3">
      <c r="A298" s="1">
        <v>44844</v>
      </c>
      <c r="B298" s="2">
        <v>64.349999999999994</v>
      </c>
      <c r="C298" s="2">
        <v>69.959999999999994</v>
      </c>
      <c r="D298" s="9">
        <f>B298-B297</f>
        <v>-0.5</v>
      </c>
      <c r="E298" s="9">
        <f>C298-C297</f>
        <v>-0.5</v>
      </c>
      <c r="F298" s="3">
        <f>F$1/B298</f>
        <v>1554.001554001554</v>
      </c>
      <c r="G298" s="3">
        <f>F$1/C298</f>
        <v>1429.3882218410522</v>
      </c>
      <c r="H298" s="2">
        <f>D298*F297</f>
        <v>-771.01002313030074</v>
      </c>
      <c r="I298" s="2">
        <f>E298*G297</f>
        <v>-709.62248084019313</v>
      </c>
      <c r="J298" s="2">
        <f>I298-H298</f>
        <v>61.387542290107604</v>
      </c>
      <c r="K298" s="2">
        <f t="shared" si="34"/>
        <v>-61.387542290107604</v>
      </c>
      <c r="L298" s="14">
        <f>C298/B298</f>
        <v>1.0871794871794871</v>
      </c>
      <c r="M298" s="14">
        <f t="shared" si="37"/>
        <v>1.0866529822099413</v>
      </c>
      <c r="N298" s="14">
        <f t="shared" si="41"/>
        <v>1.0837088464731459</v>
      </c>
      <c r="O298" s="14">
        <f t="shared" si="33"/>
        <v>1.079307328288424</v>
      </c>
      <c r="P298" s="14">
        <f t="shared" si="35"/>
        <v>1.0799905383509962</v>
      </c>
      <c r="Q298" s="4" t="str">
        <f t="shared" si="40"/>
        <v>OVER</v>
      </c>
      <c r="R298" s="4" t="str">
        <f t="shared" si="40"/>
        <v>OVER</v>
      </c>
      <c r="S298" s="4" t="str">
        <f t="shared" si="38"/>
        <v>OVER</v>
      </c>
      <c r="T298" s="4" t="str">
        <f t="shared" si="38"/>
        <v>OVER</v>
      </c>
      <c r="U298" s="2">
        <f>IF(Q298="OVER",$J298,$K298)</f>
        <v>61.387542290107604</v>
      </c>
      <c r="V298" s="2">
        <f>IF(R298="OVER",$J298,$K298)</f>
        <v>61.387542290107604</v>
      </c>
      <c r="W298" s="2">
        <f>IF(S298="OVER",$J298,$K298)</f>
        <v>61.387542290107604</v>
      </c>
      <c r="X298" s="2">
        <f>IF(T298="OVER",$J298,$K298)</f>
        <v>61.387542290107604</v>
      </c>
      <c r="Y298" s="9">
        <f t="shared" si="39"/>
        <v>-9364.4364701289942</v>
      </c>
      <c r="Z298" s="9">
        <f t="shared" si="39"/>
        <v>-9711.9297007829682</v>
      </c>
      <c r="AA298" s="9">
        <f t="shared" si="39"/>
        <v>18616.155114733025</v>
      </c>
      <c r="AB298" s="9">
        <f t="shared" si="36"/>
        <v>1012.1659781128011</v>
      </c>
    </row>
    <row r="299" spans="1:28" x14ac:dyDescent="0.3">
      <c r="A299" s="1">
        <v>44845</v>
      </c>
      <c r="B299" s="2">
        <v>63.72</v>
      </c>
      <c r="C299" s="2">
        <v>69.45</v>
      </c>
      <c r="D299" s="9">
        <f>B299-B298</f>
        <v>-0.62999999999999545</v>
      </c>
      <c r="E299" s="9">
        <f>C299-C298</f>
        <v>-0.50999999999999091</v>
      </c>
      <c r="F299" s="3">
        <f>F$1/B299</f>
        <v>1569.3659761456372</v>
      </c>
      <c r="G299" s="3">
        <f>F$1/C299</f>
        <v>1439.8848092152627</v>
      </c>
      <c r="H299" s="2">
        <f>D299*F298</f>
        <v>-979.02097902097194</v>
      </c>
      <c r="I299" s="2">
        <f>E299*G298</f>
        <v>-728.98799313892357</v>
      </c>
      <c r="J299" s="2">
        <f>I299-H299</f>
        <v>250.03298588204837</v>
      </c>
      <c r="K299" s="2">
        <f t="shared" si="34"/>
        <v>-250.03298588204837</v>
      </c>
      <c r="L299" s="14">
        <f>C299/B299</f>
        <v>1.0899246704331451</v>
      </c>
      <c r="M299" s="14">
        <f t="shared" si="37"/>
        <v>1.0869566408162972</v>
      </c>
      <c r="N299" s="14">
        <f t="shared" si="41"/>
        <v>1.0843634550316004</v>
      </c>
      <c r="O299" s="14">
        <f t="shared" si="33"/>
        <v>1.079724883367196</v>
      </c>
      <c r="P299" s="14">
        <f t="shared" si="35"/>
        <v>1.0800570705538883</v>
      </c>
      <c r="Q299" s="4" t="str">
        <f t="shared" si="40"/>
        <v>OVER</v>
      </c>
      <c r="R299" s="4" t="str">
        <f t="shared" si="40"/>
        <v>OVER</v>
      </c>
      <c r="S299" s="4" t="str">
        <f t="shared" si="38"/>
        <v>OVER</v>
      </c>
      <c r="T299" s="4" t="str">
        <f t="shared" si="38"/>
        <v>OVER</v>
      </c>
      <c r="U299" s="2">
        <f>IF(Q299="OVER",$J299,$K299)</f>
        <v>250.03298588204837</v>
      </c>
      <c r="V299" s="2">
        <f>IF(R299="OVER",$J299,$K299)</f>
        <v>250.03298588204837</v>
      </c>
      <c r="W299" s="2">
        <f>IF(S299="OVER",$J299,$K299)</f>
        <v>250.03298588204837</v>
      </c>
      <c r="X299" s="2">
        <f>IF(T299="OVER",$J299,$K299)</f>
        <v>250.03298588204837</v>
      </c>
      <c r="Y299" s="9">
        <f t="shared" si="39"/>
        <v>-9114.4034842469464</v>
      </c>
      <c r="Z299" s="9">
        <f t="shared" si="39"/>
        <v>-9461.8967149009204</v>
      </c>
      <c r="AA299" s="9">
        <f t="shared" si="39"/>
        <v>18866.188100615072</v>
      </c>
      <c r="AB299" s="9">
        <f t="shared" si="36"/>
        <v>1262.1989639948495</v>
      </c>
    </row>
    <row r="300" spans="1:28" x14ac:dyDescent="0.3">
      <c r="A300" s="1">
        <v>44846</v>
      </c>
      <c r="B300" s="2">
        <v>63.42</v>
      </c>
      <c r="C300" s="2">
        <v>69.28</v>
      </c>
      <c r="D300" s="9">
        <f>B300-B299</f>
        <v>-0.29999999999999716</v>
      </c>
      <c r="E300" s="9">
        <f>C300-C299</f>
        <v>-0.17000000000000171</v>
      </c>
      <c r="F300" s="3">
        <f>F$1/B300</f>
        <v>1576.7896562598548</v>
      </c>
      <c r="G300" s="3">
        <f>F$1/C300</f>
        <v>1443.4180138568129</v>
      </c>
      <c r="H300" s="2">
        <f>D300*F299</f>
        <v>-470.80979284368669</v>
      </c>
      <c r="I300" s="2">
        <f>E300*G299</f>
        <v>-244.78041756659712</v>
      </c>
      <c r="J300" s="2">
        <f>I300-H300</f>
        <v>226.02937527708957</v>
      </c>
      <c r="K300" s="2">
        <f t="shared" si="34"/>
        <v>-226.02937527708957</v>
      </c>
      <c r="L300" s="14">
        <f>C300/B300</f>
        <v>1.0923998738568275</v>
      </c>
      <c r="M300" s="14">
        <f t="shared" si="37"/>
        <v>1.0877273197326716</v>
      </c>
      <c r="N300" s="14">
        <f t="shared" si="41"/>
        <v>1.0850248705810808</v>
      </c>
      <c r="O300" s="14">
        <f t="shared" si="33"/>
        <v>1.0801298242682855</v>
      </c>
      <c r="P300" s="14">
        <f t="shared" si="35"/>
        <v>1.08012586545685</v>
      </c>
      <c r="Q300" s="4" t="str">
        <f t="shared" si="40"/>
        <v>OVER</v>
      </c>
      <c r="R300" s="4" t="str">
        <f t="shared" si="40"/>
        <v>OVER</v>
      </c>
      <c r="S300" s="4" t="str">
        <f t="shared" si="38"/>
        <v>OVER</v>
      </c>
      <c r="T300" s="4" t="str">
        <f t="shared" si="38"/>
        <v>OVER</v>
      </c>
      <c r="U300" s="2">
        <f>IF(Q300="OVER",$J300,$K300)</f>
        <v>226.02937527708957</v>
      </c>
      <c r="V300" s="2">
        <f>IF(R300="OVER",$J300,$K300)</f>
        <v>226.02937527708957</v>
      </c>
      <c r="W300" s="2">
        <f>IF(S300="OVER",$J300,$K300)</f>
        <v>226.02937527708957</v>
      </c>
      <c r="X300" s="2">
        <f>IF(T300="OVER",$J300,$K300)</f>
        <v>226.02937527708957</v>
      </c>
      <c r="Y300" s="9">
        <f t="shared" si="39"/>
        <v>-8888.374108969856</v>
      </c>
      <c r="Z300" s="9">
        <f t="shared" si="39"/>
        <v>-9235.86733962383</v>
      </c>
      <c r="AA300" s="9">
        <f t="shared" si="39"/>
        <v>19092.217475892161</v>
      </c>
      <c r="AB300" s="9">
        <f t="shared" si="36"/>
        <v>1488.2283392719391</v>
      </c>
    </row>
    <row r="301" spans="1:28" x14ac:dyDescent="0.3">
      <c r="A301" s="1">
        <v>44847</v>
      </c>
      <c r="B301" s="2">
        <v>63.57</v>
      </c>
      <c r="C301" s="2">
        <v>69.31</v>
      </c>
      <c r="D301" s="9">
        <f>B301-B300</f>
        <v>0.14999999999999858</v>
      </c>
      <c r="E301" s="9">
        <f>C301-C300</f>
        <v>3.0000000000001137E-2</v>
      </c>
      <c r="F301" s="3">
        <f>F$1/B301</f>
        <v>1573.0690577316343</v>
      </c>
      <c r="G301" s="3">
        <f>F$1/C301</f>
        <v>1442.7932477276006</v>
      </c>
      <c r="H301" s="2">
        <f>D301*F300</f>
        <v>236.51844843897598</v>
      </c>
      <c r="I301" s="2">
        <f>E301*G300</f>
        <v>43.302540415706027</v>
      </c>
      <c r="J301" s="2">
        <f>I301-H301</f>
        <v>-193.21590802326995</v>
      </c>
      <c r="K301" s="2">
        <f t="shared" si="34"/>
        <v>193.21590802326995</v>
      </c>
      <c r="L301" s="14">
        <f>C301/B301</f>
        <v>1.0902941639137957</v>
      </c>
      <c r="M301" s="14">
        <f t="shared" si="37"/>
        <v>1.0877801601139898</v>
      </c>
      <c r="N301" s="14">
        <f t="shared" si="41"/>
        <v>1.0855070824695328</v>
      </c>
      <c r="O301" s="14">
        <f t="shared" si="33"/>
        <v>1.0804903780751638</v>
      </c>
      <c r="P301" s="14">
        <f t="shared" si="35"/>
        <v>1.0801902589817329</v>
      </c>
      <c r="Q301" s="4" t="str">
        <f t="shared" si="40"/>
        <v>OVER</v>
      </c>
      <c r="R301" s="4" t="str">
        <f t="shared" si="40"/>
        <v>OVER</v>
      </c>
      <c r="S301" s="4" t="str">
        <f t="shared" si="38"/>
        <v>OVER</v>
      </c>
      <c r="T301" s="4" t="str">
        <f t="shared" si="38"/>
        <v>OVER</v>
      </c>
      <c r="U301" s="2">
        <f>IF(Q301="OVER",$J301,$K301)</f>
        <v>-193.21590802326995</v>
      </c>
      <c r="V301" s="2">
        <f>IF(R301="OVER",$J301,$K301)</f>
        <v>-193.21590802326995</v>
      </c>
      <c r="W301" s="2">
        <f>IF(S301="OVER",$J301,$K301)</f>
        <v>-193.21590802326995</v>
      </c>
      <c r="X301" s="2">
        <f>IF(T301="OVER",$J301,$K301)</f>
        <v>-193.21590802326995</v>
      </c>
      <c r="Y301" s="9">
        <f t="shared" si="39"/>
        <v>-9081.5900169931265</v>
      </c>
      <c r="Z301" s="9">
        <f t="shared" si="39"/>
        <v>-9429.0832476471005</v>
      </c>
      <c r="AA301" s="9">
        <f t="shared" si="39"/>
        <v>18899.001567868891</v>
      </c>
      <c r="AB301" s="9">
        <f t="shared" si="36"/>
        <v>1295.0124312486691</v>
      </c>
    </row>
    <row r="302" spans="1:28" x14ac:dyDescent="0.3">
      <c r="A302" s="1">
        <v>44848</v>
      </c>
      <c r="B302" s="2">
        <v>62.9</v>
      </c>
      <c r="C302" s="2">
        <v>68.540000000000006</v>
      </c>
      <c r="D302" s="9">
        <f>B302-B301</f>
        <v>-0.67000000000000171</v>
      </c>
      <c r="E302" s="9">
        <f>C302-C301</f>
        <v>-0.76999999999999602</v>
      </c>
      <c r="F302" s="3">
        <f>F$1/B302</f>
        <v>1589.8251192368839</v>
      </c>
      <c r="G302" s="3">
        <f>F$1/C302</f>
        <v>1459.0020426028595</v>
      </c>
      <c r="H302" s="2">
        <f>D302*F301</f>
        <v>-1053.9562686801976</v>
      </c>
      <c r="I302" s="2">
        <f>E302*G301</f>
        <v>-1110.9508007502468</v>
      </c>
      <c r="J302" s="2">
        <f>I302-H302</f>
        <v>-56.994532070049218</v>
      </c>
      <c r="K302" s="2">
        <f t="shared" si="34"/>
        <v>56.994532070049218</v>
      </c>
      <c r="L302" s="14">
        <f>C302/B302</f>
        <v>1.0896661367249605</v>
      </c>
      <c r="M302" s="14">
        <f t="shared" si="37"/>
        <v>1.0879000123330893</v>
      </c>
      <c r="N302" s="14">
        <f t="shared" si="41"/>
        <v>1.0858939857839185</v>
      </c>
      <c r="O302" s="14">
        <f t="shared" si="33"/>
        <v>1.080832998623475</v>
      </c>
      <c r="P302" s="14">
        <f t="shared" si="35"/>
        <v>1.0802621091239026</v>
      </c>
      <c r="Q302" s="4" t="str">
        <f t="shared" si="40"/>
        <v>OVER</v>
      </c>
      <c r="R302" s="4" t="str">
        <f t="shared" si="40"/>
        <v>OVER</v>
      </c>
      <c r="S302" s="4" t="str">
        <f t="shared" si="38"/>
        <v>OVER</v>
      </c>
      <c r="T302" s="4" t="str">
        <f t="shared" si="38"/>
        <v>OVER</v>
      </c>
      <c r="U302" s="2">
        <f>IF(Q302="OVER",$J302,$K302)</f>
        <v>-56.994532070049218</v>
      </c>
      <c r="V302" s="2">
        <f>IF(R302="OVER",$J302,$K302)</f>
        <v>-56.994532070049218</v>
      </c>
      <c r="W302" s="2">
        <f>IF(S302="OVER",$J302,$K302)</f>
        <v>-56.994532070049218</v>
      </c>
      <c r="X302" s="2">
        <f>IF(T302="OVER",$J302,$K302)</f>
        <v>-56.994532070049218</v>
      </c>
      <c r="Y302" s="9">
        <f t="shared" si="39"/>
        <v>-9138.5845490631764</v>
      </c>
      <c r="Z302" s="9">
        <f t="shared" si="39"/>
        <v>-9486.0777797171504</v>
      </c>
      <c r="AA302" s="9">
        <f t="shared" si="39"/>
        <v>18842.007035798841</v>
      </c>
      <c r="AB302" s="9">
        <f t="shared" si="36"/>
        <v>1238.0178991786199</v>
      </c>
    </row>
    <row r="303" spans="1:28" x14ac:dyDescent="0.3">
      <c r="A303" s="1">
        <v>44851</v>
      </c>
      <c r="B303" s="2">
        <v>63.76</v>
      </c>
      <c r="C303" s="2">
        <v>69.48</v>
      </c>
      <c r="D303" s="9">
        <f>B303-B302</f>
        <v>0.85999999999999943</v>
      </c>
      <c r="E303" s="9">
        <f>C303-C302</f>
        <v>0.93999999999999773</v>
      </c>
      <c r="F303" s="3">
        <f>F$1/B303</f>
        <v>1568.3814303638646</v>
      </c>
      <c r="G303" s="3">
        <f>F$1/C303</f>
        <v>1439.2630972941854</v>
      </c>
      <c r="H303" s="2">
        <f>D303*F302</f>
        <v>1367.2496025437192</v>
      </c>
      <c r="I303" s="2">
        <f>E303*G302</f>
        <v>1371.4619200466846</v>
      </c>
      <c r="J303" s="2">
        <f>I303-H303</f>
        <v>4.2123175029653339</v>
      </c>
      <c r="K303" s="2">
        <f t="shared" si="34"/>
        <v>-4.2123175029653339</v>
      </c>
      <c r="L303" s="14">
        <f>C303/B303</f>
        <v>1.0897114178168132</v>
      </c>
      <c r="M303" s="14">
        <f t="shared" si="37"/>
        <v>1.0882026165407139</v>
      </c>
      <c r="N303" s="14">
        <f t="shared" si="41"/>
        <v>1.0862756915799971</v>
      </c>
      <c r="O303" s="14">
        <f t="shared" si="33"/>
        <v>1.08119162640094</v>
      </c>
      <c r="P303" s="14">
        <f t="shared" si="35"/>
        <v>1.0803131716333674</v>
      </c>
      <c r="Q303" s="4" t="str">
        <f t="shared" si="40"/>
        <v>OVER</v>
      </c>
      <c r="R303" s="4" t="str">
        <f t="shared" si="40"/>
        <v>OVER</v>
      </c>
      <c r="S303" s="4" t="str">
        <f t="shared" si="38"/>
        <v>OVER</v>
      </c>
      <c r="T303" s="4" t="str">
        <f t="shared" si="38"/>
        <v>OVER</v>
      </c>
      <c r="U303" s="2">
        <f>IF(Q303="OVER",$J303,$K303)</f>
        <v>4.2123175029653339</v>
      </c>
      <c r="V303" s="2">
        <f>IF(R303="OVER",$J303,$K303)</f>
        <v>4.2123175029653339</v>
      </c>
      <c r="W303" s="2">
        <f>IF(S303="OVER",$J303,$K303)</f>
        <v>4.2123175029653339</v>
      </c>
      <c r="X303" s="2">
        <f>IF(T303="OVER",$J303,$K303)</f>
        <v>4.2123175029653339</v>
      </c>
      <c r="Y303" s="9">
        <f t="shared" si="39"/>
        <v>-9134.3722315602117</v>
      </c>
      <c r="Z303" s="9">
        <f t="shared" si="39"/>
        <v>-9481.8654622141858</v>
      </c>
      <c r="AA303" s="9">
        <f t="shared" si="39"/>
        <v>18846.219353301807</v>
      </c>
      <c r="AB303" s="9">
        <f t="shared" si="36"/>
        <v>1242.2302166815853</v>
      </c>
    </row>
    <row r="304" spans="1:28" x14ac:dyDescent="0.3">
      <c r="A304" s="1">
        <v>44852</v>
      </c>
      <c r="B304" s="2">
        <v>64.37</v>
      </c>
      <c r="C304" s="2">
        <v>69.86</v>
      </c>
      <c r="D304" s="9">
        <f>B304-B303</f>
        <v>0.61000000000000654</v>
      </c>
      <c r="E304" s="9">
        <f>C304-C303</f>
        <v>0.37999999999999545</v>
      </c>
      <c r="F304" s="3">
        <f>F$1/B304</f>
        <v>1553.5187199005748</v>
      </c>
      <c r="G304" s="3">
        <f>F$1/C304</f>
        <v>1431.4342971657602</v>
      </c>
      <c r="H304" s="2">
        <f>D304*F303</f>
        <v>956.71267252196765</v>
      </c>
      <c r="I304" s="2">
        <f>E304*G303</f>
        <v>546.91997697178385</v>
      </c>
      <c r="J304" s="2">
        <f>I304-H304</f>
        <v>-409.79269555018379</v>
      </c>
      <c r="K304" s="2">
        <f t="shared" si="34"/>
        <v>409.79269555018379</v>
      </c>
      <c r="L304" s="14">
        <f>C304/B304</f>
        <v>1.0852881777225414</v>
      </c>
      <c r="M304" s="14">
        <f t="shared" si="37"/>
        <v>1.0882269462557641</v>
      </c>
      <c r="N304" s="14">
        <f t="shared" si="41"/>
        <v>1.0863357605022905</v>
      </c>
      <c r="O304" s="14">
        <f t="shared" si="33"/>
        <v>1.0814365704011133</v>
      </c>
      <c r="P304" s="14">
        <f t="shared" si="35"/>
        <v>1.0803647330619994</v>
      </c>
      <c r="Q304" s="4" t="str">
        <f t="shared" si="40"/>
        <v>OVER</v>
      </c>
      <c r="R304" s="4" t="str">
        <f t="shared" si="40"/>
        <v>OVER</v>
      </c>
      <c r="S304" s="4" t="str">
        <f t="shared" si="38"/>
        <v>OVER</v>
      </c>
      <c r="T304" s="4" t="str">
        <f t="shared" si="38"/>
        <v>OVER</v>
      </c>
      <c r="U304" s="2">
        <f>IF(Q304="OVER",$J304,$K304)</f>
        <v>-409.79269555018379</v>
      </c>
      <c r="V304" s="2">
        <f>IF(R304="OVER",$J304,$K304)</f>
        <v>-409.79269555018379</v>
      </c>
      <c r="W304" s="2">
        <f>IF(S304="OVER",$J304,$K304)</f>
        <v>-409.79269555018379</v>
      </c>
      <c r="X304" s="2">
        <f>IF(T304="OVER",$J304,$K304)</f>
        <v>-409.79269555018379</v>
      </c>
      <c r="Y304" s="9">
        <f t="shared" si="39"/>
        <v>-9544.1649271103961</v>
      </c>
      <c r="Z304" s="9">
        <f t="shared" si="39"/>
        <v>-9891.6581577643701</v>
      </c>
      <c r="AA304" s="9">
        <f t="shared" si="39"/>
        <v>18436.426657751625</v>
      </c>
      <c r="AB304" s="9">
        <f t="shared" si="36"/>
        <v>832.43752113140147</v>
      </c>
    </row>
    <row r="305" spans="1:28" x14ac:dyDescent="0.3">
      <c r="A305" s="1">
        <v>44853</v>
      </c>
      <c r="B305" s="2">
        <v>64.03</v>
      </c>
      <c r="C305" s="2">
        <v>69.36</v>
      </c>
      <c r="D305" s="9">
        <f>B305-B304</f>
        <v>-0.34000000000000341</v>
      </c>
      <c r="E305" s="9">
        <f>C305-C304</f>
        <v>-0.5</v>
      </c>
      <c r="F305" s="3">
        <f>F$1/B305</f>
        <v>1561.7679212868968</v>
      </c>
      <c r="G305" s="3">
        <f>F$1/C305</f>
        <v>1441.753171856978</v>
      </c>
      <c r="H305" s="2">
        <f>D305*F304</f>
        <v>-528.19636476620076</v>
      </c>
      <c r="I305" s="2">
        <f>E305*G304</f>
        <v>-715.7171485828801</v>
      </c>
      <c r="J305" s="2">
        <f>I305-H305</f>
        <v>-187.52078381667934</v>
      </c>
      <c r="K305" s="2">
        <f t="shared" si="34"/>
        <v>187.52078381667934</v>
      </c>
      <c r="L305" s="14">
        <f>C305/B305</f>
        <v>1.0832422302045916</v>
      </c>
      <c r="M305" s="14">
        <f t="shared" si="37"/>
        <v>1.0880858830399263</v>
      </c>
      <c r="N305" s="14">
        <f t="shared" si="41"/>
        <v>1.0864275737775841</v>
      </c>
      <c r="O305" s="14">
        <f t="shared" si="33"/>
        <v>1.0816222966757385</v>
      </c>
      <c r="P305" s="14">
        <f t="shared" si="35"/>
        <v>1.0803799038065378</v>
      </c>
      <c r="Q305" s="4" t="str">
        <f t="shared" si="40"/>
        <v>UNDER</v>
      </c>
      <c r="R305" s="4" t="str">
        <f t="shared" si="40"/>
        <v>UNDER</v>
      </c>
      <c r="S305" s="4" t="str">
        <f t="shared" si="38"/>
        <v>OVER</v>
      </c>
      <c r="T305" s="4" t="str">
        <f t="shared" si="38"/>
        <v>OVER</v>
      </c>
      <c r="U305" s="2">
        <f>IF(Q305="OVER",$J305,$K305)</f>
        <v>187.52078381667934</v>
      </c>
      <c r="V305" s="2">
        <f>IF(R305="OVER",$J305,$K305)</f>
        <v>187.52078381667934</v>
      </c>
      <c r="W305" s="2">
        <f>IF(S305="OVER",$J305,$K305)</f>
        <v>-187.52078381667934</v>
      </c>
      <c r="X305" s="2">
        <f>IF(T305="OVER",$J305,$K305)</f>
        <v>-187.52078381667934</v>
      </c>
      <c r="Y305" s="9">
        <f t="shared" si="39"/>
        <v>-9356.6441432937172</v>
      </c>
      <c r="Z305" s="9">
        <f t="shared" si="39"/>
        <v>-9704.1373739476912</v>
      </c>
      <c r="AA305" s="9">
        <f t="shared" si="39"/>
        <v>18248.905873934946</v>
      </c>
      <c r="AB305" s="9">
        <f t="shared" si="36"/>
        <v>644.91673731472213</v>
      </c>
    </row>
    <row r="306" spans="1:28" x14ac:dyDescent="0.3">
      <c r="A306" s="1">
        <v>44854</v>
      </c>
      <c r="B306" s="2">
        <v>63.66</v>
      </c>
      <c r="C306" s="2">
        <v>69.13</v>
      </c>
      <c r="D306" s="9">
        <f>B306-B305</f>
        <v>-0.37000000000000455</v>
      </c>
      <c r="E306" s="9">
        <f>C306-C305</f>
        <v>-0.23000000000000398</v>
      </c>
      <c r="F306" s="3">
        <f>F$1/B306</f>
        <v>1570.8451146716934</v>
      </c>
      <c r="G306" s="3">
        <f>F$1/C306</f>
        <v>1446.5499783017503</v>
      </c>
      <c r="H306" s="2">
        <f>D306*F305</f>
        <v>-577.85413087615893</v>
      </c>
      <c r="I306" s="2">
        <f>E306*G305</f>
        <v>-331.60322952711067</v>
      </c>
      <c r="J306" s="2">
        <f>I306-H306</f>
        <v>246.25090134904826</v>
      </c>
      <c r="K306" s="2">
        <f t="shared" si="34"/>
        <v>-246.25090134904826</v>
      </c>
      <c r="L306" s="14">
        <f>C306/B306</f>
        <v>1.0859252277725415</v>
      </c>
      <c r="M306" s="14">
        <f t="shared" si="37"/>
        <v>1.0880138710219924</v>
      </c>
      <c r="N306" s="14">
        <f t="shared" si="41"/>
        <v>1.0865905840866308</v>
      </c>
      <c r="O306" s="14">
        <f t="shared" si="33"/>
        <v>1.081733709438224</v>
      </c>
      <c r="P306" s="14">
        <f t="shared" si="35"/>
        <v>1.0804329889958095</v>
      </c>
      <c r="Q306" s="4" t="str">
        <f t="shared" si="40"/>
        <v>UNDER</v>
      </c>
      <c r="R306" s="4" t="str">
        <f t="shared" si="40"/>
        <v>UNDER</v>
      </c>
      <c r="S306" s="4" t="str">
        <f t="shared" si="38"/>
        <v>OVER</v>
      </c>
      <c r="T306" s="4" t="str">
        <f t="shared" si="38"/>
        <v>OVER</v>
      </c>
      <c r="U306" s="2">
        <f>IF(Q306="OVER",$J306,$K306)</f>
        <v>-246.25090134904826</v>
      </c>
      <c r="V306" s="2">
        <f>IF(R306="OVER",$J306,$K306)</f>
        <v>-246.25090134904826</v>
      </c>
      <c r="W306" s="2">
        <f>IF(S306="OVER",$J306,$K306)</f>
        <v>246.25090134904826</v>
      </c>
      <c r="X306" s="2">
        <f>IF(T306="OVER",$J306,$K306)</f>
        <v>246.25090134904826</v>
      </c>
      <c r="Y306" s="9">
        <f t="shared" si="39"/>
        <v>-9602.8950446427662</v>
      </c>
      <c r="Z306" s="9">
        <f t="shared" si="39"/>
        <v>-9950.3882752967402</v>
      </c>
      <c r="AA306" s="9">
        <f t="shared" si="39"/>
        <v>18495.156775283995</v>
      </c>
      <c r="AB306" s="9">
        <f t="shared" si="36"/>
        <v>891.16763866377039</v>
      </c>
    </row>
    <row r="307" spans="1:28" x14ac:dyDescent="0.3">
      <c r="A307" s="1">
        <v>44855</v>
      </c>
      <c r="B307" s="2">
        <v>64.069999999999993</v>
      </c>
      <c r="C307" s="2">
        <v>69.48</v>
      </c>
      <c r="D307" s="9">
        <f>B307-B306</f>
        <v>0.40999999999999659</v>
      </c>
      <c r="E307" s="9">
        <f>C307-C306</f>
        <v>0.35000000000000853</v>
      </c>
      <c r="F307" s="3">
        <f>F$1/B307</f>
        <v>1560.7928827844546</v>
      </c>
      <c r="G307" s="3">
        <f>F$1/C307</f>
        <v>1439.2630972941854</v>
      </c>
      <c r="H307" s="2">
        <f>D307*F306</f>
        <v>644.04649701538892</v>
      </c>
      <c r="I307" s="2">
        <f>E307*G306</f>
        <v>506.29249240562496</v>
      </c>
      <c r="J307" s="2">
        <f>I307-H307</f>
        <v>-137.75400460976397</v>
      </c>
      <c r="K307" s="2">
        <f t="shared" si="34"/>
        <v>137.75400460976397</v>
      </c>
      <c r="L307" s="14">
        <f>C307/B307</f>
        <v>1.0844388949586392</v>
      </c>
      <c r="M307" s="14">
        <f t="shared" si="37"/>
        <v>1.0878070280583343</v>
      </c>
      <c r="N307" s="14">
        <f t="shared" si="41"/>
        <v>1.0869012574754155</v>
      </c>
      <c r="O307" s="14">
        <f t="shared" si="33"/>
        <v>1.0819075087353998</v>
      </c>
      <c r="P307" s="14">
        <f t="shared" si="35"/>
        <v>1.08046290451668</v>
      </c>
      <c r="Q307" s="4" t="str">
        <f t="shared" si="40"/>
        <v>UNDER</v>
      </c>
      <c r="R307" s="4" t="str">
        <f t="shared" si="40"/>
        <v>UNDER</v>
      </c>
      <c r="S307" s="4" t="str">
        <f t="shared" si="38"/>
        <v>OVER</v>
      </c>
      <c r="T307" s="4" t="str">
        <f t="shared" si="38"/>
        <v>OVER</v>
      </c>
      <c r="U307" s="2">
        <f>IF(Q307="OVER",$J307,$K307)</f>
        <v>137.75400460976397</v>
      </c>
      <c r="V307" s="2">
        <f>IF(R307="OVER",$J307,$K307)</f>
        <v>137.75400460976397</v>
      </c>
      <c r="W307" s="2">
        <f>IF(S307="OVER",$J307,$K307)</f>
        <v>-137.75400460976397</v>
      </c>
      <c r="X307" s="2">
        <f>IF(T307="OVER",$J307,$K307)</f>
        <v>-137.75400460976397</v>
      </c>
      <c r="Y307" s="9">
        <f t="shared" si="39"/>
        <v>-9465.1410400330024</v>
      </c>
      <c r="Z307" s="9">
        <f t="shared" si="39"/>
        <v>-9812.6342706869764</v>
      </c>
      <c r="AA307" s="9">
        <f t="shared" si="39"/>
        <v>18357.402770674231</v>
      </c>
      <c r="AB307" s="9">
        <f t="shared" si="36"/>
        <v>753.41363405400648</v>
      </c>
    </row>
    <row r="308" spans="1:28" x14ac:dyDescent="0.3">
      <c r="A308" s="1">
        <v>44858</v>
      </c>
      <c r="B308" s="2">
        <v>64.069999999999993</v>
      </c>
      <c r="C308" s="2">
        <v>69.459999999999994</v>
      </c>
      <c r="D308" s="9">
        <f>B308-B307</f>
        <v>0</v>
      </c>
      <c r="E308" s="9">
        <f>C308-C307</f>
        <v>-2.0000000000010232E-2</v>
      </c>
      <c r="F308" s="3">
        <f>F$1/B308</f>
        <v>1560.7928827844546</v>
      </c>
      <c r="G308" s="3">
        <f>F$1/C308</f>
        <v>1439.677512237259</v>
      </c>
      <c r="H308" s="2">
        <f>D308*F307</f>
        <v>0</v>
      </c>
      <c r="I308" s="2">
        <f>E308*G307</f>
        <v>-28.785261945898434</v>
      </c>
      <c r="J308" s="2">
        <f>I308-H308</f>
        <v>-28.785261945898434</v>
      </c>
      <c r="K308" s="2">
        <f t="shared" si="34"/>
        <v>28.785261945898434</v>
      </c>
      <c r="L308" s="14">
        <f>C308/B308</f>
        <v>1.0841267363820821</v>
      </c>
      <c r="M308" s="14">
        <f t="shared" si="37"/>
        <v>1.0875017529785937</v>
      </c>
      <c r="N308" s="14">
        <f t="shared" si="41"/>
        <v>1.0870773675942675</v>
      </c>
      <c r="O308" s="14">
        <f t="shared" si="33"/>
        <v>1.0820320058552368</v>
      </c>
      <c r="P308" s="14">
        <f t="shared" si="35"/>
        <v>1.0805163030436049</v>
      </c>
      <c r="Q308" s="4" t="str">
        <f t="shared" si="40"/>
        <v>UNDER</v>
      </c>
      <c r="R308" s="4" t="str">
        <f t="shared" si="40"/>
        <v>UNDER</v>
      </c>
      <c r="S308" s="4" t="str">
        <f t="shared" si="38"/>
        <v>OVER</v>
      </c>
      <c r="T308" s="4" t="str">
        <f t="shared" si="38"/>
        <v>OVER</v>
      </c>
      <c r="U308" s="2">
        <f>IF(Q308="OVER",$J308,$K308)</f>
        <v>28.785261945898434</v>
      </c>
      <c r="V308" s="2">
        <f>IF(R308="OVER",$J308,$K308)</f>
        <v>28.785261945898434</v>
      </c>
      <c r="W308" s="2">
        <f>IF(S308="OVER",$J308,$K308)</f>
        <v>-28.785261945898434</v>
      </c>
      <c r="X308" s="2">
        <f>IF(T308="OVER",$J308,$K308)</f>
        <v>-28.785261945898434</v>
      </c>
      <c r="Y308" s="9">
        <f t="shared" si="39"/>
        <v>-9436.3557780871033</v>
      </c>
      <c r="Z308" s="9">
        <f t="shared" si="39"/>
        <v>-9783.8490087410773</v>
      </c>
      <c r="AA308" s="9">
        <f t="shared" si="39"/>
        <v>18328.617508728334</v>
      </c>
      <c r="AB308" s="9">
        <f t="shared" si="36"/>
        <v>724.62837210810801</v>
      </c>
    </row>
    <row r="309" spans="1:28" x14ac:dyDescent="0.3">
      <c r="A309" s="1">
        <v>44859</v>
      </c>
      <c r="B309" s="2">
        <v>64.81</v>
      </c>
      <c r="C309" s="2">
        <v>70.27</v>
      </c>
      <c r="D309" s="9">
        <f>B309-B308</f>
        <v>0.74000000000000909</v>
      </c>
      <c r="E309" s="9">
        <f>C309-C308</f>
        <v>0.81000000000000227</v>
      </c>
      <c r="F309" s="3">
        <f>F$1/B309</f>
        <v>1542.9717636167259</v>
      </c>
      <c r="G309" s="3">
        <f>F$1/C309</f>
        <v>1423.0823964707558</v>
      </c>
      <c r="H309" s="2">
        <f>D309*F308</f>
        <v>1154.9867332605106</v>
      </c>
      <c r="I309" s="2">
        <f>E309*G308</f>
        <v>1166.1387849121829</v>
      </c>
      <c r="J309" s="2">
        <f>I309-H309</f>
        <v>11.152051651672309</v>
      </c>
      <c r="K309" s="2">
        <f t="shared" si="34"/>
        <v>-11.152051651672309</v>
      </c>
      <c r="L309" s="14">
        <f>C309/B309</f>
        <v>1.0842462582934731</v>
      </c>
      <c r="M309" s="14">
        <f t="shared" si="37"/>
        <v>1.0869339117646266</v>
      </c>
      <c r="N309" s="14">
        <f t="shared" si="41"/>
        <v>1.0869452762904617</v>
      </c>
      <c r="O309" s="14">
        <f t="shared" ref="O309:O372" si="42">AVERAGE(L260:L309)</f>
        <v>1.0821869071144827</v>
      </c>
      <c r="P309" s="14">
        <f t="shared" si="35"/>
        <v>1.0805498304454861</v>
      </c>
      <c r="Q309" s="4" t="str">
        <f t="shared" si="40"/>
        <v>UNDER</v>
      </c>
      <c r="R309" s="4" t="str">
        <f t="shared" si="40"/>
        <v>UNDER</v>
      </c>
      <c r="S309" s="4" t="str">
        <f t="shared" si="38"/>
        <v>OVER</v>
      </c>
      <c r="T309" s="4" t="str">
        <f t="shared" si="38"/>
        <v>OVER</v>
      </c>
      <c r="U309" s="2">
        <f>IF(Q309="OVER",$J309,$K309)</f>
        <v>-11.152051651672309</v>
      </c>
      <c r="V309" s="2">
        <f>IF(R309="OVER",$J309,$K309)</f>
        <v>-11.152051651672309</v>
      </c>
      <c r="W309" s="2">
        <f>IF(S309="OVER",$J309,$K309)</f>
        <v>11.152051651672309</v>
      </c>
      <c r="X309" s="2">
        <f>IF(T309="OVER",$J309,$K309)</f>
        <v>11.152051651672309</v>
      </c>
      <c r="Y309" s="9">
        <f t="shared" si="39"/>
        <v>-9447.5078297387754</v>
      </c>
      <c r="Z309" s="9">
        <f t="shared" si="39"/>
        <v>-9795.0010603927494</v>
      </c>
      <c r="AA309" s="9">
        <f t="shared" si="39"/>
        <v>18339.769560380006</v>
      </c>
      <c r="AB309" s="9">
        <f t="shared" si="36"/>
        <v>735.78042375978032</v>
      </c>
    </row>
    <row r="310" spans="1:28" x14ac:dyDescent="0.3">
      <c r="A310" s="1">
        <v>44860</v>
      </c>
      <c r="B310" s="2">
        <v>64.92</v>
      </c>
      <c r="C310" s="2">
        <v>70.459999999999994</v>
      </c>
      <c r="D310" s="9">
        <f>B310-B309</f>
        <v>0.10999999999999943</v>
      </c>
      <c r="E310" s="9">
        <f>C310-C309</f>
        <v>0.18999999999999773</v>
      </c>
      <c r="F310" s="3">
        <f>F$1/B310</f>
        <v>1540.3573629081948</v>
      </c>
      <c r="G310" s="3">
        <f>F$1/C310</f>
        <v>1419.2449616803863</v>
      </c>
      <c r="H310" s="2">
        <f>D310*F309</f>
        <v>169.72689399783897</v>
      </c>
      <c r="I310" s="2">
        <f>E310*G309</f>
        <v>270.3856553294404</v>
      </c>
      <c r="J310" s="2">
        <f>I310-H310</f>
        <v>100.65876133160143</v>
      </c>
      <c r="K310" s="2">
        <f t="shared" si="34"/>
        <v>-100.65876133160143</v>
      </c>
      <c r="L310" s="14">
        <f>C310/B310</f>
        <v>1.0853357979051139</v>
      </c>
      <c r="M310" s="14">
        <f t="shared" si="37"/>
        <v>1.0862275041694551</v>
      </c>
      <c r="N310" s="14">
        <f t="shared" si="41"/>
        <v>1.0869774119510633</v>
      </c>
      <c r="O310" s="14">
        <f t="shared" si="42"/>
        <v>1.082364924722564</v>
      </c>
      <c r="P310" s="14">
        <f t="shared" si="35"/>
        <v>1.0806057917555918</v>
      </c>
      <c r="Q310" s="4" t="str">
        <f t="shared" si="40"/>
        <v>UNDER</v>
      </c>
      <c r="R310" s="4" t="str">
        <f t="shared" si="40"/>
        <v>UNDER</v>
      </c>
      <c r="S310" s="4" t="str">
        <f t="shared" si="38"/>
        <v>OVER</v>
      </c>
      <c r="T310" s="4" t="str">
        <f t="shared" si="38"/>
        <v>OVER</v>
      </c>
      <c r="U310" s="2">
        <f>IF(Q310="OVER",$J310,$K310)</f>
        <v>-100.65876133160143</v>
      </c>
      <c r="V310" s="2">
        <f>IF(R310="OVER",$J310,$K310)</f>
        <v>-100.65876133160143</v>
      </c>
      <c r="W310" s="2">
        <f>IF(S310="OVER",$J310,$K310)</f>
        <v>100.65876133160143</v>
      </c>
      <c r="X310" s="2">
        <f>IF(T310="OVER",$J310,$K310)</f>
        <v>100.65876133160143</v>
      </c>
      <c r="Y310" s="9">
        <f t="shared" si="39"/>
        <v>-9548.1665910703759</v>
      </c>
      <c r="Z310" s="9">
        <f t="shared" si="39"/>
        <v>-9895.65982172435</v>
      </c>
      <c r="AA310" s="9">
        <f t="shared" si="39"/>
        <v>18440.428321711606</v>
      </c>
      <c r="AB310" s="9">
        <f t="shared" si="36"/>
        <v>836.43918509138177</v>
      </c>
    </row>
    <row r="311" spans="1:28" x14ac:dyDescent="0.3">
      <c r="A311" s="1">
        <v>44861</v>
      </c>
      <c r="B311" s="2">
        <v>64.81</v>
      </c>
      <c r="C311" s="2">
        <v>70.37</v>
      </c>
      <c r="D311" s="9">
        <f>B311-B310</f>
        <v>-0.10999999999999943</v>
      </c>
      <c r="E311" s="9">
        <f>C311-C310</f>
        <v>-8.99999999999892E-2</v>
      </c>
      <c r="F311" s="3">
        <f>F$1/B311</f>
        <v>1542.9717636167259</v>
      </c>
      <c r="G311" s="3">
        <f>F$1/C311</f>
        <v>1421.0601108426886</v>
      </c>
      <c r="H311" s="2">
        <f>D311*F310</f>
        <v>-169.43930991990055</v>
      </c>
      <c r="I311" s="2">
        <f>E311*G310</f>
        <v>-127.73204655121944</v>
      </c>
      <c r="J311" s="2">
        <f>I311-H311</f>
        <v>41.707263368681112</v>
      </c>
      <c r="K311" s="2">
        <f t="shared" si="34"/>
        <v>-41.707263368681112</v>
      </c>
      <c r="L311" s="14">
        <f>C311/B311</f>
        <v>1.0857892300570899</v>
      </c>
      <c r="M311" s="14">
        <f t="shared" si="37"/>
        <v>1.0857770107837845</v>
      </c>
      <c r="N311" s="14">
        <f t="shared" si="41"/>
        <v>1.0867785854488869</v>
      </c>
      <c r="O311" s="14">
        <f t="shared" si="42"/>
        <v>1.0826018661836576</v>
      </c>
      <c r="P311" s="14">
        <f t="shared" si="35"/>
        <v>1.0806449263044893</v>
      </c>
      <c r="Q311" s="4" t="str">
        <f t="shared" si="40"/>
        <v>UNDER</v>
      </c>
      <c r="R311" s="4" t="str">
        <f t="shared" si="40"/>
        <v>UNDER</v>
      </c>
      <c r="S311" s="4" t="str">
        <f t="shared" si="38"/>
        <v>OVER</v>
      </c>
      <c r="T311" s="4" t="str">
        <f t="shared" si="38"/>
        <v>OVER</v>
      </c>
      <c r="U311" s="2">
        <f>IF(Q311="OVER",$J311,$K311)</f>
        <v>-41.707263368681112</v>
      </c>
      <c r="V311" s="2">
        <f>IF(R311="OVER",$J311,$K311)</f>
        <v>-41.707263368681112</v>
      </c>
      <c r="W311" s="2">
        <f>IF(S311="OVER",$J311,$K311)</f>
        <v>41.707263368681112</v>
      </c>
      <c r="X311" s="2">
        <f>IF(T311="OVER",$J311,$K311)</f>
        <v>41.707263368681112</v>
      </c>
      <c r="Y311" s="9">
        <f t="shared" si="39"/>
        <v>-9589.8738544390562</v>
      </c>
      <c r="Z311" s="9">
        <f t="shared" si="39"/>
        <v>-9937.3670850930303</v>
      </c>
      <c r="AA311" s="9">
        <f t="shared" si="39"/>
        <v>18482.135585080287</v>
      </c>
      <c r="AB311" s="9">
        <f t="shared" si="36"/>
        <v>878.14644846006286</v>
      </c>
    </row>
    <row r="312" spans="1:28" x14ac:dyDescent="0.3">
      <c r="A312" s="1">
        <v>44862</v>
      </c>
      <c r="B312" s="2">
        <v>65.319999999999993</v>
      </c>
      <c r="C312" s="2">
        <v>70.8</v>
      </c>
      <c r="D312" s="9">
        <f>B312-B311</f>
        <v>0.50999999999999091</v>
      </c>
      <c r="E312" s="9">
        <f>C312-C311</f>
        <v>0.42999999999999261</v>
      </c>
      <c r="F312" s="3">
        <f>F$1/B312</f>
        <v>1530.9246785058176</v>
      </c>
      <c r="G312" s="3">
        <f>F$1/C312</f>
        <v>1412.4293785310736</v>
      </c>
      <c r="H312" s="2">
        <f>D312*F311</f>
        <v>786.91559944451615</v>
      </c>
      <c r="I312" s="2">
        <f>E312*G311</f>
        <v>611.05584766234563</v>
      </c>
      <c r="J312" s="2">
        <f>I312-H312</f>
        <v>-175.85975178217052</v>
      </c>
      <c r="K312" s="2">
        <f t="shared" si="34"/>
        <v>175.85975178217052</v>
      </c>
      <c r="L312" s="14">
        <f>C312/B312</f>
        <v>1.0838946723821188</v>
      </c>
      <c r="M312" s="14">
        <f t="shared" si="37"/>
        <v>1.0851998643495004</v>
      </c>
      <c r="N312" s="14">
        <f t="shared" si="41"/>
        <v>1.0865499383412947</v>
      </c>
      <c r="O312" s="14">
        <f t="shared" si="42"/>
        <v>1.0828168992421505</v>
      </c>
      <c r="P312" s="14">
        <f t="shared" si="35"/>
        <v>1.0806766395078267</v>
      </c>
      <c r="Q312" s="4" t="str">
        <f t="shared" si="40"/>
        <v>OVER</v>
      </c>
      <c r="R312" s="4" t="str">
        <f t="shared" si="40"/>
        <v>UNDER</v>
      </c>
      <c r="S312" s="4" t="str">
        <f t="shared" si="38"/>
        <v>OVER</v>
      </c>
      <c r="T312" s="4" t="str">
        <f t="shared" si="38"/>
        <v>OVER</v>
      </c>
      <c r="U312" s="2">
        <f>IF(Q312="OVER",$J312,$K312)</f>
        <v>-175.85975178217052</v>
      </c>
      <c r="V312" s="2">
        <f>IF(R312="OVER",$J312,$K312)</f>
        <v>175.85975178217052</v>
      </c>
      <c r="W312" s="2">
        <f>IF(S312="OVER",$J312,$K312)</f>
        <v>-175.85975178217052</v>
      </c>
      <c r="X312" s="2">
        <f>IF(T312="OVER",$J312,$K312)</f>
        <v>-175.85975178217052</v>
      </c>
      <c r="Y312" s="9">
        <f t="shared" si="39"/>
        <v>-9765.7336062212271</v>
      </c>
      <c r="Z312" s="9">
        <f t="shared" si="39"/>
        <v>-9761.5073333108594</v>
      </c>
      <c r="AA312" s="9">
        <f t="shared" si="39"/>
        <v>18306.275833298118</v>
      </c>
      <c r="AB312" s="9">
        <f t="shared" si="36"/>
        <v>702.28669667789234</v>
      </c>
    </row>
    <row r="313" spans="1:28" x14ac:dyDescent="0.3">
      <c r="A313" s="1">
        <v>44865</v>
      </c>
      <c r="B313" s="2">
        <v>65.09</v>
      </c>
      <c r="C313" s="2">
        <v>70.569999999999993</v>
      </c>
      <c r="D313" s="9">
        <f>B313-B312</f>
        <v>-0.22999999999998977</v>
      </c>
      <c r="E313" s="9">
        <f>C313-C312</f>
        <v>-0.23000000000000398</v>
      </c>
      <c r="F313" s="3">
        <f>F$1/B313</f>
        <v>1536.3343063450607</v>
      </c>
      <c r="G313" s="3">
        <f>F$1/C313</f>
        <v>1417.032733456143</v>
      </c>
      <c r="H313" s="2">
        <f>D313*F312</f>
        <v>-352.11267605632241</v>
      </c>
      <c r="I313" s="2">
        <f>E313*G312</f>
        <v>-324.85875706215256</v>
      </c>
      <c r="J313" s="2">
        <f>I313-H313</f>
        <v>27.253918994169851</v>
      </c>
      <c r="K313" s="2">
        <f t="shared" si="34"/>
        <v>-27.253918994169851</v>
      </c>
      <c r="L313" s="14">
        <f>C313/B313</f>
        <v>1.0841911199877092</v>
      </c>
      <c r="M313" s="14">
        <f t="shared" si="37"/>
        <v>1.08464783456659</v>
      </c>
      <c r="N313" s="14">
        <f t="shared" si="41"/>
        <v>1.086425225553652</v>
      </c>
      <c r="O313" s="14">
        <f t="shared" si="42"/>
        <v>1.0829691124465024</v>
      </c>
      <c r="P313" s="14">
        <f t="shared" si="35"/>
        <v>1.080710851301955</v>
      </c>
      <c r="Q313" s="4" t="str">
        <f t="shared" si="40"/>
        <v>UNDER</v>
      </c>
      <c r="R313" s="4" t="str">
        <f t="shared" si="40"/>
        <v>UNDER</v>
      </c>
      <c r="S313" s="4" t="str">
        <f t="shared" si="38"/>
        <v>OVER</v>
      </c>
      <c r="T313" s="4" t="str">
        <f t="shared" si="38"/>
        <v>OVER</v>
      </c>
      <c r="U313" s="2">
        <f>IF(Q313="OVER",$J313,$K313)</f>
        <v>-27.253918994169851</v>
      </c>
      <c r="V313" s="2">
        <f>IF(R313="OVER",$J313,$K313)</f>
        <v>-27.253918994169851</v>
      </c>
      <c r="W313" s="2">
        <f>IF(S313="OVER",$J313,$K313)</f>
        <v>27.253918994169851</v>
      </c>
      <c r="X313" s="2">
        <f>IF(T313="OVER",$J313,$K313)</f>
        <v>27.253918994169851</v>
      </c>
      <c r="Y313" s="9">
        <f t="shared" si="39"/>
        <v>-9792.9875252153961</v>
      </c>
      <c r="Z313" s="9">
        <f t="shared" si="39"/>
        <v>-9788.7612523050284</v>
      </c>
      <c r="AA313" s="9">
        <f t="shared" si="39"/>
        <v>18333.529752292288</v>
      </c>
      <c r="AB313" s="9">
        <f t="shared" si="36"/>
        <v>729.54061567206213</v>
      </c>
    </row>
    <row r="314" spans="1:28" x14ac:dyDescent="0.3">
      <c r="A314" s="1">
        <v>44866</v>
      </c>
      <c r="B314" s="2">
        <v>65.400000000000006</v>
      </c>
      <c r="C314" s="2">
        <v>70.56</v>
      </c>
      <c r="D314" s="9">
        <f>B314-B313</f>
        <v>0.31000000000000227</v>
      </c>
      <c r="E314" s="9">
        <f>C314-C313</f>
        <v>-9.9999999999909051E-3</v>
      </c>
      <c r="F314" s="3">
        <f>F$1/B314</f>
        <v>1529.051987767584</v>
      </c>
      <c r="G314" s="3">
        <f>F$1/C314</f>
        <v>1417.2335600907029</v>
      </c>
      <c r="H314" s="2">
        <f>D314*F313</f>
        <v>476.26363496697229</v>
      </c>
      <c r="I314" s="2">
        <f>E314*G313</f>
        <v>-14.170327334548542</v>
      </c>
      <c r="J314" s="2">
        <f>I314-H314</f>
        <v>-490.43396230152081</v>
      </c>
      <c r="K314" s="2">
        <f t="shared" si="34"/>
        <v>490.43396230152081</v>
      </c>
      <c r="L314" s="14">
        <f>C314/B314</f>
        <v>1.0788990825688072</v>
      </c>
      <c r="M314" s="14">
        <f t="shared" si="37"/>
        <v>1.0840089250512166</v>
      </c>
      <c r="N314" s="14">
        <f t="shared" si="41"/>
        <v>1.0861179356534902</v>
      </c>
      <c r="O314" s="14">
        <f t="shared" si="42"/>
        <v>1.0829922826260485</v>
      </c>
      <c r="P314" s="14">
        <f t="shared" si="35"/>
        <v>1.0807165560053822</v>
      </c>
      <c r="Q314" s="4" t="str">
        <f t="shared" si="40"/>
        <v>UNDER</v>
      </c>
      <c r="R314" s="4" t="str">
        <f t="shared" si="40"/>
        <v>UNDER</v>
      </c>
      <c r="S314" s="4" t="str">
        <f t="shared" si="38"/>
        <v>UNDER</v>
      </c>
      <c r="T314" s="4" t="str">
        <f t="shared" si="38"/>
        <v>UNDER</v>
      </c>
      <c r="U314" s="2">
        <f>IF(Q314="OVER",$J314,$K314)</f>
        <v>490.43396230152081</v>
      </c>
      <c r="V314" s="2">
        <f>IF(R314="OVER",$J314,$K314)</f>
        <v>490.43396230152081</v>
      </c>
      <c r="W314" s="2">
        <f>IF(S314="OVER",$J314,$K314)</f>
        <v>490.43396230152081</v>
      </c>
      <c r="X314" s="2">
        <f>IF(T314="OVER",$J314,$K314)</f>
        <v>490.43396230152081</v>
      </c>
      <c r="Y314" s="9">
        <f t="shared" si="39"/>
        <v>-9302.5535629138758</v>
      </c>
      <c r="Z314" s="9">
        <f t="shared" si="39"/>
        <v>-9298.3272900035081</v>
      </c>
      <c r="AA314" s="9">
        <f t="shared" si="39"/>
        <v>18823.96371459381</v>
      </c>
      <c r="AB314" s="9">
        <f t="shared" si="36"/>
        <v>1219.9745779735829</v>
      </c>
    </row>
    <row r="315" spans="1:28" x14ac:dyDescent="0.3">
      <c r="A315" s="1">
        <v>44867</v>
      </c>
      <c r="B315" s="2">
        <v>64.209999999999994</v>
      </c>
      <c r="C315" s="2">
        <v>69.37</v>
      </c>
      <c r="D315" s="9">
        <f>B315-B314</f>
        <v>-1.1900000000000119</v>
      </c>
      <c r="E315" s="9">
        <f>C315-C314</f>
        <v>-1.1899999999999977</v>
      </c>
      <c r="F315" s="3">
        <f>F$1/B315</f>
        <v>1557.3898146706122</v>
      </c>
      <c r="G315" s="3">
        <f>F$1/C315</f>
        <v>1441.545336600836</v>
      </c>
      <c r="H315" s="2">
        <f>D315*F314</f>
        <v>-1819.5718654434431</v>
      </c>
      <c r="I315" s="2">
        <f>E315*G314</f>
        <v>-1686.5079365079332</v>
      </c>
      <c r="J315" s="2">
        <f>I315-H315</f>
        <v>133.06392893550992</v>
      </c>
      <c r="K315" s="2">
        <f t="shared" si="34"/>
        <v>-133.06392893550992</v>
      </c>
      <c r="L315" s="14">
        <f>C315/B315</f>
        <v>1.0803613144370037</v>
      </c>
      <c r="M315" s="14">
        <f t="shared" si="37"/>
        <v>1.0837208334744579</v>
      </c>
      <c r="N315" s="14">
        <f t="shared" si="41"/>
        <v>1.0859033582571922</v>
      </c>
      <c r="O315" s="14">
        <f t="shared" si="42"/>
        <v>1.0830097206931466</v>
      </c>
      <c r="P315" s="14">
        <f t="shared" si="35"/>
        <v>1.0807267461181389</v>
      </c>
      <c r="Q315" s="4" t="str">
        <f t="shared" si="40"/>
        <v>UNDER</v>
      </c>
      <c r="R315" s="4" t="str">
        <f t="shared" si="40"/>
        <v>UNDER</v>
      </c>
      <c r="S315" s="4" t="str">
        <f t="shared" si="38"/>
        <v>UNDER</v>
      </c>
      <c r="T315" s="4" t="str">
        <f t="shared" si="38"/>
        <v>UNDER</v>
      </c>
      <c r="U315" s="2">
        <f>IF(Q315="OVER",$J315,$K315)</f>
        <v>-133.06392893550992</v>
      </c>
      <c r="V315" s="2">
        <f>IF(R315="OVER",$J315,$K315)</f>
        <v>-133.06392893550992</v>
      </c>
      <c r="W315" s="2">
        <f>IF(S315="OVER",$J315,$K315)</f>
        <v>-133.06392893550992</v>
      </c>
      <c r="X315" s="2">
        <f>IF(T315="OVER",$J315,$K315)</f>
        <v>-133.06392893550992</v>
      </c>
      <c r="Y315" s="9">
        <f t="shared" si="39"/>
        <v>-9435.6174918493853</v>
      </c>
      <c r="Z315" s="9">
        <f t="shared" si="39"/>
        <v>-9431.3912189390176</v>
      </c>
      <c r="AA315" s="9">
        <f t="shared" si="39"/>
        <v>18690.899785658301</v>
      </c>
      <c r="AB315" s="9">
        <f t="shared" si="36"/>
        <v>1086.910649038073</v>
      </c>
    </row>
    <row r="316" spans="1:28" x14ac:dyDescent="0.3">
      <c r="A316" s="1">
        <v>44868</v>
      </c>
      <c r="B316" s="2">
        <v>63.94</v>
      </c>
      <c r="C316" s="2">
        <v>69.16</v>
      </c>
      <c r="D316" s="9">
        <f>B316-B315</f>
        <v>-0.26999999999999602</v>
      </c>
      <c r="E316" s="9">
        <f>C316-C315</f>
        <v>-0.21000000000000796</v>
      </c>
      <c r="F316" s="3">
        <f>F$1/B316</f>
        <v>1563.9662183296841</v>
      </c>
      <c r="G316" s="3">
        <f>F$1/C316</f>
        <v>1445.9224985540775</v>
      </c>
      <c r="H316" s="2">
        <f>D316*F315</f>
        <v>-420.49524996105907</v>
      </c>
      <c r="I316" s="2">
        <f>E316*G315</f>
        <v>-302.72452068618702</v>
      </c>
      <c r="J316" s="2">
        <f>I316-H316</f>
        <v>117.77072927487205</v>
      </c>
      <c r="K316" s="2">
        <f t="shared" si="34"/>
        <v>-117.77072927487205</v>
      </c>
      <c r="L316" s="14">
        <f>C316/B316</f>
        <v>1.0816390365968096</v>
      </c>
      <c r="M316" s="14">
        <f t="shared" si="37"/>
        <v>1.0832922143568848</v>
      </c>
      <c r="N316" s="14">
        <f t="shared" si="41"/>
        <v>1.0856530426894386</v>
      </c>
      <c r="O316" s="14">
        <f t="shared" si="42"/>
        <v>1.0830806792992695</v>
      </c>
      <c r="P316" s="14">
        <f t="shared" si="35"/>
        <v>1.0807318405259292</v>
      </c>
      <c r="Q316" s="4" t="str">
        <f t="shared" si="40"/>
        <v>UNDER</v>
      </c>
      <c r="R316" s="4" t="str">
        <f t="shared" si="40"/>
        <v>UNDER</v>
      </c>
      <c r="S316" s="4" t="str">
        <f t="shared" si="38"/>
        <v>UNDER</v>
      </c>
      <c r="T316" s="4" t="str">
        <f t="shared" si="38"/>
        <v>OVER</v>
      </c>
      <c r="U316" s="2">
        <f>IF(Q316="OVER",$J316,$K316)</f>
        <v>-117.77072927487205</v>
      </c>
      <c r="V316" s="2">
        <f>IF(R316="OVER",$J316,$K316)</f>
        <v>-117.77072927487205</v>
      </c>
      <c r="W316" s="2">
        <f>IF(S316="OVER",$J316,$K316)</f>
        <v>-117.77072927487205</v>
      </c>
      <c r="X316" s="2">
        <f>IF(T316="OVER",$J316,$K316)</f>
        <v>117.77072927487205</v>
      </c>
      <c r="Y316" s="9">
        <f t="shared" si="39"/>
        <v>-9553.3882211242581</v>
      </c>
      <c r="Z316" s="9">
        <f t="shared" si="39"/>
        <v>-9549.1619482138904</v>
      </c>
      <c r="AA316" s="9">
        <f t="shared" si="39"/>
        <v>18573.12905638343</v>
      </c>
      <c r="AB316" s="9">
        <f t="shared" si="36"/>
        <v>1204.6813783129451</v>
      </c>
    </row>
    <row r="317" spans="1:28" x14ac:dyDescent="0.3">
      <c r="A317" s="1">
        <v>44869</v>
      </c>
      <c r="B317" s="2">
        <v>64.209999999999994</v>
      </c>
      <c r="C317" s="2">
        <v>69.55</v>
      </c>
      <c r="D317" s="9">
        <f>B317-B316</f>
        <v>0.26999999999999602</v>
      </c>
      <c r="E317" s="9">
        <f>C317-C316</f>
        <v>0.39000000000000057</v>
      </c>
      <c r="F317" s="3">
        <f>F$1/B317</f>
        <v>1557.3898146706122</v>
      </c>
      <c r="G317" s="3">
        <f>F$1/C317</f>
        <v>1437.8145219266714</v>
      </c>
      <c r="H317" s="2">
        <f>D317*F316</f>
        <v>422.27087894900848</v>
      </c>
      <c r="I317" s="2">
        <f>E317*G316</f>
        <v>563.90977443609108</v>
      </c>
      <c r="J317" s="2">
        <f>I317-H317</f>
        <v>141.63889548708261</v>
      </c>
      <c r="K317" s="2">
        <f t="shared" si="34"/>
        <v>-141.63889548708261</v>
      </c>
      <c r="L317" s="14">
        <f>C317/B317</f>
        <v>1.0831646161034107</v>
      </c>
      <c r="M317" s="14">
        <f t="shared" si="37"/>
        <v>1.0831647864713618</v>
      </c>
      <c r="N317" s="14">
        <f t="shared" si="41"/>
        <v>1.0854859072648479</v>
      </c>
      <c r="O317" s="14">
        <f t="shared" si="42"/>
        <v>1.083214744809847</v>
      </c>
      <c r="P317" s="14">
        <f t="shared" si="35"/>
        <v>1.0807627004233948</v>
      </c>
      <c r="Q317" s="4" t="str">
        <f t="shared" si="40"/>
        <v>UNDER</v>
      </c>
      <c r="R317" s="4" t="str">
        <f t="shared" si="40"/>
        <v>UNDER</v>
      </c>
      <c r="S317" s="4" t="str">
        <f t="shared" si="38"/>
        <v>UNDER</v>
      </c>
      <c r="T317" s="4" t="str">
        <f t="shared" si="38"/>
        <v>OVER</v>
      </c>
      <c r="U317" s="2">
        <f>IF(Q317="OVER",$J317,$K317)</f>
        <v>-141.63889548708261</v>
      </c>
      <c r="V317" s="2">
        <f>IF(R317="OVER",$J317,$K317)</f>
        <v>-141.63889548708261</v>
      </c>
      <c r="W317" s="2">
        <f>IF(S317="OVER",$J317,$K317)</f>
        <v>-141.63889548708261</v>
      </c>
      <c r="X317" s="2">
        <f>IF(T317="OVER",$J317,$K317)</f>
        <v>141.63889548708261</v>
      </c>
      <c r="Y317" s="9">
        <f t="shared" si="39"/>
        <v>-9695.0271166113398</v>
      </c>
      <c r="Z317" s="9">
        <f t="shared" si="39"/>
        <v>-9690.8008437009721</v>
      </c>
      <c r="AA317" s="9">
        <f t="shared" si="39"/>
        <v>18431.490160896348</v>
      </c>
      <c r="AB317" s="9">
        <f t="shared" si="36"/>
        <v>1346.3202738000277</v>
      </c>
    </row>
    <row r="318" spans="1:28" x14ac:dyDescent="0.3">
      <c r="A318" s="1">
        <v>44872</v>
      </c>
      <c r="B318" s="2">
        <v>64.33</v>
      </c>
      <c r="C318" s="2">
        <v>69.66</v>
      </c>
      <c r="D318" s="9">
        <f>B318-B317</f>
        <v>0.12000000000000455</v>
      </c>
      <c r="E318" s="9">
        <f>C318-C317</f>
        <v>0.10999999999999943</v>
      </c>
      <c r="F318" s="3">
        <f>F$1/B318</f>
        <v>1554.4846883258201</v>
      </c>
      <c r="G318" s="3">
        <f>F$1/C318</f>
        <v>1435.5440712029861</v>
      </c>
      <c r="H318" s="2">
        <f>D318*F317</f>
        <v>186.88677776048056</v>
      </c>
      <c r="I318" s="2">
        <f>E318*G317</f>
        <v>158.15959741193305</v>
      </c>
      <c r="J318" s="2">
        <f>I318-H318</f>
        <v>-28.727180348547506</v>
      </c>
      <c r="K318" s="2">
        <f t="shared" si="34"/>
        <v>28.727180348547506</v>
      </c>
      <c r="L318" s="14">
        <f>C318/B318</f>
        <v>1.0828540338877661</v>
      </c>
      <c r="M318" s="14">
        <f t="shared" si="37"/>
        <v>1.0830375162219301</v>
      </c>
      <c r="N318" s="14">
        <f t="shared" si="41"/>
        <v>1.0852696346002619</v>
      </c>
      <c r="O318" s="14">
        <f t="shared" si="42"/>
        <v>1.083298074035802</v>
      </c>
      <c r="P318" s="14">
        <f t="shared" si="35"/>
        <v>1.0807687535794022</v>
      </c>
      <c r="Q318" s="4" t="str">
        <f t="shared" si="40"/>
        <v>UNDER</v>
      </c>
      <c r="R318" s="4" t="str">
        <f t="shared" si="40"/>
        <v>UNDER</v>
      </c>
      <c r="S318" s="4" t="str">
        <f t="shared" si="38"/>
        <v>UNDER</v>
      </c>
      <c r="T318" s="4" t="str">
        <f t="shared" si="38"/>
        <v>OVER</v>
      </c>
      <c r="U318" s="2">
        <f>IF(Q318="OVER",$J318,$K318)</f>
        <v>28.727180348547506</v>
      </c>
      <c r="V318" s="2">
        <f>IF(R318="OVER",$J318,$K318)</f>
        <v>28.727180348547506</v>
      </c>
      <c r="W318" s="2">
        <f>IF(S318="OVER",$J318,$K318)</f>
        <v>28.727180348547506</v>
      </c>
      <c r="X318" s="2">
        <f>IF(T318="OVER",$J318,$K318)</f>
        <v>-28.727180348547506</v>
      </c>
      <c r="Y318" s="9">
        <f t="shared" si="39"/>
        <v>-9666.2999362627925</v>
      </c>
      <c r="Z318" s="9">
        <f t="shared" si="39"/>
        <v>-9662.0736633524248</v>
      </c>
      <c r="AA318" s="9">
        <f t="shared" si="39"/>
        <v>18460.217341244897</v>
      </c>
      <c r="AB318" s="9">
        <f t="shared" si="36"/>
        <v>1317.5930934514802</v>
      </c>
    </row>
    <row r="319" spans="1:28" x14ac:dyDescent="0.3">
      <c r="A319" s="1">
        <v>44873</v>
      </c>
      <c r="B319" s="2">
        <v>64.569999999999993</v>
      </c>
      <c r="C319" s="2">
        <v>69.72</v>
      </c>
      <c r="D319" s="9">
        <f>B319-B318</f>
        <v>0.23999999999999488</v>
      </c>
      <c r="E319" s="9">
        <f>C319-C318</f>
        <v>6.0000000000002274E-2</v>
      </c>
      <c r="F319" s="3">
        <f>F$1/B319</f>
        <v>1548.7068297971196</v>
      </c>
      <c r="G319" s="3">
        <f>F$1/C319</f>
        <v>1434.308663224326</v>
      </c>
      <c r="H319" s="2">
        <f>D319*F318</f>
        <v>373.0763251981889</v>
      </c>
      <c r="I319" s="2">
        <f>E319*G318</f>
        <v>86.132644272182432</v>
      </c>
      <c r="J319" s="2">
        <f>I319-H319</f>
        <v>-286.94368092600644</v>
      </c>
      <c r="K319" s="2">
        <f t="shared" si="34"/>
        <v>286.94368092600644</v>
      </c>
      <c r="L319" s="14">
        <f>C319/B319</f>
        <v>1.0797584017345518</v>
      </c>
      <c r="M319" s="14">
        <f t="shared" si="37"/>
        <v>1.082588730566038</v>
      </c>
      <c r="N319" s="14">
        <f t="shared" si="41"/>
        <v>1.0847613211653322</v>
      </c>
      <c r="O319" s="14">
        <f t="shared" si="42"/>
        <v>1.0833646539724768</v>
      </c>
      <c r="P319" s="14">
        <f t="shared" si="35"/>
        <v>1.0807662297986012</v>
      </c>
      <c r="Q319" s="4" t="str">
        <f t="shared" si="40"/>
        <v>UNDER</v>
      </c>
      <c r="R319" s="4" t="str">
        <f t="shared" si="40"/>
        <v>UNDER</v>
      </c>
      <c r="S319" s="4" t="str">
        <f t="shared" si="38"/>
        <v>UNDER</v>
      </c>
      <c r="T319" s="4" t="str">
        <f t="shared" si="38"/>
        <v>UNDER</v>
      </c>
      <c r="U319" s="2">
        <f>IF(Q319="OVER",$J319,$K319)</f>
        <v>286.94368092600644</v>
      </c>
      <c r="V319" s="2">
        <f>IF(R319="OVER",$J319,$K319)</f>
        <v>286.94368092600644</v>
      </c>
      <c r="W319" s="2">
        <f>IF(S319="OVER",$J319,$K319)</f>
        <v>286.94368092600644</v>
      </c>
      <c r="X319" s="2">
        <f>IF(T319="OVER",$J319,$K319)</f>
        <v>286.94368092600644</v>
      </c>
      <c r="Y319" s="9">
        <f t="shared" si="39"/>
        <v>-9379.3562553367865</v>
      </c>
      <c r="Z319" s="9">
        <f t="shared" si="39"/>
        <v>-9375.1299824264188</v>
      </c>
      <c r="AA319" s="9">
        <f t="shared" si="39"/>
        <v>18747.161022170905</v>
      </c>
      <c r="AB319" s="9">
        <f t="shared" si="36"/>
        <v>1604.5367743774866</v>
      </c>
    </row>
    <row r="320" spans="1:28" x14ac:dyDescent="0.3">
      <c r="A320" s="1">
        <v>44874</v>
      </c>
      <c r="B320" s="2">
        <v>63.68</v>
      </c>
      <c r="C320" s="2">
        <v>68.53</v>
      </c>
      <c r="D320" s="9">
        <f>B320-B319</f>
        <v>-0.88999999999999346</v>
      </c>
      <c r="E320" s="9">
        <f>C320-C319</f>
        <v>-1.1899999999999977</v>
      </c>
      <c r="F320" s="3">
        <f>F$1/B320</f>
        <v>1570.3517587939698</v>
      </c>
      <c r="G320" s="3">
        <f>F$1/C320</f>
        <v>1459.2149423610097</v>
      </c>
      <c r="H320" s="2">
        <f>D320*F319</f>
        <v>-1378.3490785194263</v>
      </c>
      <c r="I320" s="2">
        <f>E320*G319</f>
        <v>-1706.8273092369448</v>
      </c>
      <c r="J320" s="2">
        <f>I320-H320</f>
        <v>-328.4782307175185</v>
      </c>
      <c r="K320" s="2">
        <f t="shared" si="34"/>
        <v>328.4782307175185</v>
      </c>
      <c r="L320" s="14">
        <f>C320/B320</f>
        <v>1.0761620603015076</v>
      </c>
      <c r="M320" s="14">
        <f t="shared" si="37"/>
        <v>1.0816713568056773</v>
      </c>
      <c r="N320" s="14">
        <f t="shared" si="41"/>
        <v>1.0839494304875661</v>
      </c>
      <c r="O320" s="14">
        <f t="shared" si="42"/>
        <v>1.0833395080817327</v>
      </c>
      <c r="P320" s="14">
        <f t="shared" si="35"/>
        <v>1.0807368760344824</v>
      </c>
      <c r="Q320" s="4" t="str">
        <f t="shared" si="40"/>
        <v>UNDER</v>
      </c>
      <c r="R320" s="4" t="str">
        <f t="shared" si="40"/>
        <v>UNDER</v>
      </c>
      <c r="S320" s="4" t="str">
        <f t="shared" si="38"/>
        <v>UNDER</v>
      </c>
      <c r="T320" s="4" t="str">
        <f t="shared" si="38"/>
        <v>UNDER</v>
      </c>
      <c r="U320" s="2">
        <f>IF(Q320="OVER",$J320,$K320)</f>
        <v>328.4782307175185</v>
      </c>
      <c r="V320" s="2">
        <f>IF(R320="OVER",$J320,$K320)</f>
        <v>328.4782307175185</v>
      </c>
      <c r="W320" s="2">
        <f>IF(S320="OVER",$J320,$K320)</f>
        <v>328.4782307175185</v>
      </c>
      <c r="X320" s="2">
        <f>IF(T320="OVER",$J320,$K320)</f>
        <v>328.4782307175185</v>
      </c>
      <c r="Y320" s="9">
        <f t="shared" si="39"/>
        <v>-9050.8780246192673</v>
      </c>
      <c r="Z320" s="9">
        <f t="shared" si="39"/>
        <v>-9046.6517517088996</v>
      </c>
      <c r="AA320" s="9">
        <f t="shared" si="39"/>
        <v>19075.639252888424</v>
      </c>
      <c r="AB320" s="9">
        <f t="shared" si="36"/>
        <v>1933.0150050950051</v>
      </c>
    </row>
    <row r="321" spans="1:28" x14ac:dyDescent="0.3">
      <c r="A321" s="1">
        <v>44875</v>
      </c>
      <c r="B321" s="2">
        <v>65.680000000000007</v>
      </c>
      <c r="C321" s="2">
        <v>70.819999999999993</v>
      </c>
      <c r="D321" s="9">
        <f>B321-B320</f>
        <v>2.0000000000000071</v>
      </c>
      <c r="E321" s="9">
        <f>C321-C320</f>
        <v>2.289999999999992</v>
      </c>
      <c r="F321" s="3">
        <f>F$1/B321</f>
        <v>1522.5334957369062</v>
      </c>
      <c r="G321" s="3">
        <f>F$1/C321</f>
        <v>1412.0304998587972</v>
      </c>
      <c r="H321" s="2">
        <f>D321*F320</f>
        <v>3140.703517587951</v>
      </c>
      <c r="I321" s="2">
        <f>E321*G320</f>
        <v>3341.6022180067007</v>
      </c>
      <c r="J321" s="2">
        <f>I321-H321</f>
        <v>200.89870041874974</v>
      </c>
      <c r="K321" s="2">
        <f t="shared" si="34"/>
        <v>-200.89870041874974</v>
      </c>
      <c r="L321" s="14">
        <f>C321/B321</f>
        <v>1.0782582216808767</v>
      </c>
      <c r="M321" s="14">
        <f t="shared" si="37"/>
        <v>1.0809182559680561</v>
      </c>
      <c r="N321" s="14">
        <f t="shared" si="41"/>
        <v>1.0833476333759202</v>
      </c>
      <c r="O321" s="14">
        <f t="shared" si="42"/>
        <v>1.0833551282636595</v>
      </c>
      <c r="P321" s="14">
        <f t="shared" si="35"/>
        <v>1.0807053582444679</v>
      </c>
      <c r="Q321" s="4" t="str">
        <f t="shared" si="40"/>
        <v>UNDER</v>
      </c>
      <c r="R321" s="4" t="str">
        <f t="shared" si="40"/>
        <v>UNDER</v>
      </c>
      <c r="S321" s="4" t="str">
        <f t="shared" si="38"/>
        <v>UNDER</v>
      </c>
      <c r="T321" s="4" t="str">
        <f t="shared" si="38"/>
        <v>UNDER</v>
      </c>
      <c r="U321" s="2">
        <f>IF(Q321="OVER",$J321,$K321)</f>
        <v>-200.89870041874974</v>
      </c>
      <c r="V321" s="2">
        <f>IF(R321="OVER",$J321,$K321)</f>
        <v>-200.89870041874974</v>
      </c>
      <c r="W321" s="2">
        <f>IF(S321="OVER",$J321,$K321)</f>
        <v>-200.89870041874974</v>
      </c>
      <c r="X321" s="2">
        <f>IF(T321="OVER",$J321,$K321)</f>
        <v>-200.89870041874974</v>
      </c>
      <c r="Y321" s="9">
        <f t="shared" si="39"/>
        <v>-9251.7767250380166</v>
      </c>
      <c r="Z321" s="9">
        <f t="shared" si="39"/>
        <v>-9247.5504521276489</v>
      </c>
      <c r="AA321" s="9">
        <f t="shared" si="39"/>
        <v>18874.740552469673</v>
      </c>
      <c r="AB321" s="9">
        <f t="shared" si="36"/>
        <v>1732.1163046762554</v>
      </c>
    </row>
    <row r="322" spans="1:28" x14ac:dyDescent="0.3">
      <c r="A322" s="1">
        <v>44876</v>
      </c>
      <c r="B322" s="2">
        <v>66.22</v>
      </c>
      <c r="C322" s="2">
        <v>71.17</v>
      </c>
      <c r="D322" s="9">
        <f>B322-B321</f>
        <v>0.53999999999999204</v>
      </c>
      <c r="E322" s="9">
        <f>C322-C321</f>
        <v>0.35000000000000853</v>
      </c>
      <c r="F322" s="3">
        <f>F$1/B322</f>
        <v>1510.1177891875566</v>
      </c>
      <c r="G322" s="3">
        <f>F$1/C322</f>
        <v>1405.086412814388</v>
      </c>
      <c r="H322" s="2">
        <f>D322*F321</f>
        <v>822.16808769791726</v>
      </c>
      <c r="I322" s="2">
        <f>E322*G321</f>
        <v>494.21067495059106</v>
      </c>
      <c r="J322" s="2">
        <f>I322-H322</f>
        <v>-327.9574127473262</v>
      </c>
      <c r="K322" s="2">
        <f t="shared" si="34"/>
        <v>327.9574127473262</v>
      </c>
      <c r="L322" s="14">
        <f>C322/B322</f>
        <v>1.0747508305647842</v>
      </c>
      <c r="M322" s="14">
        <f t="shared" si="37"/>
        <v>1.0800038717863227</v>
      </c>
      <c r="N322" s="14">
        <f t="shared" si="41"/>
        <v>1.0826018680679117</v>
      </c>
      <c r="O322" s="14">
        <f t="shared" si="42"/>
        <v>1.0832505010108806</v>
      </c>
      <c r="P322" s="14">
        <f t="shared" si="35"/>
        <v>1.0806588421270216</v>
      </c>
      <c r="Q322" s="4" t="str">
        <f t="shared" si="40"/>
        <v>UNDER</v>
      </c>
      <c r="R322" s="4" t="str">
        <f t="shared" si="40"/>
        <v>UNDER</v>
      </c>
      <c r="S322" s="4" t="str">
        <f t="shared" si="38"/>
        <v>UNDER</v>
      </c>
      <c r="T322" s="4" t="str">
        <f t="shared" si="38"/>
        <v>UNDER</v>
      </c>
      <c r="U322" s="2">
        <f>IF(Q322="OVER",$J322,$K322)</f>
        <v>327.9574127473262</v>
      </c>
      <c r="V322" s="2">
        <f>IF(R322="OVER",$J322,$K322)</f>
        <v>327.9574127473262</v>
      </c>
      <c r="W322" s="2">
        <f>IF(S322="OVER",$J322,$K322)</f>
        <v>327.9574127473262</v>
      </c>
      <c r="X322" s="2">
        <f>IF(T322="OVER",$J322,$K322)</f>
        <v>327.9574127473262</v>
      </c>
      <c r="Y322" s="9">
        <f t="shared" si="39"/>
        <v>-8923.8193122906905</v>
      </c>
      <c r="Z322" s="9">
        <f t="shared" si="39"/>
        <v>-8919.5930393803228</v>
      </c>
      <c r="AA322" s="9">
        <f t="shared" si="39"/>
        <v>19202.697965217001</v>
      </c>
      <c r="AB322" s="9">
        <f t="shared" si="36"/>
        <v>2060.0737174235815</v>
      </c>
    </row>
    <row r="323" spans="1:28" x14ac:dyDescent="0.3">
      <c r="A323" s="1">
        <v>44879</v>
      </c>
      <c r="B323" s="2">
        <v>65.87</v>
      </c>
      <c r="C323" s="2">
        <v>70.959999999999994</v>
      </c>
      <c r="D323" s="9">
        <f>B323-B322</f>
        <v>-0.34999999999999432</v>
      </c>
      <c r="E323" s="9">
        <f>C323-C322</f>
        <v>-0.21000000000000796</v>
      </c>
      <c r="F323" s="3">
        <f>F$1/B323</f>
        <v>1518.1417944436009</v>
      </c>
      <c r="G323" s="3">
        <f>F$1/C323</f>
        <v>1409.2446448703497</v>
      </c>
      <c r="H323" s="2">
        <f>D323*F322</f>
        <v>-528.54122621563624</v>
      </c>
      <c r="I323" s="2">
        <f>E323*G322</f>
        <v>-295.06814669103267</v>
      </c>
      <c r="J323" s="2">
        <f>I323-H323</f>
        <v>233.47307952460358</v>
      </c>
      <c r="K323" s="2">
        <f t="shared" si="34"/>
        <v>-233.47307952460358</v>
      </c>
      <c r="L323" s="14">
        <f>C323/B323</f>
        <v>1.0772734173371792</v>
      </c>
      <c r="M323" s="14">
        <f t="shared" si="37"/>
        <v>1.0793121015212699</v>
      </c>
      <c r="N323" s="14">
        <f t="shared" si="41"/>
        <v>1.0819799680439297</v>
      </c>
      <c r="O323" s="14">
        <f t="shared" si="42"/>
        <v>1.0831999073051184</v>
      </c>
      <c r="P323" s="14">
        <f t="shared" si="35"/>
        <v>1.0806347265288567</v>
      </c>
      <c r="Q323" s="4" t="str">
        <f t="shared" si="40"/>
        <v>UNDER</v>
      </c>
      <c r="R323" s="4" t="str">
        <f t="shared" si="40"/>
        <v>UNDER</v>
      </c>
      <c r="S323" s="4" t="str">
        <f t="shared" si="38"/>
        <v>UNDER</v>
      </c>
      <c r="T323" s="4" t="str">
        <f t="shared" si="38"/>
        <v>UNDER</v>
      </c>
      <c r="U323" s="2">
        <f>IF(Q323="OVER",$J323,$K323)</f>
        <v>-233.47307952460358</v>
      </c>
      <c r="V323" s="2">
        <f>IF(R323="OVER",$J323,$K323)</f>
        <v>-233.47307952460358</v>
      </c>
      <c r="W323" s="2">
        <f>IF(S323="OVER",$J323,$K323)</f>
        <v>-233.47307952460358</v>
      </c>
      <c r="X323" s="2">
        <f>IF(T323="OVER",$J323,$K323)</f>
        <v>-233.47307952460358</v>
      </c>
      <c r="Y323" s="9">
        <f t="shared" si="39"/>
        <v>-9157.2923918152937</v>
      </c>
      <c r="Z323" s="9">
        <f t="shared" si="39"/>
        <v>-9153.066118904926</v>
      </c>
      <c r="AA323" s="9">
        <f t="shared" si="39"/>
        <v>18969.224885692398</v>
      </c>
      <c r="AB323" s="9">
        <f t="shared" si="36"/>
        <v>1826.6006378989778</v>
      </c>
    </row>
    <row r="324" spans="1:28" x14ac:dyDescent="0.3">
      <c r="A324" s="1">
        <v>44880</v>
      </c>
      <c r="B324" s="2">
        <v>66.75</v>
      </c>
      <c r="C324" s="2">
        <v>71.94</v>
      </c>
      <c r="D324" s="9">
        <f>B324-B323</f>
        <v>0.87999999999999545</v>
      </c>
      <c r="E324" s="9">
        <f>C324-C323</f>
        <v>0.98000000000000398</v>
      </c>
      <c r="F324" s="3">
        <f>F$1/B324</f>
        <v>1498.1273408239701</v>
      </c>
      <c r="G324" s="3">
        <f>F$1/C324</f>
        <v>1390.0472616068946</v>
      </c>
      <c r="H324" s="2">
        <f>D324*F323</f>
        <v>1335.9647791103619</v>
      </c>
      <c r="I324" s="2">
        <f>E324*G323</f>
        <v>1381.0597519729483</v>
      </c>
      <c r="J324" s="2">
        <f>I324-H324</f>
        <v>45.094972862586474</v>
      </c>
      <c r="K324" s="2">
        <f t="shared" si="34"/>
        <v>-45.094972862586474</v>
      </c>
      <c r="L324" s="14">
        <f>C324/B324</f>
        <v>1.077752808988764</v>
      </c>
      <c r="M324" s="14">
        <f t="shared" si="37"/>
        <v>1.0791974741632655</v>
      </c>
      <c r="N324" s="14">
        <f t="shared" si="41"/>
        <v>1.0816031996072408</v>
      </c>
      <c r="O324" s="14">
        <f t="shared" si="42"/>
        <v>1.083164088503654</v>
      </c>
      <c r="P324" s="14">
        <f t="shared" si="35"/>
        <v>1.0806388251220953</v>
      </c>
      <c r="Q324" s="4" t="str">
        <f t="shared" si="40"/>
        <v>UNDER</v>
      </c>
      <c r="R324" s="4" t="str">
        <f t="shared" si="40"/>
        <v>UNDER</v>
      </c>
      <c r="S324" s="4" t="str">
        <f t="shared" si="38"/>
        <v>UNDER</v>
      </c>
      <c r="T324" s="4" t="str">
        <f t="shared" si="38"/>
        <v>UNDER</v>
      </c>
      <c r="U324" s="2">
        <f>IF(Q324="OVER",$J324,$K324)</f>
        <v>-45.094972862586474</v>
      </c>
      <c r="V324" s="2">
        <f>IF(R324="OVER",$J324,$K324)</f>
        <v>-45.094972862586474</v>
      </c>
      <c r="W324" s="2">
        <f>IF(S324="OVER",$J324,$K324)</f>
        <v>-45.094972862586474</v>
      </c>
      <c r="X324" s="2">
        <f>IF(T324="OVER",$J324,$K324)</f>
        <v>-45.094972862586474</v>
      </c>
      <c r="Y324" s="9">
        <f t="shared" si="39"/>
        <v>-9202.3873646778811</v>
      </c>
      <c r="Z324" s="9">
        <f t="shared" si="39"/>
        <v>-9198.1610917675134</v>
      </c>
      <c r="AA324" s="9">
        <f t="shared" si="39"/>
        <v>18924.129912829812</v>
      </c>
      <c r="AB324" s="9">
        <f t="shared" si="36"/>
        <v>1781.5056650363913</v>
      </c>
    </row>
    <row r="325" spans="1:28" x14ac:dyDescent="0.3">
      <c r="A325" s="1">
        <v>44881</v>
      </c>
      <c r="B325" s="2">
        <v>66.25</v>
      </c>
      <c r="C325" s="2">
        <v>71.239999999999995</v>
      </c>
      <c r="D325" s="9">
        <f>B325-B324</f>
        <v>-0.5</v>
      </c>
      <c r="E325" s="9">
        <f>C325-C324</f>
        <v>-0.70000000000000284</v>
      </c>
      <c r="F325" s="3">
        <f>F$1/B325</f>
        <v>1509.433962264151</v>
      </c>
      <c r="G325" s="3">
        <f>F$1/C325</f>
        <v>1403.7057832678272</v>
      </c>
      <c r="H325" s="2">
        <f>D325*F324</f>
        <v>-749.06367041198507</v>
      </c>
      <c r="I325" s="2">
        <f>E325*G324</f>
        <v>-973.03308312483023</v>
      </c>
      <c r="J325" s="2">
        <f>I325-H325</f>
        <v>-223.96941271284516</v>
      </c>
      <c r="K325" s="2">
        <f t="shared" ref="K325:K388" si="43">H325-I325</f>
        <v>223.96941271284516</v>
      </c>
      <c r="L325" s="14">
        <f>C325/B325</f>
        <v>1.075320754716981</v>
      </c>
      <c r="M325" s="14">
        <f t="shared" si="37"/>
        <v>1.0786934181912631</v>
      </c>
      <c r="N325" s="14">
        <f t="shared" si="41"/>
        <v>1.0812071258328602</v>
      </c>
      <c r="O325" s="14">
        <f t="shared" si="42"/>
        <v>1.0831023992553226</v>
      </c>
      <c r="P325" s="14">
        <f t="shared" si="35"/>
        <v>1.080591700082121</v>
      </c>
      <c r="Q325" s="4" t="str">
        <f t="shared" si="40"/>
        <v>UNDER</v>
      </c>
      <c r="R325" s="4" t="str">
        <f t="shared" si="40"/>
        <v>UNDER</v>
      </c>
      <c r="S325" s="4" t="str">
        <f t="shared" si="38"/>
        <v>UNDER</v>
      </c>
      <c r="T325" s="4" t="str">
        <f t="shared" si="38"/>
        <v>UNDER</v>
      </c>
      <c r="U325" s="2">
        <f>IF(Q325="OVER",$J325,$K325)</f>
        <v>223.96941271284516</v>
      </c>
      <c r="V325" s="2">
        <f>IF(R325="OVER",$J325,$K325)</f>
        <v>223.96941271284516</v>
      </c>
      <c r="W325" s="2">
        <f>IF(S325="OVER",$J325,$K325)</f>
        <v>223.96941271284516</v>
      </c>
      <c r="X325" s="2">
        <f>IF(T325="OVER",$J325,$K325)</f>
        <v>223.96941271284516</v>
      </c>
      <c r="Y325" s="9">
        <f t="shared" si="39"/>
        <v>-8978.4179519650352</v>
      </c>
      <c r="Z325" s="9">
        <f t="shared" si="39"/>
        <v>-8974.1916790546675</v>
      </c>
      <c r="AA325" s="9">
        <f t="shared" si="39"/>
        <v>19148.099325542658</v>
      </c>
      <c r="AB325" s="9">
        <f t="shared" si="36"/>
        <v>2005.4750777492363</v>
      </c>
    </row>
    <row r="326" spans="1:28" x14ac:dyDescent="0.3">
      <c r="A326" s="1">
        <v>44882</v>
      </c>
      <c r="B326" s="2">
        <v>65.8</v>
      </c>
      <c r="C326" s="2">
        <v>70.87</v>
      </c>
      <c r="D326" s="9">
        <f>B326-B325</f>
        <v>-0.45000000000000284</v>
      </c>
      <c r="E326" s="9">
        <f>C326-C325</f>
        <v>-0.36999999999999034</v>
      </c>
      <c r="F326" s="3">
        <f>F$1/B326</f>
        <v>1519.7568389057751</v>
      </c>
      <c r="G326" s="3">
        <f>F$1/C326</f>
        <v>1411.0342881332015</v>
      </c>
      <c r="H326" s="2">
        <f>D326*F325</f>
        <v>-679.24528301887221</v>
      </c>
      <c r="I326" s="2">
        <f>E326*G325</f>
        <v>-519.37113980908248</v>
      </c>
      <c r="J326" s="2">
        <f>I326-H326</f>
        <v>159.87414320978974</v>
      </c>
      <c r="K326" s="2">
        <f t="shared" si="43"/>
        <v>-159.87414320978974</v>
      </c>
      <c r="L326" s="14">
        <f>C326/B326</f>
        <v>1.0770516717325229</v>
      </c>
      <c r="M326" s="14">
        <f t="shared" si="37"/>
        <v>1.0782346817048343</v>
      </c>
      <c r="N326" s="14">
        <f t="shared" si="41"/>
        <v>1.0807634480308594</v>
      </c>
      <c r="O326" s="14">
        <f t="shared" si="42"/>
        <v>1.0830959187152749</v>
      </c>
      <c r="P326" s="14">
        <f t="shared" si="35"/>
        <v>1.0805722739905557</v>
      </c>
      <c r="Q326" s="4" t="str">
        <f t="shared" si="40"/>
        <v>UNDER</v>
      </c>
      <c r="R326" s="4" t="str">
        <f t="shared" si="40"/>
        <v>UNDER</v>
      </c>
      <c r="S326" s="4" t="str">
        <f t="shared" si="38"/>
        <v>UNDER</v>
      </c>
      <c r="T326" s="4" t="str">
        <f t="shared" si="38"/>
        <v>UNDER</v>
      </c>
      <c r="U326" s="2">
        <f>IF(Q326="OVER",$J326,$K326)</f>
        <v>-159.87414320978974</v>
      </c>
      <c r="V326" s="2">
        <f>IF(R326="OVER",$J326,$K326)</f>
        <v>-159.87414320978974</v>
      </c>
      <c r="W326" s="2">
        <f>IF(S326="OVER",$J326,$K326)</f>
        <v>-159.87414320978974</v>
      </c>
      <c r="X326" s="2">
        <f>IF(T326="OVER",$J326,$K326)</f>
        <v>-159.87414320978974</v>
      </c>
      <c r="Y326" s="9">
        <f t="shared" si="39"/>
        <v>-9138.2920951748256</v>
      </c>
      <c r="Z326" s="9">
        <f t="shared" si="39"/>
        <v>-9134.0658222644579</v>
      </c>
      <c r="AA326" s="9">
        <f t="shared" si="39"/>
        <v>18988.22518233287</v>
      </c>
      <c r="AB326" s="9">
        <f t="shared" si="36"/>
        <v>1845.6009345394466</v>
      </c>
    </row>
    <row r="327" spans="1:28" x14ac:dyDescent="0.3">
      <c r="A327" s="1">
        <v>44883</v>
      </c>
      <c r="B327" s="2">
        <v>65.98</v>
      </c>
      <c r="C327" s="2">
        <v>71.02</v>
      </c>
      <c r="D327" s="9">
        <f>B327-B326</f>
        <v>0.18000000000000682</v>
      </c>
      <c r="E327" s="9">
        <f>C327-C326</f>
        <v>0.14999999999999147</v>
      </c>
      <c r="F327" s="3">
        <f>F$1/B327</f>
        <v>1515.610791148833</v>
      </c>
      <c r="G327" s="3">
        <f>F$1/C327</f>
        <v>1408.0540692762602</v>
      </c>
      <c r="H327" s="2">
        <f>D327*F326</f>
        <v>273.5562310030499</v>
      </c>
      <c r="I327" s="2">
        <f>E327*G326</f>
        <v>211.65514321996818</v>
      </c>
      <c r="J327" s="2">
        <f>I327-H327</f>
        <v>-61.901087783081721</v>
      </c>
      <c r="K327" s="2">
        <f t="shared" si="43"/>
        <v>61.901087783081721</v>
      </c>
      <c r="L327" s="14">
        <f>C327/B327</f>
        <v>1.076386783873901</v>
      </c>
      <c r="M327" s="14">
        <f t="shared" si="37"/>
        <v>1.0775568984818833</v>
      </c>
      <c r="N327" s="14">
        <f t="shared" si="41"/>
        <v>1.0803608424766225</v>
      </c>
      <c r="O327" s="14">
        <f t="shared" si="42"/>
        <v>1.0830052582349885</v>
      </c>
      <c r="P327" s="14">
        <f t="shared" si="35"/>
        <v>1.0805600280157455</v>
      </c>
      <c r="Q327" s="4" t="str">
        <f t="shared" si="40"/>
        <v>UNDER</v>
      </c>
      <c r="R327" s="4" t="str">
        <f t="shared" si="40"/>
        <v>UNDER</v>
      </c>
      <c r="S327" s="4" t="str">
        <f t="shared" si="38"/>
        <v>UNDER</v>
      </c>
      <c r="T327" s="4" t="str">
        <f t="shared" si="38"/>
        <v>UNDER</v>
      </c>
      <c r="U327" s="2">
        <f>IF(Q327="OVER",$J327,$K327)</f>
        <v>61.901087783081721</v>
      </c>
      <c r="V327" s="2">
        <f>IF(R327="OVER",$J327,$K327)</f>
        <v>61.901087783081721</v>
      </c>
      <c r="W327" s="2">
        <f>IF(S327="OVER",$J327,$K327)</f>
        <v>61.901087783081721</v>
      </c>
      <c r="X327" s="2">
        <f>IF(T327="OVER",$J327,$K327)</f>
        <v>61.901087783081721</v>
      </c>
      <c r="Y327" s="9">
        <f t="shared" si="39"/>
        <v>-9076.3910073917432</v>
      </c>
      <c r="Z327" s="9">
        <f t="shared" si="39"/>
        <v>-9072.1647344813755</v>
      </c>
      <c r="AA327" s="9">
        <f t="shared" si="39"/>
        <v>19050.12627011595</v>
      </c>
      <c r="AB327" s="9">
        <f t="shared" si="36"/>
        <v>1907.5020223225283</v>
      </c>
    </row>
    <row r="328" spans="1:28" x14ac:dyDescent="0.3">
      <c r="A328" s="1">
        <v>44886</v>
      </c>
      <c r="B328" s="2">
        <v>65.709999999999994</v>
      </c>
      <c r="C328" s="2">
        <v>70.5</v>
      </c>
      <c r="D328" s="9">
        <f>B328-B327</f>
        <v>-0.27000000000001023</v>
      </c>
      <c r="E328" s="9">
        <f>C328-C327</f>
        <v>-0.51999999999999602</v>
      </c>
      <c r="F328" s="3">
        <f>F$1/B328</f>
        <v>1521.838380763963</v>
      </c>
      <c r="G328" s="3">
        <f>F$1/C328</f>
        <v>1418.4397163120568</v>
      </c>
      <c r="H328" s="2">
        <f>D328*F327</f>
        <v>-409.21491361020043</v>
      </c>
      <c r="I328" s="2">
        <f>E328*G327</f>
        <v>-732.18811602364974</v>
      </c>
      <c r="J328" s="2">
        <f>I328-H328</f>
        <v>-322.97320241344931</v>
      </c>
      <c r="K328" s="2">
        <f t="shared" si="43"/>
        <v>322.97320241344931</v>
      </c>
      <c r="L328" s="14">
        <f>C328/B328</f>
        <v>1.0728960584385938</v>
      </c>
      <c r="M328" s="14">
        <f t="shared" si="37"/>
        <v>1.0765611009369662</v>
      </c>
      <c r="N328" s="14">
        <f t="shared" si="41"/>
        <v>1.0797993085794482</v>
      </c>
      <c r="O328" s="14">
        <f t="shared" si="42"/>
        <v>1.0829036126167566</v>
      </c>
      <c r="P328" s="14">
        <f t="shared" si="35"/>
        <v>1.0805263879581148</v>
      </c>
      <c r="Q328" s="4" t="str">
        <f t="shared" si="40"/>
        <v>UNDER</v>
      </c>
      <c r="R328" s="4" t="str">
        <f t="shared" si="40"/>
        <v>UNDER</v>
      </c>
      <c r="S328" s="4" t="str">
        <f t="shared" si="38"/>
        <v>UNDER</v>
      </c>
      <c r="T328" s="4" t="str">
        <f t="shared" si="38"/>
        <v>UNDER</v>
      </c>
      <c r="U328" s="2">
        <f>IF(Q328="OVER",$J328,$K328)</f>
        <v>322.97320241344931</v>
      </c>
      <c r="V328" s="2">
        <f>IF(R328="OVER",$J328,$K328)</f>
        <v>322.97320241344931</v>
      </c>
      <c r="W328" s="2">
        <f>IF(S328="OVER",$J328,$K328)</f>
        <v>322.97320241344931</v>
      </c>
      <c r="X328" s="2">
        <f>IF(T328="OVER",$J328,$K328)</f>
        <v>322.97320241344931</v>
      </c>
      <c r="Y328" s="9">
        <f t="shared" si="39"/>
        <v>-8753.4178049782931</v>
      </c>
      <c r="Z328" s="9">
        <f t="shared" si="39"/>
        <v>-8749.1915320679254</v>
      </c>
      <c r="AA328" s="9">
        <f t="shared" si="39"/>
        <v>19373.0994725294</v>
      </c>
      <c r="AB328" s="9">
        <f t="shared" si="36"/>
        <v>2230.4752247359775</v>
      </c>
    </row>
    <row r="329" spans="1:28" x14ac:dyDescent="0.3">
      <c r="A329" s="1">
        <v>44887</v>
      </c>
      <c r="B329" s="2">
        <v>65.98</v>
      </c>
      <c r="C329" s="2">
        <v>70.89</v>
      </c>
      <c r="D329" s="9">
        <f>B329-B328</f>
        <v>0.27000000000001023</v>
      </c>
      <c r="E329" s="9">
        <f>C329-C328</f>
        <v>0.39000000000000057</v>
      </c>
      <c r="F329" s="3">
        <f>F$1/B329</f>
        <v>1515.610791148833</v>
      </c>
      <c r="G329" s="3">
        <f>F$1/C329</f>
        <v>1410.636196924813</v>
      </c>
      <c r="H329" s="2">
        <f>D329*F328</f>
        <v>410.89636280628559</v>
      </c>
      <c r="I329" s="2">
        <f>E329*G328</f>
        <v>553.19148936170302</v>
      </c>
      <c r="J329" s="2">
        <f>I329-H329</f>
        <v>142.29512655541743</v>
      </c>
      <c r="K329" s="2">
        <f t="shared" si="43"/>
        <v>-142.29512655541743</v>
      </c>
      <c r="L329" s="14">
        <f>C329/B329</f>
        <v>1.0744164898454076</v>
      </c>
      <c r="M329" s="14">
        <f t="shared" si="37"/>
        <v>1.0760269097480519</v>
      </c>
      <c r="N329" s="14">
        <f t="shared" si="41"/>
        <v>1.079307820157045</v>
      </c>
      <c r="O329" s="14">
        <f t="shared" si="42"/>
        <v>1.0828552924283836</v>
      </c>
      <c r="P329" s="14">
        <f t="shared" si="35"/>
        <v>1.0804685174538655</v>
      </c>
      <c r="Q329" s="4" t="str">
        <f t="shared" si="40"/>
        <v>UNDER</v>
      </c>
      <c r="R329" s="4" t="str">
        <f t="shared" si="40"/>
        <v>UNDER</v>
      </c>
      <c r="S329" s="4" t="str">
        <f t="shared" si="38"/>
        <v>UNDER</v>
      </c>
      <c r="T329" s="4" t="str">
        <f t="shared" si="38"/>
        <v>UNDER</v>
      </c>
      <c r="U329" s="2">
        <f>IF(Q329="OVER",$J329,$K329)</f>
        <v>-142.29512655541743</v>
      </c>
      <c r="V329" s="2">
        <f>IF(R329="OVER",$J329,$K329)</f>
        <v>-142.29512655541743</v>
      </c>
      <c r="W329" s="2">
        <f>IF(S329="OVER",$J329,$K329)</f>
        <v>-142.29512655541743</v>
      </c>
      <c r="X329" s="2">
        <f>IF(T329="OVER",$J329,$K329)</f>
        <v>-142.29512655541743</v>
      </c>
      <c r="Y329" s="9">
        <f t="shared" si="39"/>
        <v>-8895.7129315337097</v>
      </c>
      <c r="Z329" s="9">
        <f t="shared" si="39"/>
        <v>-8891.486658623342</v>
      </c>
      <c r="AA329" s="9">
        <f t="shared" si="39"/>
        <v>19230.804345973982</v>
      </c>
      <c r="AB329" s="9">
        <f t="shared" si="36"/>
        <v>2088.18009818056</v>
      </c>
    </row>
    <row r="330" spans="1:28" x14ac:dyDescent="0.3">
      <c r="A330" s="1">
        <v>44888</v>
      </c>
      <c r="B330" s="2">
        <v>66.2</v>
      </c>
      <c r="C330" s="2">
        <v>71.239999999999995</v>
      </c>
      <c r="D330" s="9">
        <f>B330-B329</f>
        <v>0.21999999999999886</v>
      </c>
      <c r="E330" s="9">
        <f>C330-C329</f>
        <v>0.34999999999999432</v>
      </c>
      <c r="F330" s="3">
        <f>F$1/B330</f>
        <v>1510.5740181268882</v>
      </c>
      <c r="G330" s="3">
        <f>F$1/C330</f>
        <v>1403.7057832678272</v>
      </c>
      <c r="H330" s="2">
        <f>D330*F329</f>
        <v>333.43437405274153</v>
      </c>
      <c r="I330" s="2">
        <f>E330*G329</f>
        <v>493.72266892367657</v>
      </c>
      <c r="J330" s="2">
        <f>I330-H330</f>
        <v>160.28829487093503</v>
      </c>
      <c r="K330" s="2">
        <f t="shared" si="43"/>
        <v>-160.28829487093503</v>
      </c>
      <c r="L330" s="14">
        <f>C330/B330</f>
        <v>1.0761329305135949</v>
      </c>
      <c r="M330" s="14">
        <f t="shared" si="37"/>
        <v>1.0760239967692606</v>
      </c>
      <c r="N330" s="14">
        <f t="shared" si="41"/>
        <v>1.0788476767874688</v>
      </c>
      <c r="O330" s="14">
        <f t="shared" si="42"/>
        <v>1.0827945197813109</v>
      </c>
      <c r="P330" s="14">
        <f t="shared" si="35"/>
        <v>1.0804114629221242</v>
      </c>
      <c r="Q330" s="4" t="str">
        <f t="shared" si="40"/>
        <v>UNDER</v>
      </c>
      <c r="R330" s="4" t="str">
        <f t="shared" si="40"/>
        <v>UNDER</v>
      </c>
      <c r="S330" s="4" t="str">
        <f t="shared" si="38"/>
        <v>UNDER</v>
      </c>
      <c r="T330" s="4" t="str">
        <f t="shared" si="38"/>
        <v>UNDER</v>
      </c>
      <c r="U330" s="2">
        <f>IF(Q330="OVER",$J330,$K330)</f>
        <v>-160.28829487093503</v>
      </c>
      <c r="V330" s="2">
        <f>IF(R330="OVER",$J330,$K330)</f>
        <v>-160.28829487093503</v>
      </c>
      <c r="W330" s="2">
        <f>IF(S330="OVER",$J330,$K330)</f>
        <v>-160.28829487093503</v>
      </c>
      <c r="X330" s="2">
        <f>IF(T330="OVER",$J330,$K330)</f>
        <v>-160.28829487093503</v>
      </c>
      <c r="Y330" s="9">
        <f t="shared" si="39"/>
        <v>-9056.0012264046454</v>
      </c>
      <c r="Z330" s="9">
        <f t="shared" si="39"/>
        <v>-9051.7749534942777</v>
      </c>
      <c r="AA330" s="9">
        <f t="shared" si="39"/>
        <v>19070.516051103048</v>
      </c>
      <c r="AB330" s="9">
        <f t="shared" si="36"/>
        <v>1927.8918033096249</v>
      </c>
    </row>
    <row r="331" spans="1:28" x14ac:dyDescent="0.3">
      <c r="A331" s="1">
        <v>44890</v>
      </c>
      <c r="B331" s="2">
        <v>66.2</v>
      </c>
      <c r="C331" s="2">
        <v>71.17</v>
      </c>
      <c r="D331" s="9">
        <f>B331-B330</f>
        <v>0</v>
      </c>
      <c r="E331" s="9">
        <f>C331-C330</f>
        <v>-6.9999999999993179E-2</v>
      </c>
      <c r="F331" s="3">
        <f>F$1/B331</f>
        <v>1510.5740181268882</v>
      </c>
      <c r="G331" s="3">
        <f>F$1/C331</f>
        <v>1405.086412814388</v>
      </c>
      <c r="H331" s="2">
        <f>D331*F330</f>
        <v>0</v>
      </c>
      <c r="I331" s="2">
        <f>E331*G330</f>
        <v>-98.259404828738326</v>
      </c>
      <c r="J331" s="2">
        <f>I331-H331</f>
        <v>-98.259404828738326</v>
      </c>
      <c r="K331" s="2">
        <f t="shared" si="43"/>
        <v>98.259404828738326</v>
      </c>
      <c r="L331" s="14">
        <f>C331/B331</f>
        <v>1.0750755287009064</v>
      </c>
      <c r="M331" s="14">
        <f t="shared" si="37"/>
        <v>1.0757057274712634</v>
      </c>
      <c r="N331" s="14">
        <f t="shared" si="41"/>
        <v>1.07831199171966</v>
      </c>
      <c r="O331" s="14">
        <f t="shared" si="42"/>
        <v>1.0826830318324339</v>
      </c>
      <c r="P331" s="14">
        <f t="shared" ref="P331:P394" si="44">AVERAGE(L132:L331)</f>
        <v>1.0803512272679596</v>
      </c>
      <c r="Q331" s="4" t="str">
        <f t="shared" si="40"/>
        <v>OVER</v>
      </c>
      <c r="R331" s="4" t="str">
        <f t="shared" si="40"/>
        <v>UNDER</v>
      </c>
      <c r="S331" s="4" t="str">
        <f t="shared" si="38"/>
        <v>UNDER</v>
      </c>
      <c r="T331" s="4" t="str">
        <f t="shared" si="38"/>
        <v>UNDER</v>
      </c>
      <c r="U331" s="2">
        <f>IF(Q331="OVER",$J331,$K331)</f>
        <v>-98.259404828738326</v>
      </c>
      <c r="V331" s="2">
        <f>IF(R331="OVER",$J331,$K331)</f>
        <v>98.259404828738326</v>
      </c>
      <c r="W331" s="2">
        <f>IF(S331="OVER",$J331,$K331)</f>
        <v>98.259404828738326</v>
      </c>
      <c r="X331" s="2">
        <f>IF(T331="OVER",$J331,$K331)</f>
        <v>98.259404828738326</v>
      </c>
      <c r="Y331" s="9">
        <f t="shared" si="39"/>
        <v>-9154.2606312333846</v>
      </c>
      <c r="Z331" s="9">
        <f t="shared" si="39"/>
        <v>-8953.5155486655385</v>
      </c>
      <c r="AA331" s="9">
        <f t="shared" si="39"/>
        <v>19168.775455931787</v>
      </c>
      <c r="AB331" s="9">
        <f t="shared" si="36"/>
        <v>2026.1512081383632</v>
      </c>
    </row>
    <row r="332" spans="1:28" x14ac:dyDescent="0.3">
      <c r="A332" s="1">
        <v>44893</v>
      </c>
      <c r="B332" s="2">
        <v>65.739999999999995</v>
      </c>
      <c r="C332" s="2">
        <v>70.760000000000005</v>
      </c>
      <c r="D332" s="9">
        <f>B332-B331</f>
        <v>-0.46000000000000796</v>
      </c>
      <c r="E332" s="9">
        <f>C332-C331</f>
        <v>-0.40999999999999659</v>
      </c>
      <c r="F332" s="3">
        <f>F$1/B332</f>
        <v>1521.1439002129603</v>
      </c>
      <c r="G332" s="3">
        <f>F$1/C332</f>
        <v>1413.2278123233464</v>
      </c>
      <c r="H332" s="2">
        <f>D332*F331</f>
        <v>-694.8640483383806</v>
      </c>
      <c r="I332" s="2">
        <f>E332*G331</f>
        <v>-576.08542925389429</v>
      </c>
      <c r="J332" s="2">
        <f>I332-H332</f>
        <v>118.77861908448631</v>
      </c>
      <c r="K332" s="2">
        <f t="shared" si="43"/>
        <v>-118.77861908448631</v>
      </c>
      <c r="L332" s="14">
        <f>C332/B332</f>
        <v>1.0763614237906907</v>
      </c>
      <c r="M332" s="14">
        <f t="shared" si="37"/>
        <v>1.0758667867938541</v>
      </c>
      <c r="N332" s="14">
        <f t="shared" si="41"/>
        <v>1.0779353292900884</v>
      </c>
      <c r="O332" s="14">
        <f t="shared" si="42"/>
        <v>1.0825716988995029</v>
      </c>
      <c r="P332" s="14">
        <f t="shared" si="44"/>
        <v>1.0802811076169732</v>
      </c>
      <c r="Q332" s="4" t="str">
        <f t="shared" si="40"/>
        <v>UNDER</v>
      </c>
      <c r="R332" s="4" t="str">
        <f t="shared" si="40"/>
        <v>UNDER</v>
      </c>
      <c r="S332" s="4" t="str">
        <f t="shared" si="38"/>
        <v>UNDER</v>
      </c>
      <c r="T332" s="4" t="str">
        <f t="shared" si="38"/>
        <v>UNDER</v>
      </c>
      <c r="U332" s="2">
        <f>IF(Q332="OVER",$J332,$K332)</f>
        <v>-118.77861908448631</v>
      </c>
      <c r="V332" s="2">
        <f>IF(R332="OVER",$J332,$K332)</f>
        <v>-118.77861908448631</v>
      </c>
      <c r="W332" s="2">
        <f>IF(S332="OVER",$J332,$K332)</f>
        <v>-118.77861908448631</v>
      </c>
      <c r="X332" s="2">
        <f>IF(T332="OVER",$J332,$K332)</f>
        <v>-118.77861908448631</v>
      </c>
      <c r="Y332" s="9">
        <f t="shared" si="39"/>
        <v>-9273.03925031787</v>
      </c>
      <c r="Z332" s="9">
        <f t="shared" si="39"/>
        <v>-9072.2941677500239</v>
      </c>
      <c r="AA332" s="9">
        <f t="shared" si="39"/>
        <v>19049.996836847302</v>
      </c>
      <c r="AB332" s="9">
        <f t="shared" si="39"/>
        <v>1907.3725890538769</v>
      </c>
    </row>
    <row r="333" spans="1:28" x14ac:dyDescent="0.3">
      <c r="A333" s="1">
        <v>44894</v>
      </c>
      <c r="B333" s="2">
        <v>65.760000000000005</v>
      </c>
      <c r="C333" s="2">
        <v>70.73</v>
      </c>
      <c r="D333" s="9">
        <f>B333-B332</f>
        <v>2.0000000000010232E-2</v>
      </c>
      <c r="E333" s="9">
        <f>C333-C332</f>
        <v>-3.0000000000001137E-2</v>
      </c>
      <c r="F333" s="3">
        <f>F$1/B333</f>
        <v>1520.6812652068124</v>
      </c>
      <c r="G333" s="3">
        <f>F$1/C333</f>
        <v>1413.8272303124556</v>
      </c>
      <c r="H333" s="2">
        <f>D333*F332</f>
        <v>30.422878004274768</v>
      </c>
      <c r="I333" s="2">
        <f>E333*G332</f>
        <v>-42.396834369701999</v>
      </c>
      <c r="J333" s="2">
        <f>I333-H333</f>
        <v>-72.81971237397677</v>
      </c>
      <c r="K333" s="2">
        <f t="shared" si="43"/>
        <v>72.81971237397677</v>
      </c>
      <c r="L333" s="14">
        <f>C333/B333</f>
        <v>1.0755778588807785</v>
      </c>
      <c r="M333" s="14">
        <f t="shared" ref="M333:M396" si="45">AVERAGE(L324:L333)</f>
        <v>1.075697230948214</v>
      </c>
      <c r="N333" s="14">
        <f t="shared" si="41"/>
        <v>1.0775046662347418</v>
      </c>
      <c r="O333" s="14">
        <f t="shared" si="42"/>
        <v>1.0824417100392136</v>
      </c>
      <c r="P333" s="14">
        <f t="shared" si="44"/>
        <v>1.0802241860443551</v>
      </c>
      <c r="Q333" s="4" t="str">
        <f t="shared" si="40"/>
        <v>OVER</v>
      </c>
      <c r="R333" s="4" t="str">
        <f t="shared" si="40"/>
        <v>UNDER</v>
      </c>
      <c r="S333" s="4" t="str">
        <f t="shared" ref="S333:T396" si="46">IF($L333&gt;O333,"OVER","UNDER")</f>
        <v>UNDER</v>
      </c>
      <c r="T333" s="4" t="str">
        <f t="shared" si="46"/>
        <v>UNDER</v>
      </c>
      <c r="U333" s="2">
        <f>IF(Q333="OVER",$J333,$K333)</f>
        <v>-72.81971237397677</v>
      </c>
      <c r="V333" s="2">
        <f>IF(R333="OVER",$J333,$K333)</f>
        <v>72.81971237397677</v>
      </c>
      <c r="W333" s="2">
        <f>IF(S333="OVER",$J333,$K333)</f>
        <v>72.81971237397677</v>
      </c>
      <c r="X333" s="2">
        <f>IF(T333="OVER",$J333,$K333)</f>
        <v>72.81971237397677</v>
      </c>
      <c r="Y333" s="9">
        <f t="shared" ref="Y333:AB396" si="47">Y332+U333</f>
        <v>-9345.8589626918474</v>
      </c>
      <c r="Z333" s="9">
        <f t="shared" si="47"/>
        <v>-8999.4744553760465</v>
      </c>
      <c r="AA333" s="9">
        <f t="shared" si="47"/>
        <v>19122.816549221279</v>
      </c>
      <c r="AB333" s="9">
        <f t="shared" si="47"/>
        <v>1980.1923014278536</v>
      </c>
    </row>
    <row r="334" spans="1:28" x14ac:dyDescent="0.3">
      <c r="A334" s="1">
        <v>44895</v>
      </c>
      <c r="B334" s="2">
        <v>66.64</v>
      </c>
      <c r="C334" s="2">
        <v>71.739999999999995</v>
      </c>
      <c r="D334" s="9">
        <f>B334-B333</f>
        <v>0.87999999999999545</v>
      </c>
      <c r="E334" s="9">
        <f>C334-C333</f>
        <v>1.0099999999999909</v>
      </c>
      <c r="F334" s="3">
        <f>F$1/B334</f>
        <v>1500.6002400960383</v>
      </c>
      <c r="G334" s="3">
        <f>F$1/C334</f>
        <v>1393.9224979091164</v>
      </c>
      <c r="H334" s="2">
        <f>D334*F333</f>
        <v>1338.199513381988</v>
      </c>
      <c r="I334" s="2">
        <f>E334*G333</f>
        <v>1427.9655026155674</v>
      </c>
      <c r="J334" s="2">
        <f>I334-H334</f>
        <v>89.765989233579376</v>
      </c>
      <c r="K334" s="2">
        <f t="shared" si="43"/>
        <v>-89.765989233579376</v>
      </c>
      <c r="L334" s="14">
        <f>C334/B334</f>
        <v>1.0765306122448979</v>
      </c>
      <c r="M334" s="14">
        <f t="shared" si="45"/>
        <v>1.0755750112738274</v>
      </c>
      <c r="N334" s="14">
        <f t="shared" si="41"/>
        <v>1.0773862427185465</v>
      </c>
      <c r="O334" s="14">
        <f t="shared" si="42"/>
        <v>1.0822905862985781</v>
      </c>
      <c r="P334" s="14">
        <f t="shared" si="44"/>
        <v>1.0801517586818841</v>
      </c>
      <c r="Q334" s="4" t="str">
        <f t="shared" ref="Q334:R397" si="48">IF($L333&gt;M333,"OVER","UNDER")</f>
        <v>UNDER</v>
      </c>
      <c r="R334" s="4" t="str">
        <f t="shared" si="48"/>
        <v>UNDER</v>
      </c>
      <c r="S334" s="4" t="str">
        <f t="shared" si="46"/>
        <v>UNDER</v>
      </c>
      <c r="T334" s="4" t="str">
        <f t="shared" si="46"/>
        <v>UNDER</v>
      </c>
      <c r="U334" s="2">
        <f>IF(Q334="OVER",$J334,$K334)</f>
        <v>-89.765989233579376</v>
      </c>
      <c r="V334" s="2">
        <f>IF(R334="OVER",$J334,$K334)</f>
        <v>-89.765989233579376</v>
      </c>
      <c r="W334" s="2">
        <f>IF(S334="OVER",$J334,$K334)</f>
        <v>-89.765989233579376</v>
      </c>
      <c r="X334" s="2">
        <f>IF(T334="OVER",$J334,$K334)</f>
        <v>-89.765989233579376</v>
      </c>
      <c r="Y334" s="9">
        <f t="shared" si="47"/>
        <v>-9435.624951925427</v>
      </c>
      <c r="Z334" s="9">
        <f t="shared" si="47"/>
        <v>-9089.2404446096261</v>
      </c>
      <c r="AA334" s="9">
        <f t="shared" si="47"/>
        <v>19033.0505599877</v>
      </c>
      <c r="AB334" s="9">
        <f t="shared" si="47"/>
        <v>1890.4263121942743</v>
      </c>
    </row>
    <row r="335" spans="1:28" x14ac:dyDescent="0.3">
      <c r="A335" s="1">
        <v>44896</v>
      </c>
      <c r="B335" s="2">
        <v>67.010000000000005</v>
      </c>
      <c r="C335" s="2">
        <v>72.05</v>
      </c>
      <c r="D335" s="9">
        <f>B335-B334</f>
        <v>0.37000000000000455</v>
      </c>
      <c r="E335" s="9">
        <f>C335-C334</f>
        <v>0.31000000000000227</v>
      </c>
      <c r="F335" s="3">
        <f>F$1/B335</f>
        <v>1492.3145799134456</v>
      </c>
      <c r="G335" s="3">
        <f>F$1/C335</f>
        <v>1387.9250520471894</v>
      </c>
      <c r="H335" s="2">
        <f>D335*F334</f>
        <v>555.22208883554094</v>
      </c>
      <c r="I335" s="2">
        <f>E335*G334</f>
        <v>432.11597435182927</v>
      </c>
      <c r="J335" s="2">
        <f>I335-H335</f>
        <v>-123.10611448371168</v>
      </c>
      <c r="K335" s="2">
        <f t="shared" si="43"/>
        <v>123.10611448371168</v>
      </c>
      <c r="L335" s="14">
        <f>C335/B335</f>
        <v>1.0752126548276375</v>
      </c>
      <c r="M335" s="14">
        <f t="shared" si="45"/>
        <v>1.0755642012848932</v>
      </c>
      <c r="N335" s="14">
        <f t="shared" si="41"/>
        <v>1.077128809738078</v>
      </c>
      <c r="O335" s="14">
        <f t="shared" si="42"/>
        <v>1.0821667201011562</v>
      </c>
      <c r="P335" s="14">
        <f t="shared" si="44"/>
        <v>1.0800649066843251</v>
      </c>
      <c r="Q335" s="4" t="str">
        <f t="shared" si="48"/>
        <v>OVER</v>
      </c>
      <c r="R335" s="4" t="str">
        <f t="shared" si="48"/>
        <v>UNDER</v>
      </c>
      <c r="S335" s="4" t="str">
        <f t="shared" si="46"/>
        <v>UNDER</v>
      </c>
      <c r="T335" s="4" t="str">
        <f t="shared" si="46"/>
        <v>UNDER</v>
      </c>
      <c r="U335" s="2">
        <f>IF(Q335="OVER",$J335,$K335)</f>
        <v>-123.10611448371168</v>
      </c>
      <c r="V335" s="2">
        <f>IF(R335="OVER",$J335,$K335)</f>
        <v>123.10611448371168</v>
      </c>
      <c r="W335" s="2">
        <f>IF(S335="OVER",$J335,$K335)</f>
        <v>123.10611448371168</v>
      </c>
      <c r="X335" s="2">
        <f>IF(T335="OVER",$J335,$K335)</f>
        <v>123.10611448371168</v>
      </c>
      <c r="Y335" s="9">
        <f t="shared" si="47"/>
        <v>-9558.7310664091383</v>
      </c>
      <c r="Z335" s="9">
        <f t="shared" si="47"/>
        <v>-8966.1343301259149</v>
      </c>
      <c r="AA335" s="9">
        <f t="shared" si="47"/>
        <v>19156.156674471411</v>
      </c>
      <c r="AB335" s="9">
        <f t="shared" si="47"/>
        <v>2013.532426677986</v>
      </c>
    </row>
    <row r="336" spans="1:28" x14ac:dyDescent="0.3">
      <c r="A336" s="1">
        <v>44897</v>
      </c>
      <c r="B336" s="2">
        <v>67</v>
      </c>
      <c r="C336" s="2">
        <v>72.069999999999993</v>
      </c>
      <c r="D336" s="9">
        <f>B336-B335</f>
        <v>-1.0000000000005116E-2</v>
      </c>
      <c r="E336" s="9">
        <f>C336-C335</f>
        <v>1.9999999999996021E-2</v>
      </c>
      <c r="F336" s="3">
        <f>F$1/B336</f>
        <v>1492.5373134328358</v>
      </c>
      <c r="G336" s="3">
        <f>F$1/C336</f>
        <v>1387.5398917718885</v>
      </c>
      <c r="H336" s="2">
        <f>D336*F335</f>
        <v>-14.923145799142091</v>
      </c>
      <c r="I336" s="2">
        <f>E336*G335</f>
        <v>27.758501040938267</v>
      </c>
      <c r="J336" s="2">
        <f>I336-H336</f>
        <v>42.681646840080361</v>
      </c>
      <c r="K336" s="2">
        <f t="shared" si="43"/>
        <v>-42.681646840080361</v>
      </c>
      <c r="L336" s="14">
        <f>C336/B336</f>
        <v>1.0756716417910446</v>
      </c>
      <c r="M336" s="14">
        <f t="shared" si="45"/>
        <v>1.0754261982907454</v>
      </c>
      <c r="N336" s="14">
        <f t="shared" si="41"/>
        <v>1.0768304399977897</v>
      </c>
      <c r="O336" s="14">
        <f t="shared" si="42"/>
        <v>1.0820268525051449</v>
      </c>
      <c r="P336" s="14">
        <f t="shared" si="44"/>
        <v>1.0799816171660077</v>
      </c>
      <c r="Q336" s="4" t="str">
        <f t="shared" si="48"/>
        <v>UNDER</v>
      </c>
      <c r="R336" s="4" t="str">
        <f t="shared" si="48"/>
        <v>UNDER</v>
      </c>
      <c r="S336" s="4" t="str">
        <f t="shared" si="46"/>
        <v>UNDER</v>
      </c>
      <c r="T336" s="4" t="str">
        <f t="shared" si="46"/>
        <v>UNDER</v>
      </c>
      <c r="U336" s="2">
        <f>IF(Q336="OVER",$J336,$K336)</f>
        <v>-42.681646840080361</v>
      </c>
      <c r="V336" s="2">
        <f>IF(R336="OVER",$J336,$K336)</f>
        <v>-42.681646840080361</v>
      </c>
      <c r="W336" s="2">
        <f>IF(S336="OVER",$J336,$K336)</f>
        <v>-42.681646840080361</v>
      </c>
      <c r="X336" s="2">
        <f>IF(T336="OVER",$J336,$K336)</f>
        <v>-42.681646840080361</v>
      </c>
      <c r="Y336" s="9">
        <f t="shared" si="47"/>
        <v>-9601.4127132492195</v>
      </c>
      <c r="Z336" s="9">
        <f t="shared" si="47"/>
        <v>-9008.815976965996</v>
      </c>
      <c r="AA336" s="9">
        <f t="shared" si="47"/>
        <v>19113.475027631332</v>
      </c>
      <c r="AB336" s="9">
        <f t="shared" si="47"/>
        <v>1970.8507798379055</v>
      </c>
    </row>
    <row r="337" spans="1:28" x14ac:dyDescent="0.3">
      <c r="A337" s="1">
        <v>44900</v>
      </c>
      <c r="B337" s="2">
        <v>66.33</v>
      </c>
      <c r="C337" s="2">
        <v>71.290000000000006</v>
      </c>
      <c r="D337" s="9">
        <f>B337-B336</f>
        <v>-0.67000000000000171</v>
      </c>
      <c r="E337" s="9">
        <f>C337-C336</f>
        <v>-0.77999999999998693</v>
      </c>
      <c r="F337" s="3">
        <f>F$1/B337</f>
        <v>1507.6134479119555</v>
      </c>
      <c r="G337" s="3">
        <f>F$1/C337</f>
        <v>1402.7212792818066</v>
      </c>
      <c r="H337" s="2">
        <f>D337*F336</f>
        <v>-1000.0000000000026</v>
      </c>
      <c r="I337" s="2">
        <f>E337*G336</f>
        <v>-1082.2811155820548</v>
      </c>
      <c r="J337" s="2">
        <f>I337-H337</f>
        <v>-82.281115582052166</v>
      </c>
      <c r="K337" s="2">
        <f t="shared" si="43"/>
        <v>82.281115582052166</v>
      </c>
      <c r="L337" s="14">
        <f>C337/B337</f>
        <v>1.0747776270164331</v>
      </c>
      <c r="M337" s="14">
        <f t="shared" si="45"/>
        <v>1.0752652826049987</v>
      </c>
      <c r="N337" s="14">
        <f t="shared" si="41"/>
        <v>1.076411090543441</v>
      </c>
      <c r="O337" s="14">
        <f t="shared" si="42"/>
        <v>1.0819578965018146</v>
      </c>
      <c r="P337" s="14">
        <f t="shared" si="44"/>
        <v>1.0798974950500715</v>
      </c>
      <c r="Q337" s="4" t="str">
        <f t="shared" si="48"/>
        <v>OVER</v>
      </c>
      <c r="R337" s="4" t="str">
        <f t="shared" si="48"/>
        <v>UNDER</v>
      </c>
      <c r="S337" s="4" t="str">
        <f t="shared" si="46"/>
        <v>UNDER</v>
      </c>
      <c r="T337" s="4" t="str">
        <f t="shared" si="46"/>
        <v>UNDER</v>
      </c>
      <c r="U337" s="2">
        <f>IF(Q337="OVER",$J337,$K337)</f>
        <v>-82.281115582052166</v>
      </c>
      <c r="V337" s="2">
        <f>IF(R337="OVER",$J337,$K337)</f>
        <v>82.281115582052166</v>
      </c>
      <c r="W337" s="2">
        <f>IF(S337="OVER",$J337,$K337)</f>
        <v>82.281115582052166</v>
      </c>
      <c r="X337" s="2">
        <f>IF(T337="OVER",$J337,$K337)</f>
        <v>82.281115582052166</v>
      </c>
      <c r="Y337" s="9">
        <f t="shared" si="47"/>
        <v>-9683.6938288312722</v>
      </c>
      <c r="Z337" s="9">
        <f t="shared" si="47"/>
        <v>-8926.5348613839433</v>
      </c>
      <c r="AA337" s="9">
        <f t="shared" si="47"/>
        <v>19195.756143213384</v>
      </c>
      <c r="AB337" s="9">
        <f t="shared" si="47"/>
        <v>2053.1318954199578</v>
      </c>
    </row>
    <row r="338" spans="1:28" x14ac:dyDescent="0.3">
      <c r="A338" s="1">
        <v>44901</v>
      </c>
      <c r="B338" s="2">
        <v>65.760000000000005</v>
      </c>
      <c r="C338" s="2">
        <v>70.84</v>
      </c>
      <c r="D338" s="9">
        <f>B338-B337</f>
        <v>-0.56999999999999318</v>
      </c>
      <c r="E338" s="9">
        <f>C338-C337</f>
        <v>-0.45000000000000284</v>
      </c>
      <c r="F338" s="3">
        <f>F$1/B338</f>
        <v>1520.6812652068124</v>
      </c>
      <c r="G338" s="3">
        <f>F$1/C338</f>
        <v>1411.6318464144551</v>
      </c>
      <c r="H338" s="2">
        <f>D338*F337</f>
        <v>-859.33966530980433</v>
      </c>
      <c r="I338" s="2">
        <f>E338*G337</f>
        <v>-631.22457567681693</v>
      </c>
      <c r="J338" s="2">
        <f>I338-H338</f>
        <v>228.11508963298741</v>
      </c>
      <c r="K338" s="2">
        <f t="shared" si="43"/>
        <v>-228.11508963298741</v>
      </c>
      <c r="L338" s="14">
        <f>C338/B338</f>
        <v>1.077250608272506</v>
      </c>
      <c r="M338" s="14">
        <f t="shared" si="45"/>
        <v>1.0757007375883898</v>
      </c>
      <c r="N338" s="14">
        <f t="shared" si="41"/>
        <v>1.076130919262678</v>
      </c>
      <c r="O338" s="14">
        <f t="shared" si="42"/>
        <v>1.0818908179871642</v>
      </c>
      <c r="P338" s="14">
        <f t="shared" si="44"/>
        <v>1.0798434297890465</v>
      </c>
      <c r="Q338" s="4" t="str">
        <f t="shared" si="48"/>
        <v>UNDER</v>
      </c>
      <c r="R338" s="4" t="str">
        <f t="shared" si="48"/>
        <v>UNDER</v>
      </c>
      <c r="S338" s="4" t="str">
        <f t="shared" si="46"/>
        <v>UNDER</v>
      </c>
      <c r="T338" s="4" t="str">
        <f t="shared" si="46"/>
        <v>UNDER</v>
      </c>
      <c r="U338" s="2">
        <f>IF(Q338="OVER",$J338,$K338)</f>
        <v>-228.11508963298741</v>
      </c>
      <c r="V338" s="2">
        <f>IF(R338="OVER",$J338,$K338)</f>
        <v>-228.11508963298741</v>
      </c>
      <c r="W338" s="2">
        <f>IF(S338="OVER",$J338,$K338)</f>
        <v>-228.11508963298741</v>
      </c>
      <c r="X338" s="2">
        <f>IF(T338="OVER",$J338,$K338)</f>
        <v>-228.11508963298741</v>
      </c>
      <c r="Y338" s="9">
        <f t="shared" si="47"/>
        <v>-9911.8089184642595</v>
      </c>
      <c r="Z338" s="9">
        <f t="shared" si="47"/>
        <v>-9154.6499510169306</v>
      </c>
      <c r="AA338" s="9">
        <f t="shared" si="47"/>
        <v>18967.641053580395</v>
      </c>
      <c r="AB338" s="9">
        <f t="shared" si="47"/>
        <v>1825.0168057869705</v>
      </c>
    </row>
    <row r="339" spans="1:28" x14ac:dyDescent="0.3">
      <c r="A339" s="1">
        <v>44902</v>
      </c>
      <c r="B339" s="2">
        <v>65.73</v>
      </c>
      <c r="C339" s="2">
        <v>70.91</v>
      </c>
      <c r="D339" s="9">
        <f>B339-B338</f>
        <v>-3.0000000000001137E-2</v>
      </c>
      <c r="E339" s="9">
        <f>C339-C338</f>
        <v>6.9999999999993179E-2</v>
      </c>
      <c r="F339" s="3">
        <f>F$1/B339</f>
        <v>1521.3753232922561</v>
      </c>
      <c r="G339" s="3">
        <f>F$1/C339</f>
        <v>1410.2383302778171</v>
      </c>
      <c r="H339" s="2">
        <f>D339*F338</f>
        <v>-45.620437956206104</v>
      </c>
      <c r="I339" s="2">
        <f>E339*G338</f>
        <v>98.814229249002224</v>
      </c>
      <c r="J339" s="2">
        <f>I339-H339</f>
        <v>144.43466720520831</v>
      </c>
      <c r="K339" s="2">
        <f t="shared" si="43"/>
        <v>-144.43466720520831</v>
      </c>
      <c r="L339" s="14">
        <f>C339/B339</f>
        <v>1.0788072417465389</v>
      </c>
      <c r="M339" s="14">
        <f t="shared" si="45"/>
        <v>1.0761398127785029</v>
      </c>
      <c r="N339" s="14">
        <f t="shared" si="41"/>
        <v>1.0760833612632774</v>
      </c>
      <c r="O339" s="14">
        <f t="shared" si="42"/>
        <v>1.0817292011347031</v>
      </c>
      <c r="P339" s="14">
        <f t="shared" si="44"/>
        <v>1.0798161026054016</v>
      </c>
      <c r="Q339" s="4" t="str">
        <f t="shared" si="48"/>
        <v>OVER</v>
      </c>
      <c r="R339" s="4" t="str">
        <f t="shared" si="48"/>
        <v>OVER</v>
      </c>
      <c r="S339" s="4" t="str">
        <f t="shared" si="46"/>
        <v>UNDER</v>
      </c>
      <c r="T339" s="4" t="str">
        <f t="shared" si="46"/>
        <v>UNDER</v>
      </c>
      <c r="U339" s="2">
        <f>IF(Q339="OVER",$J339,$K339)</f>
        <v>144.43466720520831</v>
      </c>
      <c r="V339" s="2">
        <f>IF(R339="OVER",$J339,$K339)</f>
        <v>144.43466720520831</v>
      </c>
      <c r="W339" s="2">
        <f>IF(S339="OVER",$J339,$K339)</f>
        <v>-144.43466720520831</v>
      </c>
      <c r="X339" s="2">
        <f>IF(T339="OVER",$J339,$K339)</f>
        <v>-144.43466720520831</v>
      </c>
      <c r="Y339" s="9">
        <f t="shared" si="47"/>
        <v>-9767.3742512590507</v>
      </c>
      <c r="Z339" s="9">
        <f t="shared" si="47"/>
        <v>-9010.2152838117217</v>
      </c>
      <c r="AA339" s="9">
        <f t="shared" si="47"/>
        <v>18823.206386375186</v>
      </c>
      <c r="AB339" s="9">
        <f t="shared" si="47"/>
        <v>1680.5821385817621</v>
      </c>
    </row>
    <row r="340" spans="1:28" x14ac:dyDescent="0.3">
      <c r="A340" s="1">
        <v>44903</v>
      </c>
      <c r="B340" s="2">
        <v>66.08</v>
      </c>
      <c r="C340" s="2">
        <v>71.099999999999994</v>
      </c>
      <c r="D340" s="9">
        <f>B340-B339</f>
        <v>0.34999999999999432</v>
      </c>
      <c r="E340" s="9">
        <f>C340-C339</f>
        <v>0.18999999999999773</v>
      </c>
      <c r="F340" s="3">
        <f>F$1/B340</f>
        <v>1513.3171912832929</v>
      </c>
      <c r="G340" s="3">
        <f>F$1/C340</f>
        <v>1406.4697609001407</v>
      </c>
      <c r="H340" s="2">
        <f>D340*F339</f>
        <v>532.48136315228101</v>
      </c>
      <c r="I340" s="2">
        <f>E340*G339</f>
        <v>267.94528275278202</v>
      </c>
      <c r="J340" s="2">
        <f>I340-H340</f>
        <v>-264.53608039949899</v>
      </c>
      <c r="K340" s="2">
        <f t="shared" si="43"/>
        <v>264.53608039949899</v>
      </c>
      <c r="L340" s="14">
        <f>C340/B340</f>
        <v>1.0759685230024212</v>
      </c>
      <c r="M340" s="14">
        <f t="shared" si="45"/>
        <v>1.0761233720273853</v>
      </c>
      <c r="N340" s="14">
        <f t="shared" si="41"/>
        <v>1.076073684398323</v>
      </c>
      <c r="O340" s="14">
        <f t="shared" si="42"/>
        <v>1.0815547099008898</v>
      </c>
      <c r="P340" s="14">
        <f t="shared" si="44"/>
        <v>1.0797777510588384</v>
      </c>
      <c r="Q340" s="4" t="str">
        <f t="shared" si="48"/>
        <v>OVER</v>
      </c>
      <c r="R340" s="4" t="str">
        <f t="shared" si="48"/>
        <v>OVER</v>
      </c>
      <c r="S340" s="4" t="str">
        <f t="shared" si="46"/>
        <v>UNDER</v>
      </c>
      <c r="T340" s="4" t="str">
        <f t="shared" si="46"/>
        <v>UNDER</v>
      </c>
      <c r="U340" s="2">
        <f>IF(Q340="OVER",$J340,$K340)</f>
        <v>-264.53608039949899</v>
      </c>
      <c r="V340" s="2">
        <f>IF(R340="OVER",$J340,$K340)</f>
        <v>-264.53608039949899</v>
      </c>
      <c r="W340" s="2">
        <f>IF(S340="OVER",$J340,$K340)</f>
        <v>264.53608039949899</v>
      </c>
      <c r="X340" s="2">
        <f>IF(T340="OVER",$J340,$K340)</f>
        <v>264.53608039949899</v>
      </c>
      <c r="Y340" s="9">
        <f t="shared" si="47"/>
        <v>-10031.91033165855</v>
      </c>
      <c r="Z340" s="9">
        <f t="shared" si="47"/>
        <v>-9274.7513642112208</v>
      </c>
      <c r="AA340" s="9">
        <f t="shared" si="47"/>
        <v>19087.742466774685</v>
      </c>
      <c r="AB340" s="9">
        <f t="shared" si="47"/>
        <v>1945.1182189812612</v>
      </c>
    </row>
    <row r="341" spans="1:28" x14ac:dyDescent="0.3">
      <c r="A341" s="1">
        <v>44904</v>
      </c>
      <c r="B341" s="2">
        <v>65.77</v>
      </c>
      <c r="C341" s="2">
        <v>70.81</v>
      </c>
      <c r="D341" s="9">
        <f>B341-B340</f>
        <v>-0.31000000000000227</v>
      </c>
      <c r="E341" s="9">
        <f>C341-C340</f>
        <v>-0.28999999999999204</v>
      </c>
      <c r="F341" s="3">
        <f>F$1/B341</f>
        <v>1520.450053215752</v>
      </c>
      <c r="G341" s="3">
        <f>F$1/C341</f>
        <v>1412.2299110295155</v>
      </c>
      <c r="H341" s="2">
        <f>D341*F340</f>
        <v>-469.12832929782422</v>
      </c>
      <c r="I341" s="2">
        <f>E341*G340</f>
        <v>-407.87623066102964</v>
      </c>
      <c r="J341" s="2">
        <f>I341-H341</f>
        <v>61.252098636794585</v>
      </c>
      <c r="K341" s="2">
        <f t="shared" si="43"/>
        <v>-61.252098636794585</v>
      </c>
      <c r="L341" s="14">
        <f>C341/B341</f>
        <v>1.076630682682074</v>
      </c>
      <c r="M341" s="14">
        <f t="shared" si="45"/>
        <v>1.076278887425502</v>
      </c>
      <c r="N341" s="14">
        <f t="shared" si="41"/>
        <v>1.0759923074483828</v>
      </c>
      <c r="O341" s="14">
        <f t="shared" si="42"/>
        <v>1.081292008352519</v>
      </c>
      <c r="P341" s="14">
        <f t="shared" si="44"/>
        <v>1.079725918504054</v>
      </c>
      <c r="Q341" s="4" t="str">
        <f t="shared" si="48"/>
        <v>UNDER</v>
      </c>
      <c r="R341" s="4" t="str">
        <f t="shared" si="48"/>
        <v>UNDER</v>
      </c>
      <c r="S341" s="4" t="str">
        <f t="shared" si="46"/>
        <v>UNDER</v>
      </c>
      <c r="T341" s="4" t="str">
        <f t="shared" si="46"/>
        <v>UNDER</v>
      </c>
      <c r="U341" s="2">
        <f>IF(Q341="OVER",$J341,$K341)</f>
        <v>-61.252098636794585</v>
      </c>
      <c r="V341" s="2">
        <f>IF(R341="OVER",$J341,$K341)</f>
        <v>-61.252098636794585</v>
      </c>
      <c r="W341" s="2">
        <f>IF(S341="OVER",$J341,$K341)</f>
        <v>-61.252098636794585</v>
      </c>
      <c r="X341" s="2">
        <f>IF(T341="OVER",$J341,$K341)</f>
        <v>-61.252098636794585</v>
      </c>
      <c r="Y341" s="9">
        <f t="shared" si="47"/>
        <v>-10093.162430295344</v>
      </c>
      <c r="Z341" s="9">
        <f t="shared" si="47"/>
        <v>-9336.0034628480153</v>
      </c>
      <c r="AA341" s="9">
        <f t="shared" si="47"/>
        <v>19026.490368137889</v>
      </c>
      <c r="AB341" s="9">
        <f t="shared" si="47"/>
        <v>1883.8661203444667</v>
      </c>
    </row>
    <row r="342" spans="1:28" x14ac:dyDescent="0.3">
      <c r="A342" s="1">
        <v>44907</v>
      </c>
      <c r="B342" s="2">
        <v>66.19</v>
      </c>
      <c r="C342" s="2">
        <v>71.25</v>
      </c>
      <c r="D342" s="9">
        <f>B342-B341</f>
        <v>0.42000000000000171</v>
      </c>
      <c r="E342" s="9">
        <f>C342-C341</f>
        <v>0.43999999999999773</v>
      </c>
      <c r="F342" s="3">
        <f>F$1/B342</f>
        <v>1510.8022359873094</v>
      </c>
      <c r="G342" s="3">
        <f>F$1/C342</f>
        <v>1403.5087719298247</v>
      </c>
      <c r="H342" s="2">
        <f>D342*F341</f>
        <v>638.58902235061839</v>
      </c>
      <c r="I342" s="2">
        <f>E342*G341</f>
        <v>621.38116085298361</v>
      </c>
      <c r="J342" s="2">
        <f>I342-H342</f>
        <v>-17.207861497634781</v>
      </c>
      <c r="K342" s="2">
        <f t="shared" si="43"/>
        <v>17.207861497634781</v>
      </c>
      <c r="L342" s="14">
        <f>C342/B342</f>
        <v>1.0764465931409579</v>
      </c>
      <c r="M342" s="14">
        <f t="shared" si="45"/>
        <v>1.0762874043605288</v>
      </c>
      <c r="N342" s="14">
        <f t="shared" si="41"/>
        <v>1.0760770955771917</v>
      </c>
      <c r="O342" s="14">
        <f t="shared" si="42"/>
        <v>1.0810515879246589</v>
      </c>
      <c r="P342" s="14">
        <f t="shared" si="44"/>
        <v>1.0796965180663975</v>
      </c>
      <c r="Q342" s="4" t="str">
        <f t="shared" si="48"/>
        <v>OVER</v>
      </c>
      <c r="R342" s="4" t="str">
        <f t="shared" si="48"/>
        <v>OVER</v>
      </c>
      <c r="S342" s="4" t="str">
        <f t="shared" si="46"/>
        <v>UNDER</v>
      </c>
      <c r="T342" s="4" t="str">
        <f t="shared" si="46"/>
        <v>UNDER</v>
      </c>
      <c r="U342" s="2">
        <f>IF(Q342="OVER",$J342,$K342)</f>
        <v>-17.207861497634781</v>
      </c>
      <c r="V342" s="2">
        <f>IF(R342="OVER",$J342,$K342)</f>
        <v>-17.207861497634781</v>
      </c>
      <c r="W342" s="2">
        <f>IF(S342="OVER",$J342,$K342)</f>
        <v>17.207861497634781</v>
      </c>
      <c r="X342" s="2">
        <f>IF(T342="OVER",$J342,$K342)</f>
        <v>17.207861497634781</v>
      </c>
      <c r="Y342" s="9">
        <f t="shared" si="47"/>
        <v>-10110.370291792979</v>
      </c>
      <c r="Z342" s="9">
        <f t="shared" si="47"/>
        <v>-9353.2113243456497</v>
      </c>
      <c r="AA342" s="9">
        <f t="shared" si="47"/>
        <v>19043.698229635524</v>
      </c>
      <c r="AB342" s="9">
        <f t="shared" si="47"/>
        <v>1901.0739818421016</v>
      </c>
    </row>
    <row r="343" spans="1:28" x14ac:dyDescent="0.3">
      <c r="A343" s="1">
        <v>44908</v>
      </c>
      <c r="B343" s="2">
        <v>66.59</v>
      </c>
      <c r="C343" s="2">
        <v>71.94</v>
      </c>
      <c r="D343" s="9">
        <f>B343-B342</f>
        <v>0.40000000000000568</v>
      </c>
      <c r="E343" s="9">
        <f>C343-C342</f>
        <v>0.68999999999999773</v>
      </c>
      <c r="F343" s="3">
        <f>F$1/B343</f>
        <v>1501.7269860339391</v>
      </c>
      <c r="G343" s="3">
        <f>F$1/C343</f>
        <v>1390.0472616068946</v>
      </c>
      <c r="H343" s="2">
        <f>D343*F342</f>
        <v>604.32089439493234</v>
      </c>
      <c r="I343" s="2">
        <f>E343*G342</f>
        <v>968.42105263157578</v>
      </c>
      <c r="J343" s="2">
        <f>I343-H343</f>
        <v>364.10015823664344</v>
      </c>
      <c r="K343" s="2">
        <f t="shared" si="43"/>
        <v>-364.10015823664344</v>
      </c>
      <c r="L343" s="14">
        <f>C343/B343</f>
        <v>1.0803423937528156</v>
      </c>
      <c r="M343" s="14">
        <f t="shared" si="45"/>
        <v>1.0767638578477325</v>
      </c>
      <c r="N343" s="14">
        <f t="shared" ref="N343:N406" si="49">AVERAGE(L324:L343)</f>
        <v>1.0762305443979732</v>
      </c>
      <c r="O343" s="14">
        <f t="shared" si="42"/>
        <v>1.0809247282849039</v>
      </c>
      <c r="P343" s="14">
        <f t="shared" si="44"/>
        <v>1.0796265567808798</v>
      </c>
      <c r="Q343" s="4" t="str">
        <f t="shared" si="48"/>
        <v>OVER</v>
      </c>
      <c r="R343" s="4" t="str">
        <f t="shared" si="48"/>
        <v>OVER</v>
      </c>
      <c r="S343" s="4" t="str">
        <f t="shared" si="46"/>
        <v>UNDER</v>
      </c>
      <c r="T343" s="4" t="str">
        <f t="shared" si="46"/>
        <v>OVER</v>
      </c>
      <c r="U343" s="2">
        <f>IF(Q343="OVER",$J343,$K343)</f>
        <v>364.10015823664344</v>
      </c>
      <c r="V343" s="2">
        <f>IF(R343="OVER",$J343,$K343)</f>
        <v>364.10015823664344</v>
      </c>
      <c r="W343" s="2">
        <f>IF(S343="OVER",$J343,$K343)</f>
        <v>-364.10015823664344</v>
      </c>
      <c r="X343" s="2">
        <f>IF(T343="OVER",$J343,$K343)</f>
        <v>364.10015823664344</v>
      </c>
      <c r="Y343" s="9">
        <f t="shared" si="47"/>
        <v>-9746.2701335563361</v>
      </c>
      <c r="Z343" s="9">
        <f t="shared" si="47"/>
        <v>-8989.1111661090072</v>
      </c>
      <c r="AA343" s="9">
        <f t="shared" si="47"/>
        <v>18679.598071398879</v>
      </c>
      <c r="AB343" s="9">
        <f t="shared" si="47"/>
        <v>2265.174140078745</v>
      </c>
    </row>
    <row r="344" spans="1:28" x14ac:dyDescent="0.3">
      <c r="A344" s="1">
        <v>44909</v>
      </c>
      <c r="B344" s="2">
        <v>66.53</v>
      </c>
      <c r="C344" s="2">
        <v>71.73</v>
      </c>
      <c r="D344" s="9">
        <f>B344-B343</f>
        <v>-6.0000000000002274E-2</v>
      </c>
      <c r="E344" s="9">
        <f>C344-C343</f>
        <v>-0.20999999999999375</v>
      </c>
      <c r="F344" s="3">
        <f>F$1/B344</f>
        <v>1503.0813166992334</v>
      </c>
      <c r="G344" s="3">
        <f>F$1/C344</f>
        <v>1394.1168269901018</v>
      </c>
      <c r="H344" s="2">
        <f>D344*F343</f>
        <v>-90.103619162039763</v>
      </c>
      <c r="I344" s="2">
        <f>E344*G343</f>
        <v>-291.9099249374392</v>
      </c>
      <c r="J344" s="2">
        <f>I344-H344</f>
        <v>-201.80630577539944</v>
      </c>
      <c r="K344" s="2">
        <f t="shared" si="43"/>
        <v>201.80630577539944</v>
      </c>
      <c r="L344" s="14">
        <f>C344/B344</f>
        <v>1.0781602284683602</v>
      </c>
      <c r="M344" s="14">
        <f t="shared" si="45"/>
        <v>1.076926819470079</v>
      </c>
      <c r="N344" s="14">
        <f t="shared" si="49"/>
        <v>1.0762509153719528</v>
      </c>
      <c r="O344" s="14">
        <f t="shared" si="42"/>
        <v>1.0807870352428304</v>
      </c>
      <c r="P344" s="14">
        <f t="shared" si="44"/>
        <v>1.0795649769708404</v>
      </c>
      <c r="Q344" s="4" t="str">
        <f t="shared" si="48"/>
        <v>OVER</v>
      </c>
      <c r="R344" s="4" t="str">
        <f t="shared" si="48"/>
        <v>OVER</v>
      </c>
      <c r="S344" s="4" t="str">
        <f t="shared" si="46"/>
        <v>UNDER</v>
      </c>
      <c r="T344" s="4" t="str">
        <f t="shared" si="46"/>
        <v>UNDER</v>
      </c>
      <c r="U344" s="2">
        <f>IF(Q344="OVER",$J344,$K344)</f>
        <v>-201.80630577539944</v>
      </c>
      <c r="V344" s="2">
        <f>IF(R344="OVER",$J344,$K344)</f>
        <v>-201.80630577539944</v>
      </c>
      <c r="W344" s="2">
        <f>IF(S344="OVER",$J344,$K344)</f>
        <v>201.80630577539944</v>
      </c>
      <c r="X344" s="2">
        <f>IF(T344="OVER",$J344,$K344)</f>
        <v>201.80630577539944</v>
      </c>
      <c r="Y344" s="9">
        <f t="shared" si="47"/>
        <v>-9948.0764393317349</v>
      </c>
      <c r="Z344" s="9">
        <f t="shared" si="47"/>
        <v>-9190.917471884406</v>
      </c>
      <c r="AA344" s="9">
        <f t="shared" si="47"/>
        <v>18881.40437717428</v>
      </c>
      <c r="AB344" s="9">
        <f t="shared" si="47"/>
        <v>2466.9804458541444</v>
      </c>
    </row>
    <row r="345" spans="1:28" x14ac:dyDescent="0.3">
      <c r="A345" s="1">
        <v>44910</v>
      </c>
      <c r="B345" s="2">
        <v>65.45</v>
      </c>
      <c r="C345" s="2">
        <v>70.510000000000005</v>
      </c>
      <c r="D345" s="9">
        <f>B345-B344</f>
        <v>-1.0799999999999983</v>
      </c>
      <c r="E345" s="9">
        <f>C345-C344</f>
        <v>-1.2199999999999989</v>
      </c>
      <c r="F345" s="3">
        <f>F$1/B345</f>
        <v>1527.8838808250573</v>
      </c>
      <c r="G345" s="3">
        <f>F$1/C345</f>
        <v>1418.2385477237269</v>
      </c>
      <c r="H345" s="2">
        <f>D345*F344</f>
        <v>-1623.3278220351694</v>
      </c>
      <c r="I345" s="2">
        <f>E345*G344</f>
        <v>-1700.8225289279226</v>
      </c>
      <c r="J345" s="2">
        <f>I345-H345</f>
        <v>-77.494706892753129</v>
      </c>
      <c r="K345" s="2">
        <f t="shared" si="43"/>
        <v>77.494706892753129</v>
      </c>
      <c r="L345" s="14">
        <f>C345/B345</f>
        <v>1.0773109243697478</v>
      </c>
      <c r="M345" s="14">
        <f t="shared" si="45"/>
        <v>1.07713664642429</v>
      </c>
      <c r="N345" s="14">
        <f t="shared" si="49"/>
        <v>1.0763504238545913</v>
      </c>
      <c r="O345" s="14">
        <f t="shared" si="42"/>
        <v>1.0806401964829662</v>
      </c>
      <c r="P345" s="14">
        <f t="shared" si="44"/>
        <v>1.0794964488503724</v>
      </c>
      <c r="Q345" s="4" t="str">
        <f t="shared" si="48"/>
        <v>OVER</v>
      </c>
      <c r="R345" s="4" t="str">
        <f t="shared" si="48"/>
        <v>OVER</v>
      </c>
      <c r="S345" s="4" t="str">
        <f t="shared" si="46"/>
        <v>UNDER</v>
      </c>
      <c r="T345" s="4" t="str">
        <f t="shared" si="46"/>
        <v>UNDER</v>
      </c>
      <c r="U345" s="2">
        <f>IF(Q345="OVER",$J345,$K345)</f>
        <v>-77.494706892753129</v>
      </c>
      <c r="V345" s="2">
        <f>IF(R345="OVER",$J345,$K345)</f>
        <v>-77.494706892753129</v>
      </c>
      <c r="W345" s="2">
        <f>IF(S345="OVER",$J345,$K345)</f>
        <v>77.494706892753129</v>
      </c>
      <c r="X345" s="2">
        <f>IF(T345="OVER",$J345,$K345)</f>
        <v>77.494706892753129</v>
      </c>
      <c r="Y345" s="9">
        <f t="shared" si="47"/>
        <v>-10025.571146224487</v>
      </c>
      <c r="Z345" s="9">
        <f t="shared" si="47"/>
        <v>-9268.4121787771583</v>
      </c>
      <c r="AA345" s="9">
        <f t="shared" si="47"/>
        <v>18958.899084067034</v>
      </c>
      <c r="AB345" s="9">
        <f t="shared" si="47"/>
        <v>2544.4751527468975</v>
      </c>
    </row>
    <row r="346" spans="1:28" x14ac:dyDescent="0.3">
      <c r="A346" s="1">
        <v>44911</v>
      </c>
      <c r="B346" s="2">
        <v>65.290000000000006</v>
      </c>
      <c r="C346" s="2">
        <v>70.31</v>
      </c>
      <c r="D346" s="9">
        <f>B346-B345</f>
        <v>-0.15999999999999659</v>
      </c>
      <c r="E346" s="9">
        <f>C346-C345</f>
        <v>-0.20000000000000284</v>
      </c>
      <c r="F346" s="3">
        <f>F$1/B346</f>
        <v>1531.6281206922959</v>
      </c>
      <c r="G346" s="3">
        <f>F$1/C346</f>
        <v>1422.2727919214906</v>
      </c>
      <c r="H346" s="2">
        <f>D346*F345</f>
        <v>-244.46142093200396</v>
      </c>
      <c r="I346" s="2">
        <f>E346*G345</f>
        <v>-283.64770954474943</v>
      </c>
      <c r="J346" s="2">
        <f>I346-H346</f>
        <v>-39.186288612745471</v>
      </c>
      <c r="K346" s="2">
        <f t="shared" si="43"/>
        <v>39.186288612745471</v>
      </c>
      <c r="L346" s="14">
        <f>C346/B346</f>
        <v>1.0768877316587533</v>
      </c>
      <c r="M346" s="14">
        <f t="shared" si="45"/>
        <v>1.077258255411061</v>
      </c>
      <c r="N346" s="14">
        <f t="shared" si="49"/>
        <v>1.0763422268509031</v>
      </c>
      <c r="O346" s="14">
        <f t="shared" si="42"/>
        <v>1.0804450441571034</v>
      </c>
      <c r="P346" s="14">
        <f t="shared" si="44"/>
        <v>1.0794329777541873</v>
      </c>
      <c r="Q346" s="4" t="str">
        <f t="shared" si="48"/>
        <v>OVER</v>
      </c>
      <c r="R346" s="4" t="str">
        <f t="shared" si="48"/>
        <v>OVER</v>
      </c>
      <c r="S346" s="4" t="str">
        <f t="shared" si="46"/>
        <v>UNDER</v>
      </c>
      <c r="T346" s="4" t="str">
        <f t="shared" si="46"/>
        <v>UNDER</v>
      </c>
      <c r="U346" s="2">
        <f>IF(Q346="OVER",$J346,$K346)</f>
        <v>-39.186288612745471</v>
      </c>
      <c r="V346" s="2">
        <f>IF(R346="OVER",$J346,$K346)</f>
        <v>-39.186288612745471</v>
      </c>
      <c r="W346" s="2">
        <f>IF(S346="OVER",$J346,$K346)</f>
        <v>39.186288612745471</v>
      </c>
      <c r="X346" s="2">
        <f>IF(T346="OVER",$J346,$K346)</f>
        <v>39.186288612745471</v>
      </c>
      <c r="Y346" s="9">
        <f t="shared" si="47"/>
        <v>-10064.757434837233</v>
      </c>
      <c r="Z346" s="9">
        <f t="shared" si="47"/>
        <v>-9307.5984673899038</v>
      </c>
      <c r="AA346" s="9">
        <f t="shared" si="47"/>
        <v>18998.08537267978</v>
      </c>
      <c r="AB346" s="9">
        <f t="shared" si="47"/>
        <v>2583.661441359643</v>
      </c>
    </row>
    <row r="347" spans="1:28" x14ac:dyDescent="0.3">
      <c r="A347" s="1">
        <v>44914</v>
      </c>
      <c r="B347" s="2">
        <v>64.55</v>
      </c>
      <c r="C347" s="2">
        <v>69.88</v>
      </c>
      <c r="D347" s="9">
        <f>B347-B346</f>
        <v>-0.74000000000000909</v>
      </c>
      <c r="E347" s="9">
        <f>C347-C346</f>
        <v>-0.43000000000000682</v>
      </c>
      <c r="F347" s="3">
        <f>F$1/B347</f>
        <v>1549.186676994578</v>
      </c>
      <c r="G347" s="3">
        <f>F$1/C347</f>
        <v>1431.0246136233545</v>
      </c>
      <c r="H347" s="2">
        <f>D347*F346</f>
        <v>-1133.4048093123129</v>
      </c>
      <c r="I347" s="2">
        <f>E347*G346</f>
        <v>-611.57730052625061</v>
      </c>
      <c r="J347" s="2">
        <f>I347-H347</f>
        <v>521.82750878606225</v>
      </c>
      <c r="K347" s="2">
        <f t="shared" si="43"/>
        <v>-521.82750878606225</v>
      </c>
      <c r="L347" s="14">
        <f>C347/B347</f>
        <v>1.0825716498838109</v>
      </c>
      <c r="M347" s="14">
        <f t="shared" si="45"/>
        <v>1.0780376576977986</v>
      </c>
      <c r="N347" s="14">
        <f t="shared" si="49"/>
        <v>1.0766514701513985</v>
      </c>
      <c r="O347" s="14">
        <f t="shared" si="42"/>
        <v>1.080366330662875</v>
      </c>
      <c r="P347" s="14">
        <f t="shared" si="44"/>
        <v>1.0794158225446564</v>
      </c>
      <c r="Q347" s="4" t="str">
        <f t="shared" si="48"/>
        <v>UNDER</v>
      </c>
      <c r="R347" s="4" t="str">
        <f t="shared" si="48"/>
        <v>OVER</v>
      </c>
      <c r="S347" s="4" t="str">
        <f t="shared" si="46"/>
        <v>OVER</v>
      </c>
      <c r="T347" s="4" t="str">
        <f t="shared" si="46"/>
        <v>OVER</v>
      </c>
      <c r="U347" s="2">
        <f>IF(Q347="OVER",$J347,$K347)</f>
        <v>-521.82750878606225</v>
      </c>
      <c r="V347" s="2">
        <f>IF(R347="OVER",$J347,$K347)</f>
        <v>521.82750878606225</v>
      </c>
      <c r="W347" s="2">
        <f>IF(S347="OVER",$J347,$K347)</f>
        <v>521.82750878606225</v>
      </c>
      <c r="X347" s="2">
        <f>IF(T347="OVER",$J347,$K347)</f>
        <v>521.82750878606225</v>
      </c>
      <c r="Y347" s="9">
        <f t="shared" si="47"/>
        <v>-10586.584943623295</v>
      </c>
      <c r="Z347" s="9">
        <f t="shared" si="47"/>
        <v>-8785.7709586038418</v>
      </c>
      <c r="AA347" s="9">
        <f t="shared" si="47"/>
        <v>19519.912881465843</v>
      </c>
      <c r="AB347" s="9">
        <f t="shared" si="47"/>
        <v>3105.4889501457055</v>
      </c>
    </row>
    <row r="348" spans="1:28" x14ac:dyDescent="0.3">
      <c r="A348" s="1">
        <v>44915</v>
      </c>
      <c r="B348" s="2">
        <v>64.64</v>
      </c>
      <c r="C348" s="2">
        <v>69.8</v>
      </c>
      <c r="D348" s="9">
        <f>B348-B347</f>
        <v>9.0000000000003411E-2</v>
      </c>
      <c r="E348" s="9">
        <f>C348-C347</f>
        <v>-7.9999999999998295E-2</v>
      </c>
      <c r="F348" s="3">
        <f>F$1/B348</f>
        <v>1547.029702970297</v>
      </c>
      <c r="G348" s="3">
        <f>F$1/C348</f>
        <v>1432.6647564469915</v>
      </c>
      <c r="H348" s="2">
        <f>D348*F347</f>
        <v>139.4268009295173</v>
      </c>
      <c r="I348" s="2">
        <f>E348*G347</f>
        <v>-114.48196908986593</v>
      </c>
      <c r="J348" s="2">
        <f>I348-H348</f>
        <v>-253.90877001938321</v>
      </c>
      <c r="K348" s="2">
        <f t="shared" si="43"/>
        <v>253.90877001938321</v>
      </c>
      <c r="L348" s="14">
        <f>C348/B348</f>
        <v>1.0798267326732673</v>
      </c>
      <c r="M348" s="14">
        <f t="shared" si="45"/>
        <v>1.0782952701378745</v>
      </c>
      <c r="N348" s="14">
        <f t="shared" si="49"/>
        <v>1.0769980038631322</v>
      </c>
      <c r="O348" s="14">
        <f t="shared" si="42"/>
        <v>1.0802192755727507</v>
      </c>
      <c r="P348" s="14">
        <f t="shared" si="44"/>
        <v>1.0794051539015976</v>
      </c>
      <c r="Q348" s="4" t="str">
        <f t="shared" si="48"/>
        <v>OVER</v>
      </c>
      <c r="R348" s="4" t="str">
        <f t="shared" si="48"/>
        <v>OVER</v>
      </c>
      <c r="S348" s="4" t="str">
        <f t="shared" si="46"/>
        <v>UNDER</v>
      </c>
      <c r="T348" s="4" t="str">
        <f t="shared" si="46"/>
        <v>OVER</v>
      </c>
      <c r="U348" s="2">
        <f>IF(Q348="OVER",$J348,$K348)</f>
        <v>-253.90877001938321</v>
      </c>
      <c r="V348" s="2">
        <f>IF(R348="OVER",$J348,$K348)</f>
        <v>-253.90877001938321</v>
      </c>
      <c r="W348" s="2">
        <f>IF(S348="OVER",$J348,$K348)</f>
        <v>253.90877001938321</v>
      </c>
      <c r="X348" s="2">
        <f>IF(T348="OVER",$J348,$K348)</f>
        <v>-253.90877001938321</v>
      </c>
      <c r="Y348" s="9">
        <f t="shared" si="47"/>
        <v>-10840.493713642678</v>
      </c>
      <c r="Z348" s="9">
        <f t="shared" si="47"/>
        <v>-9039.6797286232249</v>
      </c>
      <c r="AA348" s="9">
        <f t="shared" si="47"/>
        <v>19773.821651485228</v>
      </c>
      <c r="AB348" s="9">
        <f t="shared" si="47"/>
        <v>2851.5801801263224</v>
      </c>
    </row>
    <row r="349" spans="1:28" x14ac:dyDescent="0.3">
      <c r="A349" s="1">
        <v>44916</v>
      </c>
      <c r="B349" s="2">
        <v>65</v>
      </c>
      <c r="C349" s="2">
        <v>70.2</v>
      </c>
      <c r="D349" s="9">
        <f>B349-B348</f>
        <v>0.35999999999999943</v>
      </c>
      <c r="E349" s="9">
        <f>C349-C348</f>
        <v>0.40000000000000568</v>
      </c>
      <c r="F349" s="3">
        <f>F$1/B349</f>
        <v>1538.4615384615386</v>
      </c>
      <c r="G349" s="3">
        <f>F$1/C349</f>
        <v>1424.5014245014245</v>
      </c>
      <c r="H349" s="2">
        <f>D349*F348</f>
        <v>556.93069306930602</v>
      </c>
      <c r="I349" s="2">
        <f>E349*G348</f>
        <v>573.06590257880475</v>
      </c>
      <c r="J349" s="2">
        <f>I349-H349</f>
        <v>16.135209509498736</v>
      </c>
      <c r="K349" s="2">
        <f t="shared" si="43"/>
        <v>-16.135209509498736</v>
      </c>
      <c r="L349" s="14">
        <f>C349/B349</f>
        <v>1.08</v>
      </c>
      <c r="M349" s="14">
        <f t="shared" si="45"/>
        <v>1.0784145459632206</v>
      </c>
      <c r="N349" s="14">
        <f t="shared" si="49"/>
        <v>1.0772771793708618</v>
      </c>
      <c r="O349" s="14">
        <f t="shared" si="42"/>
        <v>1.0800207821640877</v>
      </c>
      <c r="P349" s="14">
        <f t="shared" si="44"/>
        <v>1.0793870546030142</v>
      </c>
      <c r="Q349" s="4" t="str">
        <f t="shared" si="48"/>
        <v>OVER</v>
      </c>
      <c r="R349" s="4" t="str">
        <f t="shared" si="48"/>
        <v>OVER</v>
      </c>
      <c r="S349" s="4" t="str">
        <f t="shared" si="46"/>
        <v>UNDER</v>
      </c>
      <c r="T349" s="4" t="str">
        <f t="shared" si="46"/>
        <v>OVER</v>
      </c>
      <c r="U349" s="2">
        <f>IF(Q349="OVER",$J349,$K349)</f>
        <v>16.135209509498736</v>
      </c>
      <c r="V349" s="2">
        <f>IF(R349="OVER",$J349,$K349)</f>
        <v>16.135209509498736</v>
      </c>
      <c r="W349" s="2">
        <f>IF(S349="OVER",$J349,$K349)</f>
        <v>-16.135209509498736</v>
      </c>
      <c r="X349" s="2">
        <f>IF(T349="OVER",$J349,$K349)</f>
        <v>16.135209509498736</v>
      </c>
      <c r="Y349" s="9">
        <f t="shared" si="47"/>
        <v>-10824.358504133179</v>
      </c>
      <c r="Z349" s="9">
        <f t="shared" si="47"/>
        <v>-9023.544519113726</v>
      </c>
      <c r="AA349" s="9">
        <f t="shared" si="47"/>
        <v>19757.686441975729</v>
      </c>
      <c r="AB349" s="9">
        <f t="shared" si="47"/>
        <v>2867.7153896358213</v>
      </c>
    </row>
    <row r="350" spans="1:28" x14ac:dyDescent="0.3">
      <c r="A350" s="1">
        <v>44917</v>
      </c>
      <c r="B350" s="2">
        <v>64.569999999999993</v>
      </c>
      <c r="C350" s="2">
        <v>69.7</v>
      </c>
      <c r="D350" s="9">
        <f>B350-B349</f>
        <v>-0.43000000000000682</v>
      </c>
      <c r="E350" s="9">
        <f>C350-C349</f>
        <v>-0.5</v>
      </c>
      <c r="F350" s="3">
        <f>F$1/B350</f>
        <v>1548.7068297971196</v>
      </c>
      <c r="G350" s="3">
        <f>F$1/C350</f>
        <v>1434.7202295552368</v>
      </c>
      <c r="H350" s="2">
        <f>D350*F349</f>
        <v>-661.53846153847212</v>
      </c>
      <c r="I350" s="2">
        <f>E350*G349</f>
        <v>-712.25071225071224</v>
      </c>
      <c r="J350" s="2">
        <f>I350-H350</f>
        <v>-50.71225071224012</v>
      </c>
      <c r="K350" s="2">
        <f t="shared" si="43"/>
        <v>50.71225071224012</v>
      </c>
      <c r="L350" s="14">
        <f>C350/B350</f>
        <v>1.0794486603685924</v>
      </c>
      <c r="M350" s="14">
        <f t="shared" si="45"/>
        <v>1.078762559699838</v>
      </c>
      <c r="N350" s="14">
        <f t="shared" si="49"/>
        <v>1.0774429658636115</v>
      </c>
      <c r="O350" s="14">
        <f t="shared" si="42"/>
        <v>1.0797617578943233</v>
      </c>
      <c r="P350" s="14">
        <f t="shared" si="44"/>
        <v>1.0793361337579888</v>
      </c>
      <c r="Q350" s="4" t="str">
        <f t="shared" si="48"/>
        <v>OVER</v>
      </c>
      <c r="R350" s="4" t="str">
        <f t="shared" si="48"/>
        <v>OVER</v>
      </c>
      <c r="S350" s="4" t="str">
        <f t="shared" si="46"/>
        <v>UNDER</v>
      </c>
      <c r="T350" s="4" t="str">
        <f t="shared" si="46"/>
        <v>OVER</v>
      </c>
      <c r="U350" s="2">
        <f>IF(Q350="OVER",$J350,$K350)</f>
        <v>-50.71225071224012</v>
      </c>
      <c r="V350" s="2">
        <f>IF(R350="OVER",$J350,$K350)</f>
        <v>-50.71225071224012</v>
      </c>
      <c r="W350" s="2">
        <f>IF(S350="OVER",$J350,$K350)</f>
        <v>50.71225071224012</v>
      </c>
      <c r="X350" s="2">
        <f>IF(T350="OVER",$J350,$K350)</f>
        <v>-50.71225071224012</v>
      </c>
      <c r="Y350" s="9">
        <f t="shared" si="47"/>
        <v>-10875.070754845419</v>
      </c>
      <c r="Z350" s="9">
        <f t="shared" si="47"/>
        <v>-9074.2567698259663</v>
      </c>
      <c r="AA350" s="9">
        <f t="shared" si="47"/>
        <v>19808.39869268797</v>
      </c>
      <c r="AB350" s="9">
        <f t="shared" si="47"/>
        <v>2817.003138923581</v>
      </c>
    </row>
    <row r="351" spans="1:28" x14ac:dyDescent="0.3">
      <c r="A351" s="1">
        <v>44918</v>
      </c>
      <c r="B351" s="2">
        <v>64.61</v>
      </c>
      <c r="C351" s="2">
        <v>69.599999999999994</v>
      </c>
      <c r="D351" s="9">
        <f>B351-B350</f>
        <v>4.0000000000006253E-2</v>
      </c>
      <c r="E351" s="9">
        <f>C351-C350</f>
        <v>-0.10000000000000853</v>
      </c>
      <c r="F351" s="3">
        <f>F$1/B351</f>
        <v>1547.748026621266</v>
      </c>
      <c r="G351" s="3">
        <f>F$1/C351</f>
        <v>1436.7816091954023</v>
      </c>
      <c r="H351" s="2">
        <f>D351*F350</f>
        <v>61.948273191894465</v>
      </c>
      <c r="I351" s="2">
        <f>E351*G350</f>
        <v>-143.47202295553592</v>
      </c>
      <c r="J351" s="2">
        <f>I351-H351</f>
        <v>-205.42029614743038</v>
      </c>
      <c r="K351" s="2">
        <f t="shared" si="43"/>
        <v>205.42029614743038</v>
      </c>
      <c r="L351" s="14">
        <f>C351/B351</f>
        <v>1.0772326265284011</v>
      </c>
      <c r="M351" s="14">
        <f t="shared" si="45"/>
        <v>1.0788227540844708</v>
      </c>
      <c r="N351" s="14">
        <f t="shared" si="49"/>
        <v>1.0775508207549862</v>
      </c>
      <c r="O351" s="14">
        <f t="shared" si="42"/>
        <v>1.0795005271466152</v>
      </c>
      <c r="P351" s="14">
        <f t="shared" si="44"/>
        <v>1.0793011232832757</v>
      </c>
      <c r="Q351" s="4" t="str">
        <f t="shared" si="48"/>
        <v>OVER</v>
      </c>
      <c r="R351" s="4" t="str">
        <f t="shared" si="48"/>
        <v>OVER</v>
      </c>
      <c r="S351" s="4" t="str">
        <f t="shared" si="46"/>
        <v>UNDER</v>
      </c>
      <c r="T351" s="4" t="str">
        <f t="shared" si="46"/>
        <v>UNDER</v>
      </c>
      <c r="U351" s="2">
        <f>IF(Q351="OVER",$J351,$K351)</f>
        <v>-205.42029614743038</v>
      </c>
      <c r="V351" s="2">
        <f>IF(R351="OVER",$J351,$K351)</f>
        <v>-205.42029614743038</v>
      </c>
      <c r="W351" s="2">
        <f>IF(S351="OVER",$J351,$K351)</f>
        <v>205.42029614743038</v>
      </c>
      <c r="X351" s="2">
        <f>IF(T351="OVER",$J351,$K351)</f>
        <v>205.42029614743038</v>
      </c>
      <c r="Y351" s="9">
        <f t="shared" si="47"/>
        <v>-11080.49105099285</v>
      </c>
      <c r="Z351" s="9">
        <f t="shared" si="47"/>
        <v>-9279.6770659733975</v>
      </c>
      <c r="AA351" s="9">
        <f t="shared" si="47"/>
        <v>20013.818988835399</v>
      </c>
      <c r="AB351" s="9">
        <f t="shared" si="47"/>
        <v>3022.4234350710112</v>
      </c>
    </row>
    <row r="352" spans="1:28" x14ac:dyDescent="0.3">
      <c r="A352" s="1">
        <v>44922</v>
      </c>
      <c r="B352" s="2">
        <v>64.25</v>
      </c>
      <c r="C352" s="2">
        <v>69.430000000000007</v>
      </c>
      <c r="D352" s="9">
        <f>B352-B351</f>
        <v>-0.35999999999999943</v>
      </c>
      <c r="E352" s="9">
        <f>C352-C351</f>
        <v>-0.16999999999998749</v>
      </c>
      <c r="F352" s="3">
        <f>F$1/B352</f>
        <v>1556.4202334630349</v>
      </c>
      <c r="G352" s="3">
        <f>F$1/C352</f>
        <v>1440.2995823131209</v>
      </c>
      <c r="H352" s="2">
        <f>D352*F351</f>
        <v>-557.18928958365484</v>
      </c>
      <c r="I352" s="2">
        <f>E352*G351</f>
        <v>-244.25287356320044</v>
      </c>
      <c r="J352" s="2">
        <f>I352-H352</f>
        <v>312.93641602045443</v>
      </c>
      <c r="K352" s="2">
        <f t="shared" si="43"/>
        <v>-312.93641602045443</v>
      </c>
      <c r="L352" s="14">
        <f>C352/B352</f>
        <v>1.0806225680933854</v>
      </c>
      <c r="M352" s="14">
        <f t="shared" si="45"/>
        <v>1.0792403515797135</v>
      </c>
      <c r="N352" s="14">
        <f t="shared" si="49"/>
        <v>1.0777638779701211</v>
      </c>
      <c r="O352" s="14">
        <f t="shared" si="42"/>
        <v>1.0793196557739837</v>
      </c>
      <c r="P352" s="14">
        <f t="shared" si="44"/>
        <v>1.0792927785059379</v>
      </c>
      <c r="Q352" s="4" t="str">
        <f t="shared" si="48"/>
        <v>UNDER</v>
      </c>
      <c r="R352" s="4" t="str">
        <f t="shared" si="48"/>
        <v>UNDER</v>
      </c>
      <c r="S352" s="4" t="str">
        <f t="shared" si="46"/>
        <v>OVER</v>
      </c>
      <c r="T352" s="4" t="str">
        <f t="shared" si="46"/>
        <v>OVER</v>
      </c>
      <c r="U352" s="2">
        <f>IF(Q352="OVER",$J352,$K352)</f>
        <v>-312.93641602045443</v>
      </c>
      <c r="V352" s="2">
        <f>IF(R352="OVER",$J352,$K352)</f>
        <v>-312.93641602045443</v>
      </c>
      <c r="W352" s="2">
        <f>IF(S352="OVER",$J352,$K352)</f>
        <v>312.93641602045443</v>
      </c>
      <c r="X352" s="2">
        <f>IF(T352="OVER",$J352,$K352)</f>
        <v>312.93641602045443</v>
      </c>
      <c r="Y352" s="9">
        <f t="shared" si="47"/>
        <v>-11393.427467013305</v>
      </c>
      <c r="Z352" s="9">
        <f t="shared" si="47"/>
        <v>-9592.6134819938525</v>
      </c>
      <c r="AA352" s="9">
        <f t="shared" si="47"/>
        <v>20326.755404855852</v>
      </c>
      <c r="AB352" s="9">
        <f t="shared" si="47"/>
        <v>3335.3598510914658</v>
      </c>
    </row>
    <row r="353" spans="1:28" x14ac:dyDescent="0.3">
      <c r="A353" s="1">
        <v>44923</v>
      </c>
      <c r="B353" s="2">
        <v>63.71</v>
      </c>
      <c r="C353" s="2">
        <v>68.84</v>
      </c>
      <c r="D353" s="9">
        <f>B353-B352</f>
        <v>-0.53999999999999915</v>
      </c>
      <c r="E353" s="9">
        <f>C353-C352</f>
        <v>-0.59000000000000341</v>
      </c>
      <c r="F353" s="3">
        <f>F$1/B353</f>
        <v>1569.6123057604771</v>
      </c>
      <c r="G353" s="3">
        <f>F$1/C353</f>
        <v>1452.6438117373618</v>
      </c>
      <c r="H353" s="2">
        <f>D353*F352</f>
        <v>-840.46692607003752</v>
      </c>
      <c r="I353" s="2">
        <f>E353*G352</f>
        <v>-849.77675356474629</v>
      </c>
      <c r="J353" s="2">
        <f>I353-H353</f>
        <v>-9.3098274947087702</v>
      </c>
      <c r="K353" s="2">
        <f t="shared" si="43"/>
        <v>9.3098274947087702</v>
      </c>
      <c r="L353" s="14">
        <f>C353/B353</f>
        <v>1.0805211112855124</v>
      </c>
      <c r="M353" s="14">
        <f t="shared" si="45"/>
        <v>1.079258223332983</v>
      </c>
      <c r="N353" s="14">
        <f t="shared" si="49"/>
        <v>1.078011040590358</v>
      </c>
      <c r="O353" s="14">
        <f t="shared" si="42"/>
        <v>1.0791358496433576</v>
      </c>
      <c r="P353" s="14">
        <f t="shared" si="44"/>
        <v>1.079282270683364</v>
      </c>
      <c r="Q353" s="4" t="str">
        <f t="shared" si="48"/>
        <v>OVER</v>
      </c>
      <c r="R353" s="4" t="str">
        <f t="shared" si="48"/>
        <v>OVER</v>
      </c>
      <c r="S353" s="4" t="str">
        <f t="shared" si="46"/>
        <v>OVER</v>
      </c>
      <c r="T353" s="4" t="str">
        <f t="shared" si="46"/>
        <v>OVER</v>
      </c>
      <c r="U353" s="2">
        <f>IF(Q353="OVER",$J353,$K353)</f>
        <v>-9.3098274947087702</v>
      </c>
      <c r="V353" s="2">
        <f>IF(R353="OVER",$J353,$K353)</f>
        <v>-9.3098274947087702</v>
      </c>
      <c r="W353" s="2">
        <f>IF(S353="OVER",$J353,$K353)</f>
        <v>-9.3098274947087702</v>
      </c>
      <c r="X353" s="2">
        <f>IF(T353="OVER",$J353,$K353)</f>
        <v>-9.3098274947087702</v>
      </c>
      <c r="Y353" s="9">
        <f t="shared" si="47"/>
        <v>-11402.737294508013</v>
      </c>
      <c r="Z353" s="9">
        <f t="shared" si="47"/>
        <v>-9601.9233094885603</v>
      </c>
      <c r="AA353" s="9">
        <f t="shared" si="47"/>
        <v>20317.445577361144</v>
      </c>
      <c r="AB353" s="9">
        <f t="shared" si="47"/>
        <v>3326.050023596757</v>
      </c>
    </row>
    <row r="354" spans="1:28" x14ac:dyDescent="0.3">
      <c r="A354" s="1">
        <v>44924</v>
      </c>
      <c r="B354" s="2">
        <v>64.349999999999994</v>
      </c>
      <c r="C354" s="2">
        <v>69.34</v>
      </c>
      <c r="D354" s="9">
        <f>B354-B353</f>
        <v>0.63999999999999346</v>
      </c>
      <c r="E354" s="9">
        <f>C354-C353</f>
        <v>0.5</v>
      </c>
      <c r="F354" s="3">
        <f>F$1/B354</f>
        <v>1554.001554001554</v>
      </c>
      <c r="G354" s="3">
        <f>F$1/C354</f>
        <v>1442.1690222094028</v>
      </c>
      <c r="H354" s="2">
        <f>D354*F353</f>
        <v>1004.5518756866951</v>
      </c>
      <c r="I354" s="2">
        <f>E354*G353</f>
        <v>726.32190586868091</v>
      </c>
      <c r="J354" s="2">
        <f>I354-H354</f>
        <v>-278.22996981801418</v>
      </c>
      <c r="K354" s="2">
        <f t="shared" si="43"/>
        <v>278.22996981801418</v>
      </c>
      <c r="L354" s="14">
        <f>C354/B354</f>
        <v>1.0775446775446778</v>
      </c>
      <c r="M354" s="14">
        <f t="shared" si="45"/>
        <v>1.0791966682406149</v>
      </c>
      <c r="N354" s="14">
        <f t="shared" si="49"/>
        <v>1.0780617438553466</v>
      </c>
      <c r="O354" s="14">
        <f t="shared" si="42"/>
        <v>1.0789809796398004</v>
      </c>
      <c r="P354" s="14">
        <f t="shared" si="44"/>
        <v>1.0792947699022362</v>
      </c>
      <c r="Q354" s="4" t="str">
        <f t="shared" si="48"/>
        <v>OVER</v>
      </c>
      <c r="R354" s="4" t="str">
        <f t="shared" si="48"/>
        <v>OVER</v>
      </c>
      <c r="S354" s="4" t="str">
        <f t="shared" si="46"/>
        <v>UNDER</v>
      </c>
      <c r="T354" s="4" t="str">
        <f t="shared" si="46"/>
        <v>UNDER</v>
      </c>
      <c r="U354" s="2">
        <f>IF(Q354="OVER",$J354,$K354)</f>
        <v>-278.22996981801418</v>
      </c>
      <c r="V354" s="2">
        <f>IF(R354="OVER",$J354,$K354)</f>
        <v>-278.22996981801418</v>
      </c>
      <c r="W354" s="2">
        <f>IF(S354="OVER",$J354,$K354)</f>
        <v>278.22996981801418</v>
      </c>
      <c r="X354" s="2">
        <f>IF(T354="OVER",$J354,$K354)</f>
        <v>278.22996981801418</v>
      </c>
      <c r="Y354" s="9">
        <f t="shared" si="47"/>
        <v>-11680.967264326027</v>
      </c>
      <c r="Z354" s="9">
        <f t="shared" si="47"/>
        <v>-9880.1532793065744</v>
      </c>
      <c r="AA354" s="9">
        <f t="shared" si="47"/>
        <v>20595.675547179158</v>
      </c>
      <c r="AB354" s="9">
        <f t="shared" si="47"/>
        <v>3604.2799934147711</v>
      </c>
    </row>
    <row r="355" spans="1:28" x14ac:dyDescent="0.3">
      <c r="A355" s="1">
        <v>44925</v>
      </c>
      <c r="B355" s="2">
        <v>64.34</v>
      </c>
      <c r="C355" s="2">
        <v>69.47</v>
      </c>
      <c r="D355" s="9">
        <f>B355-B354</f>
        <v>-9.9999999999909051E-3</v>
      </c>
      <c r="E355" s="9">
        <f>C355-C354</f>
        <v>0.12999999999999545</v>
      </c>
      <c r="F355" s="3">
        <f>F$1/B355</f>
        <v>1554.2430836182778</v>
      </c>
      <c r="G355" s="3">
        <f>F$1/C355</f>
        <v>1439.4702749388225</v>
      </c>
      <c r="H355" s="2">
        <f>D355*F354</f>
        <v>-15.540015540001408</v>
      </c>
      <c r="I355" s="2">
        <f>E355*G354</f>
        <v>187.48197288721579</v>
      </c>
      <c r="J355" s="2">
        <f>I355-H355</f>
        <v>203.0219884272172</v>
      </c>
      <c r="K355" s="2">
        <f t="shared" si="43"/>
        <v>-203.0219884272172</v>
      </c>
      <c r="L355" s="14">
        <f>C355/B355</f>
        <v>1.0797326701896175</v>
      </c>
      <c r="M355" s="14">
        <f t="shared" si="45"/>
        <v>1.0794388428226021</v>
      </c>
      <c r="N355" s="14">
        <f t="shared" si="49"/>
        <v>1.0782877446234456</v>
      </c>
      <c r="O355" s="14">
        <f t="shared" si="42"/>
        <v>1.0789107884395008</v>
      </c>
      <c r="P355" s="14">
        <f t="shared" si="44"/>
        <v>1.0792876811602865</v>
      </c>
      <c r="Q355" s="4" t="str">
        <f t="shared" si="48"/>
        <v>UNDER</v>
      </c>
      <c r="R355" s="4" t="str">
        <f t="shared" si="48"/>
        <v>UNDER</v>
      </c>
      <c r="S355" s="4" t="str">
        <f t="shared" si="46"/>
        <v>OVER</v>
      </c>
      <c r="T355" s="4" t="str">
        <f t="shared" si="46"/>
        <v>OVER</v>
      </c>
      <c r="U355" s="2">
        <f>IF(Q355="OVER",$J355,$K355)</f>
        <v>-203.0219884272172</v>
      </c>
      <c r="V355" s="2">
        <f>IF(R355="OVER",$J355,$K355)</f>
        <v>-203.0219884272172</v>
      </c>
      <c r="W355" s="2">
        <f>IF(S355="OVER",$J355,$K355)</f>
        <v>203.0219884272172</v>
      </c>
      <c r="X355" s="2">
        <f>IF(T355="OVER",$J355,$K355)</f>
        <v>203.0219884272172</v>
      </c>
      <c r="Y355" s="9">
        <f t="shared" si="47"/>
        <v>-11883.989252753245</v>
      </c>
      <c r="Z355" s="9">
        <f t="shared" si="47"/>
        <v>-10083.175267733792</v>
      </c>
      <c r="AA355" s="9">
        <f t="shared" si="47"/>
        <v>20798.697535606374</v>
      </c>
      <c r="AB355" s="9">
        <f t="shared" si="47"/>
        <v>3807.3019818419884</v>
      </c>
    </row>
    <row r="356" spans="1:28" x14ac:dyDescent="0.3">
      <c r="A356" s="1">
        <v>44929</v>
      </c>
      <c r="B356" s="2">
        <v>64.11</v>
      </c>
      <c r="C356" s="2">
        <v>69.319999999999993</v>
      </c>
      <c r="D356" s="9">
        <f>B356-B355</f>
        <v>-0.23000000000000398</v>
      </c>
      <c r="E356" s="9">
        <f>C356-C355</f>
        <v>-0.15000000000000568</v>
      </c>
      <c r="F356" s="3">
        <f>F$1/B356</f>
        <v>1559.8190609889252</v>
      </c>
      <c r="G356" s="3">
        <f>F$1/C356</f>
        <v>1442.5851125216388</v>
      </c>
      <c r="H356" s="2">
        <f>D356*F355</f>
        <v>-357.47590923221009</v>
      </c>
      <c r="I356" s="2">
        <f>E356*G355</f>
        <v>-215.92054124083157</v>
      </c>
      <c r="J356" s="2">
        <f>I356-H356</f>
        <v>141.55536799137852</v>
      </c>
      <c r="K356" s="2">
        <f t="shared" si="43"/>
        <v>-141.55536799137852</v>
      </c>
      <c r="L356" s="14">
        <f>C356/B356</f>
        <v>1.0812665730775228</v>
      </c>
      <c r="M356" s="14">
        <f t="shared" si="45"/>
        <v>1.0798767269644787</v>
      </c>
      <c r="N356" s="14">
        <f t="shared" si="49"/>
        <v>1.0785674911877698</v>
      </c>
      <c r="O356" s="14">
        <f t="shared" si="42"/>
        <v>1.0788176153456006</v>
      </c>
      <c r="P356" s="14">
        <f t="shared" si="44"/>
        <v>1.0792792397804165</v>
      </c>
      <c r="Q356" s="4" t="str">
        <f t="shared" si="48"/>
        <v>OVER</v>
      </c>
      <c r="R356" s="4" t="str">
        <f t="shared" si="48"/>
        <v>OVER</v>
      </c>
      <c r="S356" s="4" t="str">
        <f t="shared" si="46"/>
        <v>OVER</v>
      </c>
      <c r="T356" s="4" t="str">
        <f t="shared" si="46"/>
        <v>OVER</v>
      </c>
      <c r="U356" s="2">
        <f>IF(Q356="OVER",$J356,$K356)</f>
        <v>141.55536799137852</v>
      </c>
      <c r="V356" s="2">
        <f>IF(R356="OVER",$J356,$K356)</f>
        <v>141.55536799137852</v>
      </c>
      <c r="W356" s="2">
        <f>IF(S356="OVER",$J356,$K356)</f>
        <v>141.55536799137852</v>
      </c>
      <c r="X356" s="2">
        <f>IF(T356="OVER",$J356,$K356)</f>
        <v>141.55536799137852</v>
      </c>
      <c r="Y356" s="9">
        <f t="shared" si="47"/>
        <v>-11742.433884761866</v>
      </c>
      <c r="Z356" s="9">
        <f t="shared" si="47"/>
        <v>-9941.6198997424126</v>
      </c>
      <c r="AA356" s="9">
        <f t="shared" si="47"/>
        <v>20940.252903597753</v>
      </c>
      <c r="AB356" s="9">
        <f t="shared" si="47"/>
        <v>3948.8573498333672</v>
      </c>
    </row>
    <row r="357" spans="1:28" x14ac:dyDescent="0.3">
      <c r="A357" s="1">
        <v>44930</v>
      </c>
      <c r="B357" s="2">
        <v>64.83</v>
      </c>
      <c r="C357" s="2">
        <v>69.98</v>
      </c>
      <c r="D357" s="9">
        <f>B357-B356</f>
        <v>0.71999999999999886</v>
      </c>
      <c r="E357" s="9">
        <f>C357-C356</f>
        <v>0.6600000000000108</v>
      </c>
      <c r="F357" s="3">
        <f>F$1/B357</f>
        <v>1542.4957581366652</v>
      </c>
      <c r="G357" s="3">
        <f>F$1/C357</f>
        <v>1428.9797084881393</v>
      </c>
      <c r="H357" s="2">
        <f>D357*F356</f>
        <v>1123.0697239120243</v>
      </c>
      <c r="I357" s="2">
        <f>E357*G356</f>
        <v>952.10617426429724</v>
      </c>
      <c r="J357" s="2">
        <f>I357-H357</f>
        <v>-170.96354964772706</v>
      </c>
      <c r="K357" s="2">
        <f t="shared" si="43"/>
        <v>170.96354964772706</v>
      </c>
      <c r="L357" s="14">
        <f>C357/B357</f>
        <v>1.0794385315440382</v>
      </c>
      <c r="M357" s="14">
        <f t="shared" si="45"/>
        <v>1.0795634151305014</v>
      </c>
      <c r="N357" s="14">
        <f t="shared" si="49"/>
        <v>1.0788005364141502</v>
      </c>
      <c r="O357" s="14">
        <f t="shared" si="42"/>
        <v>1.0787176080773084</v>
      </c>
      <c r="P357" s="14">
        <f t="shared" si="44"/>
        <v>1.0792472591890578</v>
      </c>
      <c r="Q357" s="4" t="str">
        <f t="shared" si="48"/>
        <v>OVER</v>
      </c>
      <c r="R357" s="4" t="str">
        <f t="shared" si="48"/>
        <v>OVER</v>
      </c>
      <c r="S357" s="4" t="str">
        <f t="shared" si="46"/>
        <v>OVER</v>
      </c>
      <c r="T357" s="4" t="str">
        <f t="shared" si="46"/>
        <v>OVER</v>
      </c>
      <c r="U357" s="2">
        <f>IF(Q357="OVER",$J357,$K357)</f>
        <v>-170.96354964772706</v>
      </c>
      <c r="V357" s="2">
        <f>IF(R357="OVER",$J357,$K357)</f>
        <v>-170.96354964772706</v>
      </c>
      <c r="W357" s="2">
        <f>IF(S357="OVER",$J357,$K357)</f>
        <v>-170.96354964772706</v>
      </c>
      <c r="X357" s="2">
        <f>IF(T357="OVER",$J357,$K357)</f>
        <v>-170.96354964772706</v>
      </c>
      <c r="Y357" s="9">
        <f t="shared" si="47"/>
        <v>-11913.397434409593</v>
      </c>
      <c r="Z357" s="9">
        <f t="shared" si="47"/>
        <v>-10112.58344939014</v>
      </c>
      <c r="AA357" s="9">
        <f t="shared" si="47"/>
        <v>20769.289353950026</v>
      </c>
      <c r="AB357" s="9">
        <f t="shared" si="47"/>
        <v>3777.89380018564</v>
      </c>
    </row>
    <row r="358" spans="1:28" x14ac:dyDescent="0.3">
      <c r="A358" s="1">
        <v>44931</v>
      </c>
      <c r="B358" s="2">
        <v>64.52</v>
      </c>
      <c r="C358" s="2">
        <v>69.42</v>
      </c>
      <c r="D358" s="9">
        <f>B358-B357</f>
        <v>-0.31000000000000227</v>
      </c>
      <c r="E358" s="9">
        <f>C358-C357</f>
        <v>-0.56000000000000227</v>
      </c>
      <c r="F358" s="3">
        <f>F$1/B358</f>
        <v>1549.9070055796653</v>
      </c>
      <c r="G358" s="3">
        <f>F$1/C358</f>
        <v>1440.5070584845867</v>
      </c>
      <c r="H358" s="2">
        <f>D358*F357</f>
        <v>-478.17368502236974</v>
      </c>
      <c r="I358" s="2">
        <f>E358*G357</f>
        <v>-800.22863675336123</v>
      </c>
      <c r="J358" s="2">
        <f>I358-H358</f>
        <v>-322.05495173099149</v>
      </c>
      <c r="K358" s="2">
        <f t="shared" si="43"/>
        <v>322.05495173099149</v>
      </c>
      <c r="L358" s="14">
        <f>C358/B358</f>
        <v>1.0759454432734037</v>
      </c>
      <c r="M358" s="14">
        <f t="shared" si="45"/>
        <v>1.0791752861905153</v>
      </c>
      <c r="N358" s="14">
        <f t="shared" si="49"/>
        <v>1.0787352781641952</v>
      </c>
      <c r="O358" s="14">
        <f t="shared" si="42"/>
        <v>1.0785539822151349</v>
      </c>
      <c r="P358" s="14">
        <f t="shared" si="44"/>
        <v>1.0792077296933502</v>
      </c>
      <c r="Q358" s="4" t="str">
        <f t="shared" si="48"/>
        <v>UNDER</v>
      </c>
      <c r="R358" s="4" t="str">
        <f t="shared" si="48"/>
        <v>OVER</v>
      </c>
      <c r="S358" s="4" t="str">
        <f t="shared" si="46"/>
        <v>UNDER</v>
      </c>
      <c r="T358" s="4" t="str">
        <f t="shared" si="46"/>
        <v>UNDER</v>
      </c>
      <c r="U358" s="2">
        <f>IF(Q358="OVER",$J358,$K358)</f>
        <v>322.05495173099149</v>
      </c>
      <c r="V358" s="2">
        <f>IF(R358="OVER",$J358,$K358)</f>
        <v>-322.05495173099149</v>
      </c>
      <c r="W358" s="2">
        <f>IF(S358="OVER",$J358,$K358)</f>
        <v>322.05495173099149</v>
      </c>
      <c r="X358" s="2">
        <f>IF(T358="OVER",$J358,$K358)</f>
        <v>322.05495173099149</v>
      </c>
      <c r="Y358" s="9">
        <f t="shared" si="47"/>
        <v>-11591.342482678601</v>
      </c>
      <c r="Z358" s="9">
        <f t="shared" si="47"/>
        <v>-10434.638401121132</v>
      </c>
      <c r="AA358" s="9">
        <f t="shared" si="47"/>
        <v>21091.344305681017</v>
      </c>
      <c r="AB358" s="9">
        <f t="shared" si="47"/>
        <v>4099.9487519166314</v>
      </c>
    </row>
    <row r="359" spans="1:28" x14ac:dyDescent="0.3">
      <c r="A359" s="1">
        <v>44932</v>
      </c>
      <c r="B359" s="2">
        <v>64.989999999999995</v>
      </c>
      <c r="C359" s="2">
        <v>70.13</v>
      </c>
      <c r="D359" s="9">
        <f>B359-B358</f>
        <v>0.46999999999999886</v>
      </c>
      <c r="E359" s="9">
        <f>C359-C358</f>
        <v>0.70999999999999375</v>
      </c>
      <c r="F359" s="3">
        <f>F$1/B359</f>
        <v>1538.6982612709648</v>
      </c>
      <c r="G359" s="3">
        <f>F$1/C359</f>
        <v>1425.9232853272495</v>
      </c>
      <c r="H359" s="2">
        <f>D359*F358</f>
        <v>728.45629262244097</v>
      </c>
      <c r="I359" s="2">
        <f>E359*G358</f>
        <v>1022.7600115240475</v>
      </c>
      <c r="J359" s="2">
        <f>I359-H359</f>
        <v>294.30371890160654</v>
      </c>
      <c r="K359" s="2">
        <f t="shared" si="43"/>
        <v>-294.30371890160654</v>
      </c>
      <c r="L359" s="14">
        <f>C359/B359</f>
        <v>1.0790890906293276</v>
      </c>
      <c r="M359" s="14">
        <f t="shared" si="45"/>
        <v>1.0790841952534478</v>
      </c>
      <c r="N359" s="14">
        <f t="shared" si="49"/>
        <v>1.0787493706083346</v>
      </c>
      <c r="O359" s="14">
        <f t="shared" si="42"/>
        <v>1.0784508388618521</v>
      </c>
      <c r="P359" s="14">
        <f t="shared" si="44"/>
        <v>1.0791691314806582</v>
      </c>
      <c r="Q359" s="4" t="str">
        <f t="shared" si="48"/>
        <v>UNDER</v>
      </c>
      <c r="R359" s="4" t="str">
        <f t="shared" si="48"/>
        <v>UNDER</v>
      </c>
      <c r="S359" s="4" t="str">
        <f t="shared" si="46"/>
        <v>OVER</v>
      </c>
      <c r="T359" s="4" t="str">
        <f t="shared" si="46"/>
        <v>UNDER</v>
      </c>
      <c r="U359" s="2">
        <f>IF(Q359="OVER",$J359,$K359)</f>
        <v>-294.30371890160654</v>
      </c>
      <c r="V359" s="2">
        <f>IF(R359="OVER",$J359,$K359)</f>
        <v>-294.30371890160654</v>
      </c>
      <c r="W359" s="2">
        <f>IF(S359="OVER",$J359,$K359)</f>
        <v>294.30371890160654</v>
      </c>
      <c r="X359" s="2">
        <f>IF(T359="OVER",$J359,$K359)</f>
        <v>-294.30371890160654</v>
      </c>
      <c r="Y359" s="9">
        <f t="shared" si="47"/>
        <v>-11885.646201580208</v>
      </c>
      <c r="Z359" s="9">
        <f t="shared" si="47"/>
        <v>-10728.942120022739</v>
      </c>
      <c r="AA359" s="9">
        <f t="shared" si="47"/>
        <v>21385.648024582624</v>
      </c>
      <c r="AB359" s="9">
        <f t="shared" si="47"/>
        <v>3805.6450330150246</v>
      </c>
    </row>
    <row r="360" spans="1:28" x14ac:dyDescent="0.3">
      <c r="A360" s="1">
        <v>44935</v>
      </c>
      <c r="B360" s="2">
        <v>65.459999999999994</v>
      </c>
      <c r="C360" s="2">
        <v>70.489999999999995</v>
      </c>
      <c r="D360" s="9">
        <f>B360-B359</f>
        <v>0.46999999999999886</v>
      </c>
      <c r="E360" s="9">
        <f>C360-C359</f>
        <v>0.35999999999999943</v>
      </c>
      <c r="F360" s="3">
        <f>F$1/B360</f>
        <v>1527.6504735716469</v>
      </c>
      <c r="G360" s="3">
        <f>F$1/C360</f>
        <v>1418.6409419775855</v>
      </c>
      <c r="H360" s="2">
        <f>D360*F359</f>
        <v>723.18818279735171</v>
      </c>
      <c r="I360" s="2">
        <f>E360*G359</f>
        <v>513.33238271780897</v>
      </c>
      <c r="J360" s="2">
        <f>I360-H360</f>
        <v>-209.85580007954275</v>
      </c>
      <c r="K360" s="2">
        <f t="shared" si="43"/>
        <v>209.85580007954275</v>
      </c>
      <c r="L360" s="14">
        <f>C360/B360</f>
        <v>1.076840818820654</v>
      </c>
      <c r="M360" s="14">
        <f t="shared" si="45"/>
        <v>1.0788234110986541</v>
      </c>
      <c r="N360" s="14">
        <f t="shared" si="49"/>
        <v>1.0787929853992462</v>
      </c>
      <c r="O360" s="14">
        <f t="shared" si="42"/>
        <v>1.0782809392801629</v>
      </c>
      <c r="P360" s="14">
        <f t="shared" si="44"/>
        <v>1.0791266829542716</v>
      </c>
      <c r="Q360" s="4" t="str">
        <f t="shared" si="48"/>
        <v>OVER</v>
      </c>
      <c r="R360" s="4" t="str">
        <f t="shared" si="48"/>
        <v>OVER</v>
      </c>
      <c r="S360" s="4" t="str">
        <f t="shared" si="46"/>
        <v>UNDER</v>
      </c>
      <c r="T360" s="4" t="str">
        <f t="shared" si="46"/>
        <v>UNDER</v>
      </c>
      <c r="U360" s="2">
        <f>IF(Q360="OVER",$J360,$K360)</f>
        <v>-209.85580007954275</v>
      </c>
      <c r="V360" s="2">
        <f>IF(R360="OVER",$J360,$K360)</f>
        <v>-209.85580007954275</v>
      </c>
      <c r="W360" s="2">
        <f>IF(S360="OVER",$J360,$K360)</f>
        <v>209.85580007954275</v>
      </c>
      <c r="X360" s="2">
        <f>IF(T360="OVER",$J360,$K360)</f>
        <v>209.85580007954275</v>
      </c>
      <c r="Y360" s="9">
        <f t="shared" si="47"/>
        <v>-12095.50200165975</v>
      </c>
      <c r="Z360" s="9">
        <f t="shared" si="47"/>
        <v>-10938.797920102281</v>
      </c>
      <c r="AA360" s="9">
        <f t="shared" si="47"/>
        <v>21595.503824662166</v>
      </c>
      <c r="AB360" s="9">
        <f t="shared" si="47"/>
        <v>4015.5008330945675</v>
      </c>
    </row>
    <row r="361" spans="1:28" x14ac:dyDescent="0.3">
      <c r="A361" s="1">
        <v>44936</v>
      </c>
      <c r="B361" s="2">
        <v>65.94</v>
      </c>
      <c r="C361" s="2">
        <v>70.86</v>
      </c>
      <c r="D361" s="9">
        <f>B361-B360</f>
        <v>0.48000000000000398</v>
      </c>
      <c r="E361" s="9">
        <f>C361-C360</f>
        <v>0.37000000000000455</v>
      </c>
      <c r="F361" s="3">
        <f>F$1/B361</f>
        <v>1516.5301789505611</v>
      </c>
      <c r="G361" s="3">
        <f>F$1/C361</f>
        <v>1411.2334180073385</v>
      </c>
      <c r="H361" s="2">
        <f>D361*F360</f>
        <v>733.27222731439656</v>
      </c>
      <c r="I361" s="2">
        <f>E361*G360</f>
        <v>524.89714853171313</v>
      </c>
      <c r="J361" s="2">
        <f>I361-H361</f>
        <v>-208.37507878268343</v>
      </c>
      <c r="K361" s="2">
        <f t="shared" si="43"/>
        <v>208.37507878268343</v>
      </c>
      <c r="L361" s="14">
        <f>C361/B361</f>
        <v>1.0746132848043677</v>
      </c>
      <c r="M361" s="14">
        <f t="shared" si="45"/>
        <v>1.0785614769262506</v>
      </c>
      <c r="N361" s="14">
        <f t="shared" si="49"/>
        <v>1.0786921155053608</v>
      </c>
      <c r="O361" s="14">
        <f t="shared" si="42"/>
        <v>1.0780574203751083</v>
      </c>
      <c r="P361" s="14">
        <f t="shared" si="44"/>
        <v>1.0790638318632844</v>
      </c>
      <c r="Q361" s="4" t="str">
        <f t="shared" si="48"/>
        <v>UNDER</v>
      </c>
      <c r="R361" s="4" t="str">
        <f t="shared" si="48"/>
        <v>UNDER</v>
      </c>
      <c r="S361" s="4" t="str">
        <f t="shared" si="46"/>
        <v>UNDER</v>
      </c>
      <c r="T361" s="4" t="str">
        <f t="shared" si="46"/>
        <v>UNDER</v>
      </c>
      <c r="U361" s="2">
        <f>IF(Q361="OVER",$J361,$K361)</f>
        <v>208.37507878268343</v>
      </c>
      <c r="V361" s="2">
        <f>IF(R361="OVER",$J361,$K361)</f>
        <v>208.37507878268343</v>
      </c>
      <c r="W361" s="2">
        <f>IF(S361="OVER",$J361,$K361)</f>
        <v>208.37507878268343</v>
      </c>
      <c r="X361" s="2">
        <f>IF(T361="OVER",$J361,$K361)</f>
        <v>208.37507878268343</v>
      </c>
      <c r="Y361" s="9">
        <f t="shared" si="47"/>
        <v>-11887.126922877067</v>
      </c>
      <c r="Z361" s="9">
        <f t="shared" si="47"/>
        <v>-10730.422841319598</v>
      </c>
      <c r="AA361" s="9">
        <f t="shared" si="47"/>
        <v>21803.878903444849</v>
      </c>
      <c r="AB361" s="9">
        <f t="shared" si="47"/>
        <v>4223.8759118772505</v>
      </c>
    </row>
    <row r="362" spans="1:28" x14ac:dyDescent="0.3">
      <c r="A362" s="1">
        <v>44937</v>
      </c>
      <c r="B362" s="2">
        <v>66.260000000000005</v>
      </c>
      <c r="C362" s="2">
        <v>70.540000000000006</v>
      </c>
      <c r="D362" s="9">
        <f>B362-B361</f>
        <v>0.32000000000000739</v>
      </c>
      <c r="E362" s="9">
        <f>C362-C361</f>
        <v>-0.31999999999999318</v>
      </c>
      <c r="F362" s="3">
        <f>F$1/B362</f>
        <v>1509.2061575611228</v>
      </c>
      <c r="G362" s="3">
        <f>F$1/C362</f>
        <v>1417.635384179189</v>
      </c>
      <c r="H362" s="2">
        <f>D362*F361</f>
        <v>485.28965726419074</v>
      </c>
      <c r="I362" s="2">
        <f>E362*G361</f>
        <v>-451.59469376233869</v>
      </c>
      <c r="J362" s="2">
        <f>I362-H362</f>
        <v>-936.88435102652943</v>
      </c>
      <c r="K362" s="2">
        <f t="shared" si="43"/>
        <v>936.88435102652943</v>
      </c>
      <c r="L362" s="14">
        <f>C362/B362</f>
        <v>1.064594023543616</v>
      </c>
      <c r="M362" s="14">
        <f t="shared" si="45"/>
        <v>1.0769586224712737</v>
      </c>
      <c r="N362" s="14">
        <f t="shared" si="49"/>
        <v>1.0780994870254936</v>
      </c>
      <c r="O362" s="14">
        <f t="shared" si="42"/>
        <v>1.0776714073983384</v>
      </c>
      <c r="P362" s="14">
        <f t="shared" si="44"/>
        <v>1.0789731846260624</v>
      </c>
      <c r="Q362" s="4" t="str">
        <f t="shared" si="48"/>
        <v>UNDER</v>
      </c>
      <c r="R362" s="4" t="str">
        <f t="shared" si="48"/>
        <v>UNDER</v>
      </c>
      <c r="S362" s="4" t="str">
        <f t="shared" si="46"/>
        <v>UNDER</v>
      </c>
      <c r="T362" s="4" t="str">
        <f t="shared" si="46"/>
        <v>UNDER</v>
      </c>
      <c r="U362" s="2">
        <f>IF(Q362="OVER",$J362,$K362)</f>
        <v>936.88435102652943</v>
      </c>
      <c r="V362" s="2">
        <f>IF(R362="OVER",$J362,$K362)</f>
        <v>936.88435102652943</v>
      </c>
      <c r="W362" s="2">
        <f>IF(S362="OVER",$J362,$K362)</f>
        <v>936.88435102652943</v>
      </c>
      <c r="X362" s="2">
        <f>IF(T362="OVER",$J362,$K362)</f>
        <v>936.88435102652943</v>
      </c>
      <c r="Y362" s="9">
        <f t="shared" si="47"/>
        <v>-10950.242571850538</v>
      </c>
      <c r="Z362" s="9">
        <f t="shared" si="47"/>
        <v>-9793.5384902930691</v>
      </c>
      <c r="AA362" s="9">
        <f t="shared" si="47"/>
        <v>22740.763254471378</v>
      </c>
      <c r="AB362" s="9">
        <f t="shared" si="47"/>
        <v>5160.7602629037801</v>
      </c>
    </row>
    <row r="363" spans="1:28" x14ac:dyDescent="0.3">
      <c r="A363" s="1">
        <v>44938</v>
      </c>
      <c r="B363" s="2">
        <v>66.709999999999994</v>
      </c>
      <c r="C363" s="2">
        <v>71.33</v>
      </c>
      <c r="D363" s="9">
        <f>B363-B362</f>
        <v>0.44999999999998863</v>
      </c>
      <c r="E363" s="9">
        <f>C363-C362</f>
        <v>0.78999999999999204</v>
      </c>
      <c r="F363" s="3">
        <f>F$1/B363</f>
        <v>1499.0256333383302</v>
      </c>
      <c r="G363" s="3">
        <f>F$1/C363</f>
        <v>1401.9346698443853</v>
      </c>
      <c r="H363" s="2">
        <f>D363*F362</f>
        <v>679.14277090248811</v>
      </c>
      <c r="I363" s="2">
        <f>E363*G362</f>
        <v>1119.9319535015482</v>
      </c>
      <c r="J363" s="2">
        <f>I363-H363</f>
        <v>440.78918259906004</v>
      </c>
      <c r="K363" s="2">
        <f t="shared" si="43"/>
        <v>-440.78918259906004</v>
      </c>
      <c r="L363" s="14">
        <f>C363/B363</f>
        <v>1.069254984260231</v>
      </c>
      <c r="M363" s="14">
        <f t="shared" si="45"/>
        <v>1.0758320097687457</v>
      </c>
      <c r="N363" s="14">
        <f t="shared" si="49"/>
        <v>1.0775451165508643</v>
      </c>
      <c r="O363" s="14">
        <f t="shared" si="42"/>
        <v>1.0773726846837888</v>
      </c>
      <c r="P363" s="14">
        <f t="shared" si="44"/>
        <v>1.0789018170805409</v>
      </c>
      <c r="Q363" s="4" t="str">
        <f t="shared" si="48"/>
        <v>UNDER</v>
      </c>
      <c r="R363" s="4" t="str">
        <f t="shared" si="48"/>
        <v>UNDER</v>
      </c>
      <c r="S363" s="4" t="str">
        <f t="shared" si="46"/>
        <v>UNDER</v>
      </c>
      <c r="T363" s="4" t="str">
        <f t="shared" si="46"/>
        <v>UNDER</v>
      </c>
      <c r="U363" s="2">
        <f>IF(Q363="OVER",$J363,$K363)</f>
        <v>-440.78918259906004</v>
      </c>
      <c r="V363" s="2">
        <f>IF(R363="OVER",$J363,$K363)</f>
        <v>-440.78918259906004</v>
      </c>
      <c r="W363" s="2">
        <f>IF(S363="OVER",$J363,$K363)</f>
        <v>-440.78918259906004</v>
      </c>
      <c r="X363" s="2">
        <f>IF(T363="OVER",$J363,$K363)</f>
        <v>-440.78918259906004</v>
      </c>
      <c r="Y363" s="9">
        <f t="shared" si="47"/>
        <v>-11391.031754449599</v>
      </c>
      <c r="Z363" s="9">
        <f t="shared" si="47"/>
        <v>-10234.32767289213</v>
      </c>
      <c r="AA363" s="9">
        <f t="shared" si="47"/>
        <v>22299.974071872319</v>
      </c>
      <c r="AB363" s="9">
        <f t="shared" si="47"/>
        <v>4719.9710803047201</v>
      </c>
    </row>
    <row r="364" spans="1:28" x14ac:dyDescent="0.3">
      <c r="A364" s="1">
        <v>44939</v>
      </c>
      <c r="B364" s="2">
        <v>67.069999999999993</v>
      </c>
      <c r="C364" s="2">
        <v>71.959999999999994</v>
      </c>
      <c r="D364" s="9">
        <f>B364-B363</f>
        <v>0.35999999999999943</v>
      </c>
      <c r="E364" s="9">
        <f>C364-C363</f>
        <v>0.62999999999999545</v>
      </c>
      <c r="F364" s="3">
        <f>F$1/B364</f>
        <v>1490.9795735798421</v>
      </c>
      <c r="G364" s="3">
        <f>F$1/C364</f>
        <v>1389.6609227348529</v>
      </c>
      <c r="H364" s="2">
        <f>D364*F363</f>
        <v>539.64922800179806</v>
      </c>
      <c r="I364" s="2">
        <f>E364*G363</f>
        <v>883.21884200195643</v>
      </c>
      <c r="J364" s="2">
        <f>I364-H364</f>
        <v>343.56961400015837</v>
      </c>
      <c r="K364" s="2">
        <f t="shared" si="43"/>
        <v>-343.56961400015837</v>
      </c>
      <c r="L364" s="14">
        <f>C364/B364</f>
        <v>1.0729089011480544</v>
      </c>
      <c r="M364" s="14">
        <f t="shared" si="45"/>
        <v>1.0753684321290833</v>
      </c>
      <c r="N364" s="14">
        <f t="shared" si="49"/>
        <v>1.0772825501848491</v>
      </c>
      <c r="O364" s="14">
        <f t="shared" si="42"/>
        <v>1.0772528810553736</v>
      </c>
      <c r="P364" s="14">
        <f t="shared" si="44"/>
        <v>1.0788392581822992</v>
      </c>
      <c r="Q364" s="4" t="str">
        <f t="shared" si="48"/>
        <v>UNDER</v>
      </c>
      <c r="R364" s="4" t="str">
        <f t="shared" si="48"/>
        <v>UNDER</v>
      </c>
      <c r="S364" s="4" t="str">
        <f t="shared" si="46"/>
        <v>UNDER</v>
      </c>
      <c r="T364" s="4" t="str">
        <f t="shared" si="46"/>
        <v>UNDER</v>
      </c>
      <c r="U364" s="2">
        <f>IF(Q364="OVER",$J364,$K364)</f>
        <v>-343.56961400015837</v>
      </c>
      <c r="V364" s="2">
        <f>IF(R364="OVER",$J364,$K364)</f>
        <v>-343.56961400015837</v>
      </c>
      <c r="W364" s="2">
        <f>IF(S364="OVER",$J364,$K364)</f>
        <v>-343.56961400015837</v>
      </c>
      <c r="X364" s="2">
        <f>IF(T364="OVER",$J364,$K364)</f>
        <v>-343.56961400015837</v>
      </c>
      <c r="Y364" s="9">
        <f t="shared" si="47"/>
        <v>-11734.601368449758</v>
      </c>
      <c r="Z364" s="9">
        <f t="shared" si="47"/>
        <v>-10577.897286892288</v>
      </c>
      <c r="AA364" s="9">
        <f t="shared" si="47"/>
        <v>21956.404457872159</v>
      </c>
      <c r="AB364" s="9">
        <f t="shared" si="47"/>
        <v>4376.4014663045618</v>
      </c>
    </row>
    <row r="365" spans="1:28" x14ac:dyDescent="0.3">
      <c r="A365" s="1">
        <v>44943</v>
      </c>
      <c r="B365" s="2">
        <v>67.28</v>
      </c>
      <c r="C365" s="2">
        <v>72.23</v>
      </c>
      <c r="D365" s="9">
        <f>B365-B364</f>
        <v>0.21000000000000796</v>
      </c>
      <c r="E365" s="9">
        <f>C365-C364</f>
        <v>0.27000000000001023</v>
      </c>
      <c r="F365" s="3">
        <f>F$1/B365</f>
        <v>1486.3258026159333</v>
      </c>
      <c r="G365" s="3">
        <f>F$1/C365</f>
        <v>1384.4662882458811</v>
      </c>
      <c r="H365" s="2">
        <f>D365*F364</f>
        <v>313.10571045177869</v>
      </c>
      <c r="I365" s="2">
        <f>E365*G364</f>
        <v>375.2084491384245</v>
      </c>
      <c r="J365" s="2">
        <f>I365-H365</f>
        <v>62.102738686645807</v>
      </c>
      <c r="K365" s="2">
        <f t="shared" si="43"/>
        <v>-62.102738686645807</v>
      </c>
      <c r="L365" s="14">
        <f>C365/B365</f>
        <v>1.0735731272294888</v>
      </c>
      <c r="M365" s="14">
        <f t="shared" si="45"/>
        <v>1.0747524778330706</v>
      </c>
      <c r="N365" s="14">
        <f t="shared" si="49"/>
        <v>1.0770956603278361</v>
      </c>
      <c r="O365" s="14">
        <f t="shared" si="42"/>
        <v>1.0771171173112233</v>
      </c>
      <c r="P365" s="14">
        <f t="shared" si="44"/>
        <v>1.0787926594636701</v>
      </c>
      <c r="Q365" s="4" t="str">
        <f t="shared" si="48"/>
        <v>UNDER</v>
      </c>
      <c r="R365" s="4" t="str">
        <f t="shared" si="48"/>
        <v>UNDER</v>
      </c>
      <c r="S365" s="4" t="str">
        <f t="shared" si="46"/>
        <v>UNDER</v>
      </c>
      <c r="T365" s="4" t="str">
        <f t="shared" si="46"/>
        <v>UNDER</v>
      </c>
      <c r="U365" s="2">
        <f>IF(Q365="OVER",$J365,$K365)</f>
        <v>-62.102738686645807</v>
      </c>
      <c r="V365" s="2">
        <f>IF(R365="OVER",$J365,$K365)</f>
        <v>-62.102738686645807</v>
      </c>
      <c r="W365" s="2">
        <f>IF(S365="OVER",$J365,$K365)</f>
        <v>-62.102738686645807</v>
      </c>
      <c r="X365" s="2">
        <f>IF(T365="OVER",$J365,$K365)</f>
        <v>-62.102738686645807</v>
      </c>
      <c r="Y365" s="9">
        <f t="shared" si="47"/>
        <v>-11796.704107136404</v>
      </c>
      <c r="Z365" s="9">
        <f t="shared" si="47"/>
        <v>-10640.000025578935</v>
      </c>
      <c r="AA365" s="9">
        <f t="shared" si="47"/>
        <v>21894.301719185514</v>
      </c>
      <c r="AB365" s="9">
        <f t="shared" si="47"/>
        <v>4314.2987276179156</v>
      </c>
    </row>
    <row r="366" spans="1:28" x14ac:dyDescent="0.3">
      <c r="A366" s="1">
        <v>44944</v>
      </c>
      <c r="B366" s="2">
        <v>67.08</v>
      </c>
      <c r="C366" s="2">
        <v>71.87</v>
      </c>
      <c r="D366" s="9">
        <f>B366-B365</f>
        <v>-0.20000000000000284</v>
      </c>
      <c r="E366" s="9">
        <f>C366-C365</f>
        <v>-0.35999999999999943</v>
      </c>
      <c r="F366" s="3">
        <f>F$1/B366</f>
        <v>1490.7573047107931</v>
      </c>
      <c r="G366" s="3">
        <f>F$1/C366</f>
        <v>1391.4011409489356</v>
      </c>
      <c r="H366" s="2">
        <f>D366*F365</f>
        <v>-297.2651605231909</v>
      </c>
      <c r="I366" s="2">
        <f>E366*G365</f>
        <v>-498.40786376851639</v>
      </c>
      <c r="J366" s="2">
        <f>I366-H366</f>
        <v>-201.14270324532549</v>
      </c>
      <c r="K366" s="2">
        <f t="shared" si="43"/>
        <v>201.14270324532549</v>
      </c>
      <c r="L366" s="14">
        <f>C366/B366</f>
        <v>1.0714072748956471</v>
      </c>
      <c r="M366" s="14">
        <f t="shared" si="45"/>
        <v>1.0737665480148828</v>
      </c>
      <c r="N366" s="14">
        <f t="shared" si="49"/>
        <v>1.0768216374896806</v>
      </c>
      <c r="O366" s="14">
        <f t="shared" si="42"/>
        <v>1.0769124820772</v>
      </c>
      <c r="P366" s="14">
        <f t="shared" si="44"/>
        <v>1.0787357907049451</v>
      </c>
      <c r="Q366" s="4" t="str">
        <f t="shared" si="48"/>
        <v>UNDER</v>
      </c>
      <c r="R366" s="4" t="str">
        <f t="shared" si="48"/>
        <v>UNDER</v>
      </c>
      <c r="S366" s="4" t="str">
        <f t="shared" si="46"/>
        <v>UNDER</v>
      </c>
      <c r="T366" s="4" t="str">
        <f t="shared" si="46"/>
        <v>UNDER</v>
      </c>
      <c r="U366" s="2">
        <f>IF(Q366="OVER",$J366,$K366)</f>
        <v>201.14270324532549</v>
      </c>
      <c r="V366" s="2">
        <f>IF(R366="OVER",$J366,$K366)</f>
        <v>201.14270324532549</v>
      </c>
      <c r="W366" s="2">
        <f>IF(S366="OVER",$J366,$K366)</f>
        <v>201.14270324532549</v>
      </c>
      <c r="X366" s="2">
        <f>IF(T366="OVER",$J366,$K366)</f>
        <v>201.14270324532549</v>
      </c>
      <c r="Y366" s="9">
        <f t="shared" si="47"/>
        <v>-11595.561403891079</v>
      </c>
      <c r="Z366" s="9">
        <f t="shared" si="47"/>
        <v>-10438.85732233361</v>
      </c>
      <c r="AA366" s="9">
        <f t="shared" si="47"/>
        <v>22095.444422430839</v>
      </c>
      <c r="AB366" s="9">
        <f t="shared" si="47"/>
        <v>4515.4414308632413</v>
      </c>
    </row>
    <row r="367" spans="1:28" x14ac:dyDescent="0.3">
      <c r="A367" s="1">
        <v>44945</v>
      </c>
      <c r="B367" s="2">
        <v>66.680000000000007</v>
      </c>
      <c r="C367" s="2">
        <v>71.62</v>
      </c>
      <c r="D367" s="9">
        <f>B367-B366</f>
        <v>-0.39999999999999147</v>
      </c>
      <c r="E367" s="9">
        <f>C367-C366</f>
        <v>-0.25</v>
      </c>
      <c r="F367" s="3">
        <f>F$1/B367</f>
        <v>1499.7000599880023</v>
      </c>
      <c r="G367" s="3">
        <f>F$1/C367</f>
        <v>1396.2580284836638</v>
      </c>
      <c r="H367" s="2">
        <f>D367*F366</f>
        <v>-596.30292188430451</v>
      </c>
      <c r="I367" s="2">
        <f>E367*G366</f>
        <v>-347.85028523723389</v>
      </c>
      <c r="J367" s="2">
        <f>I367-H367</f>
        <v>248.45263664707062</v>
      </c>
      <c r="K367" s="2">
        <f t="shared" si="43"/>
        <v>-248.45263664707062</v>
      </c>
      <c r="L367" s="14">
        <f>C367/B367</f>
        <v>1.0740851829634073</v>
      </c>
      <c r="M367" s="14">
        <f t="shared" si="45"/>
        <v>1.0732312131568196</v>
      </c>
      <c r="N367" s="14">
        <f t="shared" si="49"/>
        <v>1.0763973141436605</v>
      </c>
      <c r="O367" s="14">
        <f t="shared" si="42"/>
        <v>1.0767308934144</v>
      </c>
      <c r="P367" s="14">
        <f t="shared" si="44"/>
        <v>1.0786840461975915</v>
      </c>
      <c r="Q367" s="4" t="str">
        <f t="shared" si="48"/>
        <v>UNDER</v>
      </c>
      <c r="R367" s="4" t="str">
        <f t="shared" si="48"/>
        <v>UNDER</v>
      </c>
      <c r="S367" s="4" t="str">
        <f t="shared" si="46"/>
        <v>UNDER</v>
      </c>
      <c r="T367" s="4" t="str">
        <f t="shared" si="46"/>
        <v>UNDER</v>
      </c>
      <c r="U367" s="2">
        <f>IF(Q367="OVER",$J367,$K367)</f>
        <v>-248.45263664707062</v>
      </c>
      <c r="V367" s="2">
        <f>IF(R367="OVER",$J367,$K367)</f>
        <v>-248.45263664707062</v>
      </c>
      <c r="W367" s="2">
        <f>IF(S367="OVER",$J367,$K367)</f>
        <v>-248.45263664707062</v>
      </c>
      <c r="X367" s="2">
        <f>IF(T367="OVER",$J367,$K367)</f>
        <v>-248.45263664707062</v>
      </c>
      <c r="Y367" s="9">
        <f t="shared" si="47"/>
        <v>-11844.01404053815</v>
      </c>
      <c r="Z367" s="9">
        <f t="shared" si="47"/>
        <v>-10687.309958980681</v>
      </c>
      <c r="AA367" s="9">
        <f t="shared" si="47"/>
        <v>21846.991785783768</v>
      </c>
      <c r="AB367" s="9">
        <f t="shared" si="47"/>
        <v>4266.9887942161704</v>
      </c>
    </row>
    <row r="368" spans="1:28" x14ac:dyDescent="0.3">
      <c r="A368" s="1">
        <v>44946</v>
      </c>
      <c r="B368" s="2">
        <v>67.3</v>
      </c>
      <c r="C368" s="2">
        <v>72.47</v>
      </c>
      <c r="D368" s="9">
        <f>B368-B367</f>
        <v>0.61999999999999034</v>
      </c>
      <c r="E368" s="9">
        <f>C368-C367</f>
        <v>0.84999999999999432</v>
      </c>
      <c r="F368" s="3">
        <f>F$1/B368</f>
        <v>1485.8841010401188</v>
      </c>
      <c r="G368" s="3">
        <f>F$1/C368</f>
        <v>1379.8813302056024</v>
      </c>
      <c r="H368" s="2">
        <f>D368*F367</f>
        <v>929.81403719254695</v>
      </c>
      <c r="I368" s="2">
        <f>E368*G367</f>
        <v>1186.8193242111063</v>
      </c>
      <c r="J368" s="2">
        <f>I368-H368</f>
        <v>257.00528701855933</v>
      </c>
      <c r="K368" s="2">
        <f t="shared" si="43"/>
        <v>-257.00528701855933</v>
      </c>
      <c r="L368" s="14">
        <f>C368/B368</f>
        <v>1.0768202080237741</v>
      </c>
      <c r="M368" s="14">
        <f t="shared" si="45"/>
        <v>1.0733186896318565</v>
      </c>
      <c r="N368" s="14">
        <f t="shared" si="49"/>
        <v>1.0762469879111862</v>
      </c>
      <c r="O368" s="14">
        <f t="shared" si="42"/>
        <v>1.0766102168971201</v>
      </c>
      <c r="P368" s="14">
        <f t="shared" si="44"/>
        <v>1.0786444292889923</v>
      </c>
      <c r="Q368" s="4" t="str">
        <f t="shared" si="48"/>
        <v>OVER</v>
      </c>
      <c r="R368" s="4" t="str">
        <f t="shared" si="48"/>
        <v>UNDER</v>
      </c>
      <c r="S368" s="4" t="str">
        <f t="shared" si="46"/>
        <v>OVER</v>
      </c>
      <c r="T368" s="4" t="str">
        <f t="shared" si="46"/>
        <v>UNDER</v>
      </c>
      <c r="U368" s="2">
        <f>IF(Q368="OVER",$J368,$K368)</f>
        <v>257.00528701855933</v>
      </c>
      <c r="V368" s="2">
        <f>IF(R368="OVER",$J368,$K368)</f>
        <v>-257.00528701855933</v>
      </c>
      <c r="W368" s="2">
        <f>IF(S368="OVER",$J368,$K368)</f>
        <v>257.00528701855933</v>
      </c>
      <c r="X368" s="2">
        <f>IF(T368="OVER",$J368,$K368)</f>
        <v>-257.00528701855933</v>
      </c>
      <c r="Y368" s="9">
        <f t="shared" si="47"/>
        <v>-11587.008753519591</v>
      </c>
      <c r="Z368" s="9">
        <f t="shared" si="47"/>
        <v>-10944.31524599924</v>
      </c>
      <c r="AA368" s="9">
        <f t="shared" si="47"/>
        <v>22103.997072802329</v>
      </c>
      <c r="AB368" s="9">
        <f t="shared" si="47"/>
        <v>4009.9835071976113</v>
      </c>
    </row>
    <row r="369" spans="1:28" x14ac:dyDescent="0.3">
      <c r="A369" s="1">
        <v>44949</v>
      </c>
      <c r="B369" s="2">
        <v>67.88</v>
      </c>
      <c r="C369" s="2">
        <v>72.95</v>
      </c>
      <c r="D369" s="9">
        <f>B369-B368</f>
        <v>0.57999999999999829</v>
      </c>
      <c r="E369" s="9">
        <f>C369-C368</f>
        <v>0.48000000000000398</v>
      </c>
      <c r="F369" s="3">
        <f>F$1/B369</f>
        <v>1473.1879787860933</v>
      </c>
      <c r="G369" s="3">
        <f>F$1/C369</f>
        <v>1370.8019191226867</v>
      </c>
      <c r="H369" s="2">
        <f>D369*F368</f>
        <v>861.81277860326634</v>
      </c>
      <c r="I369" s="2">
        <f>E369*G368</f>
        <v>662.34303849869457</v>
      </c>
      <c r="J369" s="2">
        <f>I369-H369</f>
        <v>-199.46974010457177</v>
      </c>
      <c r="K369" s="2">
        <f t="shared" si="43"/>
        <v>199.46974010457177</v>
      </c>
      <c r="L369" s="14">
        <f>C369/B369</f>
        <v>1.074690630524455</v>
      </c>
      <c r="M369" s="14">
        <f t="shared" si="45"/>
        <v>1.0728788436213694</v>
      </c>
      <c r="N369" s="14">
        <f t="shared" si="49"/>
        <v>1.0759815194374089</v>
      </c>
      <c r="O369" s="14">
        <f t="shared" si="42"/>
        <v>1.0765088614729184</v>
      </c>
      <c r="P369" s="14">
        <f t="shared" si="44"/>
        <v>1.0785902980328024</v>
      </c>
      <c r="Q369" s="4" t="str">
        <f t="shared" si="48"/>
        <v>OVER</v>
      </c>
      <c r="R369" s="4" t="str">
        <f t="shared" si="48"/>
        <v>OVER</v>
      </c>
      <c r="S369" s="4" t="str">
        <f t="shared" si="46"/>
        <v>UNDER</v>
      </c>
      <c r="T369" s="4" t="str">
        <f t="shared" si="46"/>
        <v>UNDER</v>
      </c>
      <c r="U369" s="2">
        <f>IF(Q369="OVER",$J369,$K369)</f>
        <v>-199.46974010457177</v>
      </c>
      <c r="V369" s="2">
        <f>IF(R369="OVER",$J369,$K369)</f>
        <v>-199.46974010457177</v>
      </c>
      <c r="W369" s="2">
        <f>IF(S369="OVER",$J369,$K369)</f>
        <v>199.46974010457177</v>
      </c>
      <c r="X369" s="2">
        <f>IF(T369="OVER",$J369,$K369)</f>
        <v>199.46974010457177</v>
      </c>
      <c r="Y369" s="9">
        <f t="shared" si="47"/>
        <v>-11786.478493624163</v>
      </c>
      <c r="Z369" s="9">
        <f t="shared" si="47"/>
        <v>-11143.784986103812</v>
      </c>
      <c r="AA369" s="9">
        <f t="shared" si="47"/>
        <v>22303.4668129069</v>
      </c>
      <c r="AB369" s="9">
        <f t="shared" si="47"/>
        <v>4209.4532473021827</v>
      </c>
    </row>
    <row r="370" spans="1:28" x14ac:dyDescent="0.3">
      <c r="A370" s="1">
        <v>44950</v>
      </c>
      <c r="B370" s="2">
        <v>67.819999999999993</v>
      </c>
      <c r="C370" s="2">
        <v>72.97</v>
      </c>
      <c r="D370" s="9">
        <f>B370-B369</f>
        <v>-6.0000000000002274E-2</v>
      </c>
      <c r="E370" s="9">
        <f>C370-C369</f>
        <v>1.9999999999996021E-2</v>
      </c>
      <c r="F370" s="3">
        <f>F$1/B370</f>
        <v>1474.4913005013273</v>
      </c>
      <c r="G370" s="3">
        <f>F$1/C370</f>
        <v>1370.4262025489927</v>
      </c>
      <c r="H370" s="2">
        <f>D370*F369</f>
        <v>-88.391278727168938</v>
      </c>
      <c r="I370" s="2">
        <f>E370*G369</f>
        <v>27.416038382448281</v>
      </c>
      <c r="J370" s="2">
        <f>I370-H370</f>
        <v>115.80731710961722</v>
      </c>
      <c r="K370" s="2">
        <f t="shared" si="43"/>
        <v>-115.80731710961722</v>
      </c>
      <c r="L370" s="14">
        <f>C370/B370</f>
        <v>1.0759363019758184</v>
      </c>
      <c r="M370" s="14">
        <f t="shared" si="45"/>
        <v>1.0727883919368861</v>
      </c>
      <c r="N370" s="14">
        <f t="shared" si="49"/>
        <v>1.0758059015177703</v>
      </c>
      <c r="O370" s="14">
        <f t="shared" si="42"/>
        <v>1.0765043463064046</v>
      </c>
      <c r="P370" s="14">
        <f t="shared" si="44"/>
        <v>1.0785629185493999</v>
      </c>
      <c r="Q370" s="4" t="str">
        <f t="shared" si="48"/>
        <v>OVER</v>
      </c>
      <c r="R370" s="4" t="str">
        <f t="shared" si="48"/>
        <v>UNDER</v>
      </c>
      <c r="S370" s="4" t="str">
        <f t="shared" si="46"/>
        <v>UNDER</v>
      </c>
      <c r="T370" s="4" t="str">
        <f t="shared" si="46"/>
        <v>UNDER</v>
      </c>
      <c r="U370" s="2">
        <f>IF(Q370="OVER",$J370,$K370)</f>
        <v>115.80731710961722</v>
      </c>
      <c r="V370" s="2">
        <f>IF(R370="OVER",$J370,$K370)</f>
        <v>-115.80731710961722</v>
      </c>
      <c r="W370" s="2">
        <f>IF(S370="OVER",$J370,$K370)</f>
        <v>-115.80731710961722</v>
      </c>
      <c r="X370" s="2">
        <f>IF(T370="OVER",$J370,$K370)</f>
        <v>-115.80731710961722</v>
      </c>
      <c r="Y370" s="9">
        <f t="shared" si="47"/>
        <v>-11670.671176514546</v>
      </c>
      <c r="Z370" s="9">
        <f t="shared" si="47"/>
        <v>-11259.592303213429</v>
      </c>
      <c r="AA370" s="9">
        <f t="shared" si="47"/>
        <v>22187.659495797281</v>
      </c>
      <c r="AB370" s="9">
        <f t="shared" si="47"/>
        <v>4093.6459301925656</v>
      </c>
    </row>
    <row r="371" spans="1:28" x14ac:dyDescent="0.3">
      <c r="A371" s="1">
        <v>44951</v>
      </c>
      <c r="B371" s="2">
        <v>67.7</v>
      </c>
      <c r="C371" s="2">
        <v>72.900000000000006</v>
      </c>
      <c r="D371" s="9">
        <f>B371-B370</f>
        <v>-0.11999999999999034</v>
      </c>
      <c r="E371" s="9">
        <f>C371-C370</f>
        <v>-6.9999999999993179E-2</v>
      </c>
      <c r="F371" s="3">
        <f>F$1/B371</f>
        <v>1477.1048744460857</v>
      </c>
      <c r="G371" s="3">
        <f>F$1/C371</f>
        <v>1371.7421124828531</v>
      </c>
      <c r="H371" s="2">
        <f>D371*F370</f>
        <v>-176.93895606014502</v>
      </c>
      <c r="I371" s="2">
        <f>E371*G370</f>
        <v>-95.929834178420137</v>
      </c>
      <c r="J371" s="2">
        <f>I371-H371</f>
        <v>81.00912188172488</v>
      </c>
      <c r="K371" s="2">
        <f t="shared" si="43"/>
        <v>-81.00912188172488</v>
      </c>
      <c r="L371" s="14">
        <f>C371/B371</f>
        <v>1.0768094534711965</v>
      </c>
      <c r="M371" s="14">
        <f t="shared" si="45"/>
        <v>1.0730080088035687</v>
      </c>
      <c r="N371" s="14">
        <f t="shared" si="49"/>
        <v>1.0757847428649099</v>
      </c>
      <c r="O371" s="14">
        <f t="shared" si="42"/>
        <v>1.076475370942211</v>
      </c>
      <c r="P371" s="14">
        <f t="shared" si="44"/>
        <v>1.0785492085608193</v>
      </c>
      <c r="Q371" s="4" t="str">
        <f t="shared" si="48"/>
        <v>OVER</v>
      </c>
      <c r="R371" s="4" t="str">
        <f t="shared" si="48"/>
        <v>OVER</v>
      </c>
      <c r="S371" s="4" t="str">
        <f t="shared" si="46"/>
        <v>OVER</v>
      </c>
      <c r="T371" s="4" t="str">
        <f t="shared" si="46"/>
        <v>UNDER</v>
      </c>
      <c r="U371" s="2">
        <f>IF(Q371="OVER",$J371,$K371)</f>
        <v>81.00912188172488</v>
      </c>
      <c r="V371" s="2">
        <f>IF(R371="OVER",$J371,$K371)</f>
        <v>81.00912188172488</v>
      </c>
      <c r="W371" s="2">
        <f>IF(S371="OVER",$J371,$K371)</f>
        <v>81.00912188172488</v>
      </c>
      <c r="X371" s="2">
        <f>IF(T371="OVER",$J371,$K371)</f>
        <v>-81.00912188172488</v>
      </c>
      <c r="Y371" s="9">
        <f t="shared" si="47"/>
        <v>-11589.662054632821</v>
      </c>
      <c r="Z371" s="9">
        <f t="shared" si="47"/>
        <v>-11178.583181331704</v>
      </c>
      <c r="AA371" s="9">
        <f t="shared" si="47"/>
        <v>22268.668617679006</v>
      </c>
      <c r="AB371" s="9">
        <f t="shared" si="47"/>
        <v>4012.6368083108409</v>
      </c>
    </row>
    <row r="372" spans="1:28" x14ac:dyDescent="0.3">
      <c r="A372" s="1">
        <v>44952</v>
      </c>
      <c r="B372" s="2">
        <v>67.900000000000006</v>
      </c>
      <c r="C372" s="2">
        <v>73.17</v>
      </c>
      <c r="D372" s="9">
        <f>B372-B371</f>
        <v>0.20000000000000284</v>
      </c>
      <c r="E372" s="9">
        <f>C372-C371</f>
        <v>0.26999999999999602</v>
      </c>
      <c r="F372" s="3">
        <f>F$1/B372</f>
        <v>1472.7540500736375</v>
      </c>
      <c r="G372" s="3">
        <f>F$1/C372</f>
        <v>1366.6803334700014</v>
      </c>
      <c r="H372" s="2">
        <f>D372*F371</f>
        <v>295.42097488922133</v>
      </c>
      <c r="I372" s="2">
        <f>E372*G371</f>
        <v>370.37037037036487</v>
      </c>
      <c r="J372" s="2">
        <f>I372-H372</f>
        <v>74.94939548114354</v>
      </c>
      <c r="K372" s="2">
        <f t="shared" si="43"/>
        <v>-74.94939548114354</v>
      </c>
      <c r="L372" s="14">
        <f>C372/B372</f>
        <v>1.0776141384388807</v>
      </c>
      <c r="M372" s="14">
        <f t="shared" si="45"/>
        <v>1.0743100202930953</v>
      </c>
      <c r="N372" s="14">
        <f t="shared" si="49"/>
        <v>1.0756343213821846</v>
      </c>
      <c r="O372" s="14">
        <f t="shared" si="42"/>
        <v>1.076532637099693</v>
      </c>
      <c r="P372" s="14">
        <f t="shared" si="44"/>
        <v>1.0785366424793337</v>
      </c>
      <c r="Q372" s="4" t="str">
        <f t="shared" si="48"/>
        <v>OVER</v>
      </c>
      <c r="R372" s="4" t="str">
        <f t="shared" si="48"/>
        <v>OVER</v>
      </c>
      <c r="S372" s="4" t="str">
        <f t="shared" si="46"/>
        <v>OVER</v>
      </c>
      <c r="T372" s="4" t="str">
        <f t="shared" si="46"/>
        <v>UNDER</v>
      </c>
      <c r="U372" s="2">
        <f>IF(Q372="OVER",$J372,$K372)</f>
        <v>74.94939548114354</v>
      </c>
      <c r="V372" s="2">
        <f>IF(R372="OVER",$J372,$K372)</f>
        <v>74.94939548114354</v>
      </c>
      <c r="W372" s="2">
        <f>IF(S372="OVER",$J372,$K372)</f>
        <v>74.94939548114354</v>
      </c>
      <c r="X372" s="2">
        <f>IF(T372="OVER",$J372,$K372)</f>
        <v>-74.94939548114354</v>
      </c>
      <c r="Y372" s="9">
        <f t="shared" si="47"/>
        <v>-11514.712659151677</v>
      </c>
      <c r="Z372" s="9">
        <f t="shared" si="47"/>
        <v>-11103.633785850559</v>
      </c>
      <c r="AA372" s="9">
        <f t="shared" si="47"/>
        <v>22343.61801316015</v>
      </c>
      <c r="AB372" s="9">
        <f t="shared" si="47"/>
        <v>3937.6874128296972</v>
      </c>
    </row>
    <row r="373" spans="1:28" x14ac:dyDescent="0.3">
      <c r="A373" s="1">
        <v>44953</v>
      </c>
      <c r="B373" s="2">
        <v>68.319999999999993</v>
      </c>
      <c r="C373" s="2">
        <v>73.56</v>
      </c>
      <c r="D373" s="9">
        <f>B373-B372</f>
        <v>0.41999999999998749</v>
      </c>
      <c r="E373" s="9">
        <f>C373-C372</f>
        <v>0.39000000000000057</v>
      </c>
      <c r="F373" s="3">
        <f>F$1/B373</f>
        <v>1463.7002341920377</v>
      </c>
      <c r="G373" s="3">
        <f>F$1/C373</f>
        <v>1359.4344752582924</v>
      </c>
      <c r="H373" s="2">
        <f>D373*F372</f>
        <v>618.55670103090927</v>
      </c>
      <c r="I373" s="2">
        <f>E373*G372</f>
        <v>533.00533005330135</v>
      </c>
      <c r="J373" s="2">
        <f>I373-H373</f>
        <v>-85.551370977607917</v>
      </c>
      <c r="K373" s="2">
        <f t="shared" si="43"/>
        <v>85.551370977607917</v>
      </c>
      <c r="L373" s="14">
        <f>C373/B373</f>
        <v>1.076697892271663</v>
      </c>
      <c r="M373" s="14">
        <f t="shared" si="45"/>
        <v>1.0750543110942385</v>
      </c>
      <c r="N373" s="14">
        <f t="shared" si="49"/>
        <v>1.0754431604314922</v>
      </c>
      <c r="O373" s="14">
        <f t="shared" ref="O373:O436" si="50">AVERAGE(L324:L373)</f>
        <v>1.0765211265983825</v>
      </c>
      <c r="P373" s="14">
        <f t="shared" si="44"/>
        <v>1.0784839844654048</v>
      </c>
      <c r="Q373" s="4" t="str">
        <f t="shared" si="48"/>
        <v>OVER</v>
      </c>
      <c r="R373" s="4" t="str">
        <f t="shared" si="48"/>
        <v>OVER</v>
      </c>
      <c r="S373" s="4" t="str">
        <f t="shared" si="46"/>
        <v>OVER</v>
      </c>
      <c r="T373" s="4" t="str">
        <f t="shared" si="46"/>
        <v>UNDER</v>
      </c>
      <c r="U373" s="2">
        <f>IF(Q373="OVER",$J373,$K373)</f>
        <v>-85.551370977607917</v>
      </c>
      <c r="V373" s="2">
        <f>IF(R373="OVER",$J373,$K373)</f>
        <v>-85.551370977607917</v>
      </c>
      <c r="W373" s="2">
        <f>IF(S373="OVER",$J373,$K373)</f>
        <v>-85.551370977607917</v>
      </c>
      <c r="X373" s="2">
        <f>IF(T373="OVER",$J373,$K373)</f>
        <v>85.551370977607917</v>
      </c>
      <c r="Y373" s="9">
        <f t="shared" si="47"/>
        <v>-11600.264030129285</v>
      </c>
      <c r="Z373" s="9">
        <f t="shared" si="47"/>
        <v>-11189.185156828167</v>
      </c>
      <c r="AA373" s="9">
        <f t="shared" si="47"/>
        <v>22258.066642182541</v>
      </c>
      <c r="AB373" s="9">
        <f t="shared" si="47"/>
        <v>4023.238783807305</v>
      </c>
    </row>
    <row r="374" spans="1:28" x14ac:dyDescent="0.3">
      <c r="A374" s="1">
        <v>44956</v>
      </c>
      <c r="B374" s="2">
        <v>67.83</v>
      </c>
      <c r="C374" s="2">
        <v>73.19</v>
      </c>
      <c r="D374" s="9">
        <f>B374-B373</f>
        <v>-0.48999999999999488</v>
      </c>
      <c r="E374" s="9">
        <f>C374-C373</f>
        <v>-0.37000000000000455</v>
      </c>
      <c r="F374" s="3">
        <f>F$1/B374</f>
        <v>1474.2739200943536</v>
      </c>
      <c r="G374" s="3">
        <f>F$1/C374</f>
        <v>1366.3068725235689</v>
      </c>
      <c r="H374" s="2">
        <f>D374*F373</f>
        <v>-717.21311475409095</v>
      </c>
      <c r="I374" s="2">
        <f>E374*G373</f>
        <v>-502.99075584557437</v>
      </c>
      <c r="J374" s="2">
        <f>I374-H374</f>
        <v>214.22235890851658</v>
      </c>
      <c r="K374" s="2">
        <f t="shared" si="43"/>
        <v>-214.22235890851658</v>
      </c>
      <c r="L374" s="14">
        <f>C374/B374</f>
        <v>1.0790210821170574</v>
      </c>
      <c r="M374" s="14">
        <f t="shared" si="45"/>
        <v>1.0756655291911388</v>
      </c>
      <c r="N374" s="14">
        <f t="shared" si="49"/>
        <v>1.0755169806601113</v>
      </c>
      <c r="O374" s="14">
        <f t="shared" si="50"/>
        <v>1.0765464920609484</v>
      </c>
      <c r="P374" s="14">
        <f t="shared" si="44"/>
        <v>1.0784528472250012</v>
      </c>
      <c r="Q374" s="4" t="str">
        <f t="shared" si="48"/>
        <v>OVER</v>
      </c>
      <c r="R374" s="4" t="str">
        <f t="shared" si="48"/>
        <v>OVER</v>
      </c>
      <c r="S374" s="4" t="str">
        <f t="shared" si="46"/>
        <v>OVER</v>
      </c>
      <c r="T374" s="4" t="str">
        <f t="shared" si="46"/>
        <v>OVER</v>
      </c>
      <c r="U374" s="2">
        <f>IF(Q374="OVER",$J374,$K374)</f>
        <v>214.22235890851658</v>
      </c>
      <c r="V374" s="2">
        <f>IF(R374="OVER",$J374,$K374)</f>
        <v>214.22235890851658</v>
      </c>
      <c r="W374" s="2">
        <f>IF(S374="OVER",$J374,$K374)</f>
        <v>214.22235890851658</v>
      </c>
      <c r="X374" s="2">
        <f>IF(T374="OVER",$J374,$K374)</f>
        <v>214.22235890851658</v>
      </c>
      <c r="Y374" s="9">
        <f t="shared" si="47"/>
        <v>-11386.041671220768</v>
      </c>
      <c r="Z374" s="9">
        <f t="shared" si="47"/>
        <v>-10974.96279791965</v>
      </c>
      <c r="AA374" s="9">
        <f t="shared" si="47"/>
        <v>22472.289001091056</v>
      </c>
      <c r="AB374" s="9">
        <f t="shared" si="47"/>
        <v>4237.4611427158216</v>
      </c>
    </row>
    <row r="375" spans="1:28" x14ac:dyDescent="0.3">
      <c r="A375" s="1">
        <v>44957</v>
      </c>
      <c r="B375" s="2">
        <v>68.209999999999994</v>
      </c>
      <c r="C375" s="2">
        <v>73.709999999999994</v>
      </c>
      <c r="D375" s="9">
        <f>B375-B374</f>
        <v>0.37999999999999545</v>
      </c>
      <c r="E375" s="9">
        <f>C375-C374</f>
        <v>0.51999999999999602</v>
      </c>
      <c r="F375" s="3">
        <f>F$1/B375</f>
        <v>1466.0606949127696</v>
      </c>
      <c r="G375" s="3">
        <f>F$1/C375</f>
        <v>1356.6680233346901</v>
      </c>
      <c r="H375" s="2">
        <f>D375*F374</f>
        <v>560.22408963584769</v>
      </c>
      <c r="I375" s="2">
        <f>E375*G374</f>
        <v>710.47957371225039</v>
      </c>
      <c r="J375" s="2">
        <f>I375-H375</f>
        <v>150.25548407640269</v>
      </c>
      <c r="K375" s="2">
        <f t="shared" si="43"/>
        <v>-150.25548407640269</v>
      </c>
      <c r="L375" s="14">
        <f>C375/B375</f>
        <v>1.0806333382202022</v>
      </c>
      <c r="M375" s="14">
        <f t="shared" si="45"/>
        <v>1.0763715502902103</v>
      </c>
      <c r="N375" s="14">
        <f t="shared" si="49"/>
        <v>1.0755620140616404</v>
      </c>
      <c r="O375" s="14">
        <f t="shared" si="50"/>
        <v>1.0766527437310129</v>
      </c>
      <c r="P375" s="14">
        <f t="shared" si="44"/>
        <v>1.0784235814836698</v>
      </c>
      <c r="Q375" s="4" t="str">
        <f t="shared" si="48"/>
        <v>OVER</v>
      </c>
      <c r="R375" s="4" t="str">
        <f t="shared" si="48"/>
        <v>OVER</v>
      </c>
      <c r="S375" s="4" t="str">
        <f t="shared" si="46"/>
        <v>OVER</v>
      </c>
      <c r="T375" s="4" t="str">
        <f t="shared" si="46"/>
        <v>OVER</v>
      </c>
      <c r="U375" s="2">
        <f>IF(Q375="OVER",$J375,$K375)</f>
        <v>150.25548407640269</v>
      </c>
      <c r="V375" s="2">
        <f>IF(R375="OVER",$J375,$K375)</f>
        <v>150.25548407640269</v>
      </c>
      <c r="W375" s="2">
        <f>IF(S375="OVER",$J375,$K375)</f>
        <v>150.25548407640269</v>
      </c>
      <c r="X375" s="2">
        <f>IF(T375="OVER",$J375,$K375)</f>
        <v>150.25548407640269</v>
      </c>
      <c r="Y375" s="9">
        <f t="shared" si="47"/>
        <v>-11235.786187144366</v>
      </c>
      <c r="Z375" s="9">
        <f t="shared" si="47"/>
        <v>-10824.707313843248</v>
      </c>
      <c r="AA375" s="9">
        <f t="shared" si="47"/>
        <v>22622.544485167458</v>
      </c>
      <c r="AB375" s="9">
        <f t="shared" si="47"/>
        <v>4387.7166267922239</v>
      </c>
    </row>
    <row r="376" spans="1:28" x14ac:dyDescent="0.3">
      <c r="A376" s="1">
        <v>44958</v>
      </c>
      <c r="B376" s="2">
        <v>68.67</v>
      </c>
      <c r="C376" s="2">
        <v>74.13</v>
      </c>
      <c r="D376" s="9">
        <f>B376-B375</f>
        <v>0.46000000000000796</v>
      </c>
      <c r="E376" s="9">
        <f>C376-C375</f>
        <v>0.42000000000000171</v>
      </c>
      <c r="F376" s="3">
        <f>F$1/B376</f>
        <v>1456.23998835008</v>
      </c>
      <c r="G376" s="3">
        <f>F$1/C376</f>
        <v>1348.9815189531905</v>
      </c>
      <c r="H376" s="2">
        <f>D376*F375</f>
        <v>674.38791965988571</v>
      </c>
      <c r="I376" s="2">
        <f>E376*G375</f>
        <v>569.80056980057213</v>
      </c>
      <c r="J376" s="2">
        <f>I376-H376</f>
        <v>-104.58734985931358</v>
      </c>
      <c r="K376" s="2">
        <f t="shared" si="43"/>
        <v>104.58734985931358</v>
      </c>
      <c r="L376" s="14">
        <f>C376/B376</f>
        <v>1.0795107033639142</v>
      </c>
      <c r="M376" s="14">
        <f t="shared" si="45"/>
        <v>1.0771818931370369</v>
      </c>
      <c r="N376" s="14">
        <f t="shared" si="49"/>
        <v>1.0754742205759602</v>
      </c>
      <c r="O376" s="14">
        <f t="shared" si="50"/>
        <v>1.0767019243636409</v>
      </c>
      <c r="P376" s="14">
        <f t="shared" si="44"/>
        <v>1.078390478066183</v>
      </c>
      <c r="Q376" s="4" t="str">
        <f t="shared" si="48"/>
        <v>OVER</v>
      </c>
      <c r="R376" s="4" t="str">
        <f t="shared" si="48"/>
        <v>OVER</v>
      </c>
      <c r="S376" s="4" t="str">
        <f t="shared" si="46"/>
        <v>OVER</v>
      </c>
      <c r="T376" s="4" t="str">
        <f t="shared" si="46"/>
        <v>OVER</v>
      </c>
      <c r="U376" s="2">
        <f>IF(Q376="OVER",$J376,$K376)</f>
        <v>-104.58734985931358</v>
      </c>
      <c r="V376" s="2">
        <f>IF(R376="OVER",$J376,$K376)</f>
        <v>-104.58734985931358</v>
      </c>
      <c r="W376" s="2">
        <f>IF(S376="OVER",$J376,$K376)</f>
        <v>-104.58734985931358</v>
      </c>
      <c r="X376" s="2">
        <f>IF(T376="OVER",$J376,$K376)</f>
        <v>-104.58734985931358</v>
      </c>
      <c r="Y376" s="9">
        <f t="shared" si="47"/>
        <v>-11340.373537003679</v>
      </c>
      <c r="Z376" s="9">
        <f t="shared" si="47"/>
        <v>-10929.294663702562</v>
      </c>
      <c r="AA376" s="9">
        <f t="shared" si="47"/>
        <v>22517.957135308145</v>
      </c>
      <c r="AB376" s="9">
        <f t="shared" si="47"/>
        <v>4283.1292769329102</v>
      </c>
    </row>
    <row r="377" spans="1:28" x14ac:dyDescent="0.3">
      <c r="A377" s="1">
        <v>44959</v>
      </c>
      <c r="B377" s="2">
        <v>69.540000000000006</v>
      </c>
      <c r="C377" s="2">
        <v>75.11</v>
      </c>
      <c r="D377" s="9">
        <f>B377-B376</f>
        <v>0.87000000000000455</v>
      </c>
      <c r="E377" s="9">
        <f>C377-C376</f>
        <v>0.98000000000000398</v>
      </c>
      <c r="F377" s="3">
        <f>F$1/B377</f>
        <v>1438.021282714984</v>
      </c>
      <c r="G377" s="3">
        <f>F$1/C377</f>
        <v>1331.3806417254693</v>
      </c>
      <c r="H377" s="2">
        <f>D377*F376</f>
        <v>1266.9287898645762</v>
      </c>
      <c r="I377" s="2">
        <f>E377*G376</f>
        <v>1322.0018885741322</v>
      </c>
      <c r="J377" s="2">
        <f>I377-H377</f>
        <v>55.073098709556007</v>
      </c>
      <c r="K377" s="2">
        <f t="shared" si="43"/>
        <v>-55.073098709556007</v>
      </c>
      <c r="L377" s="14">
        <f>C377/B377</f>
        <v>1.0800977854472245</v>
      </c>
      <c r="M377" s="14">
        <f t="shared" si="45"/>
        <v>1.0777831533854185</v>
      </c>
      <c r="N377" s="14">
        <f t="shared" si="49"/>
        <v>1.0755071832711196</v>
      </c>
      <c r="O377" s="14">
        <f t="shared" si="50"/>
        <v>1.0767761443951074</v>
      </c>
      <c r="P377" s="14">
        <f t="shared" si="44"/>
        <v>1.0783616504226021</v>
      </c>
      <c r="Q377" s="4" t="str">
        <f t="shared" si="48"/>
        <v>OVER</v>
      </c>
      <c r="R377" s="4" t="str">
        <f t="shared" si="48"/>
        <v>OVER</v>
      </c>
      <c r="S377" s="4" t="str">
        <f t="shared" si="46"/>
        <v>OVER</v>
      </c>
      <c r="T377" s="4" t="str">
        <f t="shared" si="46"/>
        <v>OVER</v>
      </c>
      <c r="U377" s="2">
        <f>IF(Q377="OVER",$J377,$K377)</f>
        <v>55.073098709556007</v>
      </c>
      <c r="V377" s="2">
        <f>IF(R377="OVER",$J377,$K377)</f>
        <v>55.073098709556007</v>
      </c>
      <c r="W377" s="2">
        <f>IF(S377="OVER",$J377,$K377)</f>
        <v>55.073098709556007</v>
      </c>
      <c r="X377" s="2">
        <f>IF(T377="OVER",$J377,$K377)</f>
        <v>55.073098709556007</v>
      </c>
      <c r="Y377" s="9">
        <f t="shared" si="47"/>
        <v>-11285.300438294124</v>
      </c>
      <c r="Z377" s="9">
        <f t="shared" si="47"/>
        <v>-10874.221564993006</v>
      </c>
      <c r="AA377" s="9">
        <f t="shared" si="47"/>
        <v>22573.0302340177</v>
      </c>
      <c r="AB377" s="9">
        <f t="shared" si="47"/>
        <v>4338.202375642466</v>
      </c>
    </row>
    <row r="378" spans="1:28" x14ac:dyDescent="0.3">
      <c r="A378" s="1">
        <v>44960</v>
      </c>
      <c r="B378" s="2">
        <v>69.09</v>
      </c>
      <c r="C378" s="2">
        <v>74.510000000000005</v>
      </c>
      <c r="D378" s="9">
        <f>B378-B377</f>
        <v>-0.45000000000000284</v>
      </c>
      <c r="E378" s="9">
        <f>C378-C377</f>
        <v>-0.59999999999999432</v>
      </c>
      <c r="F378" s="3">
        <f>F$1/B378</f>
        <v>1447.3874656245475</v>
      </c>
      <c r="G378" s="3">
        <f>F$1/C378</f>
        <v>1342.1017313112334</v>
      </c>
      <c r="H378" s="2">
        <f>D378*F377</f>
        <v>-647.10957722174692</v>
      </c>
      <c r="I378" s="2">
        <f>E378*G377</f>
        <v>-798.82838503527398</v>
      </c>
      <c r="J378" s="2">
        <f>I378-H378</f>
        <v>-151.71880781352706</v>
      </c>
      <c r="K378" s="2">
        <f t="shared" si="43"/>
        <v>151.71880781352706</v>
      </c>
      <c r="L378" s="14">
        <f>C378/B378</f>
        <v>1.0784484006368504</v>
      </c>
      <c r="M378" s="14">
        <f t="shared" si="45"/>
        <v>1.077945972646726</v>
      </c>
      <c r="N378" s="14">
        <f t="shared" si="49"/>
        <v>1.0756323311392917</v>
      </c>
      <c r="O378" s="14">
        <f t="shared" si="50"/>
        <v>1.0768871912390725</v>
      </c>
      <c r="P378" s="14">
        <f t="shared" si="44"/>
        <v>1.0783246765574035</v>
      </c>
      <c r="Q378" s="4" t="str">
        <f t="shared" si="48"/>
        <v>OVER</v>
      </c>
      <c r="R378" s="4" t="str">
        <f t="shared" si="48"/>
        <v>OVER</v>
      </c>
      <c r="S378" s="4" t="str">
        <f t="shared" si="46"/>
        <v>OVER</v>
      </c>
      <c r="T378" s="4" t="str">
        <f t="shared" si="46"/>
        <v>OVER</v>
      </c>
      <c r="U378" s="2">
        <f>IF(Q378="OVER",$J378,$K378)</f>
        <v>-151.71880781352706</v>
      </c>
      <c r="V378" s="2">
        <f>IF(R378="OVER",$J378,$K378)</f>
        <v>-151.71880781352706</v>
      </c>
      <c r="W378" s="2">
        <f>IF(S378="OVER",$J378,$K378)</f>
        <v>-151.71880781352706</v>
      </c>
      <c r="X378" s="2">
        <f>IF(T378="OVER",$J378,$K378)</f>
        <v>-151.71880781352706</v>
      </c>
      <c r="Y378" s="9">
        <f t="shared" si="47"/>
        <v>-11437.019246107651</v>
      </c>
      <c r="Z378" s="9">
        <f t="shared" si="47"/>
        <v>-11025.940372806534</v>
      </c>
      <c r="AA378" s="9">
        <f t="shared" si="47"/>
        <v>22421.311426204174</v>
      </c>
      <c r="AB378" s="9">
        <f t="shared" si="47"/>
        <v>4186.4835678289392</v>
      </c>
    </row>
    <row r="379" spans="1:28" x14ac:dyDescent="0.3">
      <c r="A379" s="1">
        <v>44963</v>
      </c>
      <c r="B379" s="2">
        <v>68.56</v>
      </c>
      <c r="C379" s="2">
        <v>74.31</v>
      </c>
      <c r="D379" s="9">
        <f>B379-B378</f>
        <v>-0.53000000000000114</v>
      </c>
      <c r="E379" s="9">
        <f>C379-C378</f>
        <v>-0.20000000000000284</v>
      </c>
      <c r="F379" s="3">
        <f>F$1/B379</f>
        <v>1458.5764294049009</v>
      </c>
      <c r="G379" s="3">
        <f>F$1/C379</f>
        <v>1345.7139012245996</v>
      </c>
      <c r="H379" s="2">
        <f>D379*F378</f>
        <v>-767.11535678101188</v>
      </c>
      <c r="I379" s="2">
        <f>E379*G378</f>
        <v>-268.42034626225052</v>
      </c>
      <c r="J379" s="2">
        <f>I379-H379</f>
        <v>498.69501051876136</v>
      </c>
      <c r="K379" s="2">
        <f t="shared" si="43"/>
        <v>-498.69501051876136</v>
      </c>
      <c r="L379" s="14">
        <f>C379/B379</f>
        <v>1.0838681446907819</v>
      </c>
      <c r="M379" s="14">
        <f t="shared" si="45"/>
        <v>1.0788637240633587</v>
      </c>
      <c r="N379" s="14">
        <f t="shared" si="49"/>
        <v>1.0758712838423645</v>
      </c>
      <c r="O379" s="14">
        <f t="shared" si="50"/>
        <v>1.0770762243359799</v>
      </c>
      <c r="P379" s="14">
        <f t="shared" si="44"/>
        <v>1.0783106884056401</v>
      </c>
      <c r="Q379" s="4" t="str">
        <f t="shared" si="48"/>
        <v>OVER</v>
      </c>
      <c r="R379" s="4" t="str">
        <f t="shared" si="48"/>
        <v>OVER</v>
      </c>
      <c r="S379" s="4" t="str">
        <f t="shared" si="46"/>
        <v>OVER</v>
      </c>
      <c r="T379" s="4" t="str">
        <f t="shared" si="46"/>
        <v>OVER</v>
      </c>
      <c r="U379" s="2">
        <f>IF(Q379="OVER",$J379,$K379)</f>
        <v>498.69501051876136</v>
      </c>
      <c r="V379" s="2">
        <f>IF(R379="OVER",$J379,$K379)</f>
        <v>498.69501051876136</v>
      </c>
      <c r="W379" s="2">
        <f>IF(S379="OVER",$J379,$K379)</f>
        <v>498.69501051876136</v>
      </c>
      <c r="X379" s="2">
        <f>IF(T379="OVER",$J379,$K379)</f>
        <v>498.69501051876136</v>
      </c>
      <c r="Y379" s="9">
        <f t="shared" si="47"/>
        <v>-10938.324235588891</v>
      </c>
      <c r="Z379" s="9">
        <f t="shared" si="47"/>
        <v>-10527.245362287773</v>
      </c>
      <c r="AA379" s="9">
        <f t="shared" si="47"/>
        <v>22920.006436722935</v>
      </c>
      <c r="AB379" s="9">
        <f t="shared" si="47"/>
        <v>4685.1785783477007</v>
      </c>
    </row>
    <row r="380" spans="1:28" x14ac:dyDescent="0.3">
      <c r="A380" s="1">
        <v>44964</v>
      </c>
      <c r="B380" s="2">
        <v>68.8</v>
      </c>
      <c r="C380" s="2">
        <v>74.69</v>
      </c>
      <c r="D380" s="9">
        <f>B380-B379</f>
        <v>0.23999999999999488</v>
      </c>
      <c r="E380" s="9">
        <f>C380-C379</f>
        <v>0.37999999999999545</v>
      </c>
      <c r="F380" s="3">
        <f>F$1/B380</f>
        <v>1453.4883720930234</v>
      </c>
      <c r="G380" s="3">
        <f>F$1/C380</f>
        <v>1338.8673182487616</v>
      </c>
      <c r="H380" s="2">
        <f>D380*F379</f>
        <v>350.05834305716877</v>
      </c>
      <c r="I380" s="2">
        <f>E380*G379</f>
        <v>511.37128246534172</v>
      </c>
      <c r="J380" s="2">
        <f>I380-H380</f>
        <v>161.31293940817295</v>
      </c>
      <c r="K380" s="2">
        <f t="shared" si="43"/>
        <v>-161.31293940817295</v>
      </c>
      <c r="L380" s="14">
        <f>C380/B380</f>
        <v>1.085610465116279</v>
      </c>
      <c r="M380" s="14">
        <f t="shared" si="45"/>
        <v>1.0798311403774048</v>
      </c>
      <c r="N380" s="14">
        <f t="shared" si="49"/>
        <v>1.0763097661571455</v>
      </c>
      <c r="O380" s="14">
        <f t="shared" si="50"/>
        <v>1.0772657750280339</v>
      </c>
      <c r="P380" s="14">
        <f t="shared" si="44"/>
        <v>1.0783246198894021</v>
      </c>
      <c r="Q380" s="4" t="str">
        <f t="shared" si="48"/>
        <v>OVER</v>
      </c>
      <c r="R380" s="4" t="str">
        <f t="shared" si="48"/>
        <v>OVER</v>
      </c>
      <c r="S380" s="4" t="str">
        <f t="shared" si="46"/>
        <v>OVER</v>
      </c>
      <c r="T380" s="4" t="str">
        <f t="shared" si="46"/>
        <v>OVER</v>
      </c>
      <c r="U380" s="2">
        <f>IF(Q380="OVER",$J380,$K380)</f>
        <v>161.31293940817295</v>
      </c>
      <c r="V380" s="2">
        <f>IF(R380="OVER",$J380,$K380)</f>
        <v>161.31293940817295</v>
      </c>
      <c r="W380" s="2">
        <f>IF(S380="OVER",$J380,$K380)</f>
        <v>161.31293940817295</v>
      </c>
      <c r="X380" s="2">
        <f>IF(T380="OVER",$J380,$K380)</f>
        <v>161.31293940817295</v>
      </c>
      <c r="Y380" s="9">
        <f t="shared" si="47"/>
        <v>-10777.011296180717</v>
      </c>
      <c r="Z380" s="9">
        <f t="shared" si="47"/>
        <v>-10365.932422879599</v>
      </c>
      <c r="AA380" s="9">
        <f t="shared" si="47"/>
        <v>23081.319376131109</v>
      </c>
      <c r="AB380" s="9">
        <f t="shared" si="47"/>
        <v>4846.4915177558742</v>
      </c>
    </row>
    <row r="381" spans="1:28" x14ac:dyDescent="0.3">
      <c r="A381" s="1">
        <v>44965</v>
      </c>
      <c r="B381" s="2">
        <v>68.87</v>
      </c>
      <c r="C381" s="2">
        <v>74.56</v>
      </c>
      <c r="D381" s="9">
        <f>B381-B380</f>
        <v>7.000000000000739E-2</v>
      </c>
      <c r="E381" s="9">
        <f>C381-C380</f>
        <v>-0.12999999999999545</v>
      </c>
      <c r="F381" s="3">
        <f>F$1/B381</f>
        <v>1452.0110352838681</v>
      </c>
      <c r="G381" s="3">
        <f>F$1/C381</f>
        <v>1341.2017167381973</v>
      </c>
      <c r="H381" s="2">
        <f>D381*F380</f>
        <v>101.74418604652237</v>
      </c>
      <c r="I381" s="2">
        <f>E381*G380</f>
        <v>-174.05275137233292</v>
      </c>
      <c r="J381" s="2">
        <f>I381-H381</f>
        <v>-275.79693741885529</v>
      </c>
      <c r="K381" s="2">
        <f t="shared" si="43"/>
        <v>275.79693741885529</v>
      </c>
      <c r="L381" s="14">
        <f>C381/B381</f>
        <v>1.082619427907652</v>
      </c>
      <c r="M381" s="14">
        <f t="shared" si="45"/>
        <v>1.0804121378210503</v>
      </c>
      <c r="N381" s="14">
        <f t="shared" si="49"/>
        <v>1.0767100733123098</v>
      </c>
      <c r="O381" s="14">
        <f t="shared" si="50"/>
        <v>1.0774166530121687</v>
      </c>
      <c r="P381" s="14">
        <f t="shared" si="44"/>
        <v>1.0783290896860516</v>
      </c>
      <c r="Q381" s="4" t="str">
        <f t="shared" si="48"/>
        <v>OVER</v>
      </c>
      <c r="R381" s="4" t="str">
        <f t="shared" si="48"/>
        <v>OVER</v>
      </c>
      <c r="S381" s="4" t="str">
        <f t="shared" si="46"/>
        <v>OVER</v>
      </c>
      <c r="T381" s="4" t="str">
        <f t="shared" si="46"/>
        <v>OVER</v>
      </c>
      <c r="U381" s="2">
        <f>IF(Q381="OVER",$J381,$K381)</f>
        <v>-275.79693741885529</v>
      </c>
      <c r="V381" s="2">
        <f>IF(R381="OVER",$J381,$K381)</f>
        <v>-275.79693741885529</v>
      </c>
      <c r="W381" s="2">
        <f>IF(S381="OVER",$J381,$K381)</f>
        <v>-275.79693741885529</v>
      </c>
      <c r="X381" s="2">
        <f>IF(T381="OVER",$J381,$K381)</f>
        <v>-275.79693741885529</v>
      </c>
      <c r="Y381" s="9">
        <f t="shared" si="47"/>
        <v>-11052.808233599573</v>
      </c>
      <c r="Z381" s="9">
        <f t="shared" si="47"/>
        <v>-10641.729360298456</v>
      </c>
      <c r="AA381" s="9">
        <f t="shared" si="47"/>
        <v>22805.522438712254</v>
      </c>
      <c r="AB381" s="9">
        <f t="shared" si="47"/>
        <v>4570.694580337019</v>
      </c>
    </row>
    <row r="382" spans="1:28" x14ac:dyDescent="0.3">
      <c r="A382" s="1">
        <v>44966</v>
      </c>
      <c r="B382" s="2">
        <v>68.459999999999994</v>
      </c>
      <c r="C382" s="2">
        <v>74.16</v>
      </c>
      <c r="D382" s="9">
        <f>B382-B381</f>
        <v>-0.4100000000000108</v>
      </c>
      <c r="E382" s="9">
        <f>C382-C381</f>
        <v>-0.40000000000000568</v>
      </c>
      <c r="F382" s="3">
        <f>F$1/B382</f>
        <v>1460.706982179375</v>
      </c>
      <c r="G382" s="3">
        <f>F$1/C382</f>
        <v>1348.435814455232</v>
      </c>
      <c r="H382" s="2">
        <f>D382*F381</f>
        <v>-595.32452446640161</v>
      </c>
      <c r="I382" s="2">
        <f>E382*G381</f>
        <v>-536.48068669528652</v>
      </c>
      <c r="J382" s="2">
        <f>I382-H382</f>
        <v>58.843837771115091</v>
      </c>
      <c r="K382" s="2">
        <f t="shared" si="43"/>
        <v>-58.843837771115091</v>
      </c>
      <c r="L382" s="14">
        <f>C382/B382</f>
        <v>1.0832602979842245</v>
      </c>
      <c r="M382" s="14">
        <f t="shared" si="45"/>
        <v>1.080976753775585</v>
      </c>
      <c r="N382" s="14">
        <f t="shared" si="49"/>
        <v>1.0776433870343403</v>
      </c>
      <c r="O382" s="14">
        <f t="shared" si="50"/>
        <v>1.0775546304960395</v>
      </c>
      <c r="P382" s="14">
        <f t="shared" si="44"/>
        <v>1.0783148413336583</v>
      </c>
      <c r="Q382" s="4" t="str">
        <f t="shared" si="48"/>
        <v>OVER</v>
      </c>
      <c r="R382" s="4" t="str">
        <f t="shared" si="48"/>
        <v>OVER</v>
      </c>
      <c r="S382" s="4" t="str">
        <f t="shared" si="46"/>
        <v>OVER</v>
      </c>
      <c r="T382" s="4" t="str">
        <f t="shared" si="46"/>
        <v>OVER</v>
      </c>
      <c r="U382" s="2">
        <f>IF(Q382="OVER",$J382,$K382)</f>
        <v>58.843837771115091</v>
      </c>
      <c r="V382" s="2">
        <f>IF(R382="OVER",$J382,$K382)</f>
        <v>58.843837771115091</v>
      </c>
      <c r="W382" s="2">
        <f>IF(S382="OVER",$J382,$K382)</f>
        <v>58.843837771115091</v>
      </c>
      <c r="X382" s="2">
        <f>IF(T382="OVER",$J382,$K382)</f>
        <v>58.843837771115091</v>
      </c>
      <c r="Y382" s="9">
        <f t="shared" si="47"/>
        <v>-10993.964395828458</v>
      </c>
      <c r="Z382" s="9">
        <f t="shared" si="47"/>
        <v>-10582.88552252734</v>
      </c>
      <c r="AA382" s="9">
        <f t="shared" si="47"/>
        <v>22864.366276483368</v>
      </c>
      <c r="AB382" s="9">
        <f t="shared" si="47"/>
        <v>4629.5384181081345</v>
      </c>
    </row>
    <row r="383" spans="1:28" x14ac:dyDescent="0.3">
      <c r="A383" s="1">
        <v>44967</v>
      </c>
      <c r="B383" s="2">
        <v>68.23</v>
      </c>
      <c r="C383" s="2">
        <v>73.92</v>
      </c>
      <c r="D383" s="9">
        <f>B383-B382</f>
        <v>-0.22999999999998977</v>
      </c>
      <c r="E383" s="9">
        <f>C383-C382</f>
        <v>-0.23999999999999488</v>
      </c>
      <c r="F383" s="3">
        <f>F$1/B383</f>
        <v>1465.630954125751</v>
      </c>
      <c r="G383" s="3">
        <f>F$1/C383</f>
        <v>1352.8138528138527</v>
      </c>
      <c r="H383" s="2">
        <f>D383*F382</f>
        <v>-335.96260590124132</v>
      </c>
      <c r="I383" s="2">
        <f>E383*G382</f>
        <v>-323.62459546924879</v>
      </c>
      <c r="J383" s="2">
        <f>I383-H383</f>
        <v>12.338010431992529</v>
      </c>
      <c r="K383" s="2">
        <f t="shared" si="43"/>
        <v>-12.338010431992529</v>
      </c>
      <c r="L383" s="14">
        <f>C383/B383</f>
        <v>1.0833944012897552</v>
      </c>
      <c r="M383" s="14">
        <f t="shared" si="45"/>
        <v>1.0816464046773944</v>
      </c>
      <c r="N383" s="14">
        <f t="shared" si="49"/>
        <v>1.0783503578858162</v>
      </c>
      <c r="O383" s="14">
        <f t="shared" si="50"/>
        <v>1.0777109613442191</v>
      </c>
      <c r="P383" s="14">
        <f t="shared" si="44"/>
        <v>1.0782969699396596</v>
      </c>
      <c r="Q383" s="4" t="str">
        <f t="shared" si="48"/>
        <v>OVER</v>
      </c>
      <c r="R383" s="4" t="str">
        <f t="shared" si="48"/>
        <v>OVER</v>
      </c>
      <c r="S383" s="4" t="str">
        <f t="shared" si="46"/>
        <v>OVER</v>
      </c>
      <c r="T383" s="4" t="str">
        <f t="shared" si="46"/>
        <v>OVER</v>
      </c>
      <c r="U383" s="2">
        <f>IF(Q383="OVER",$J383,$K383)</f>
        <v>12.338010431992529</v>
      </c>
      <c r="V383" s="2">
        <f>IF(R383="OVER",$J383,$K383)</f>
        <v>12.338010431992529</v>
      </c>
      <c r="W383" s="2">
        <f>IF(S383="OVER",$J383,$K383)</f>
        <v>12.338010431992529</v>
      </c>
      <c r="X383" s="2">
        <f>IF(T383="OVER",$J383,$K383)</f>
        <v>12.338010431992529</v>
      </c>
      <c r="Y383" s="9">
        <f t="shared" si="47"/>
        <v>-10981.626385396465</v>
      </c>
      <c r="Z383" s="9">
        <f t="shared" si="47"/>
        <v>-10570.547512095347</v>
      </c>
      <c r="AA383" s="9">
        <f t="shared" si="47"/>
        <v>22876.704286915359</v>
      </c>
      <c r="AB383" s="9">
        <f t="shared" si="47"/>
        <v>4641.8764285401267</v>
      </c>
    </row>
    <row r="384" spans="1:28" x14ac:dyDescent="0.3">
      <c r="A384" s="1">
        <v>44970</v>
      </c>
      <c r="B384" s="2">
        <v>68.81</v>
      </c>
      <c r="C384" s="2">
        <v>74.31</v>
      </c>
      <c r="D384" s="9">
        <f>B384-B383</f>
        <v>0.57999999999999829</v>
      </c>
      <c r="E384" s="9">
        <f>C384-C383</f>
        <v>0.39000000000000057</v>
      </c>
      <c r="F384" s="3">
        <f>F$1/B384</f>
        <v>1453.2771399505884</v>
      </c>
      <c r="G384" s="3">
        <f>F$1/C384</f>
        <v>1345.7139012245996</v>
      </c>
      <c r="H384" s="2">
        <f>D384*F383</f>
        <v>850.06595339293312</v>
      </c>
      <c r="I384" s="2">
        <f>E384*G383</f>
        <v>527.59740259740329</v>
      </c>
      <c r="J384" s="2">
        <f>I384-H384</f>
        <v>-322.46855079552984</v>
      </c>
      <c r="K384" s="2">
        <f t="shared" si="43"/>
        <v>322.46855079552984</v>
      </c>
      <c r="L384" s="14">
        <f>C384/B384</f>
        <v>1.0799302426972823</v>
      </c>
      <c r="M384" s="14">
        <f t="shared" si="45"/>
        <v>1.0817373207354166</v>
      </c>
      <c r="N384" s="14">
        <f t="shared" si="49"/>
        <v>1.0787014249632778</v>
      </c>
      <c r="O384" s="14">
        <f t="shared" si="50"/>
        <v>1.0777789539532665</v>
      </c>
      <c r="P384" s="14">
        <f t="shared" si="44"/>
        <v>1.0782636994579453</v>
      </c>
      <c r="Q384" s="4" t="str">
        <f t="shared" si="48"/>
        <v>OVER</v>
      </c>
      <c r="R384" s="4" t="str">
        <f t="shared" si="48"/>
        <v>OVER</v>
      </c>
      <c r="S384" s="4" t="str">
        <f t="shared" si="46"/>
        <v>OVER</v>
      </c>
      <c r="T384" s="4" t="str">
        <f t="shared" si="46"/>
        <v>OVER</v>
      </c>
      <c r="U384" s="2">
        <f>IF(Q384="OVER",$J384,$K384)</f>
        <v>-322.46855079552984</v>
      </c>
      <c r="V384" s="2">
        <f>IF(R384="OVER",$J384,$K384)</f>
        <v>-322.46855079552984</v>
      </c>
      <c r="W384" s="2">
        <f>IF(S384="OVER",$J384,$K384)</f>
        <v>-322.46855079552984</v>
      </c>
      <c r="X384" s="2">
        <f>IF(T384="OVER",$J384,$K384)</f>
        <v>-322.46855079552984</v>
      </c>
      <c r="Y384" s="9">
        <f t="shared" si="47"/>
        <v>-11304.094936191994</v>
      </c>
      <c r="Z384" s="9">
        <f t="shared" si="47"/>
        <v>-10893.016062890876</v>
      </c>
      <c r="AA384" s="9">
        <f t="shared" si="47"/>
        <v>22554.23573611983</v>
      </c>
      <c r="AB384" s="9">
        <f t="shared" si="47"/>
        <v>4319.4078777445966</v>
      </c>
    </row>
    <row r="385" spans="1:28" x14ac:dyDescent="0.3">
      <c r="A385" s="1">
        <v>44971</v>
      </c>
      <c r="B385" s="2">
        <v>68.91</v>
      </c>
      <c r="C385" s="2">
        <v>74.36</v>
      </c>
      <c r="D385" s="9">
        <f>B385-B384</f>
        <v>9.9999999999994316E-2</v>
      </c>
      <c r="E385" s="9">
        <f>C385-C384</f>
        <v>4.9999999999997158E-2</v>
      </c>
      <c r="F385" s="3">
        <f>F$1/B385</f>
        <v>1451.1681903932667</v>
      </c>
      <c r="G385" s="3">
        <f>F$1/C385</f>
        <v>1344.8090371167295</v>
      </c>
      <c r="H385" s="2">
        <f>D385*F384</f>
        <v>145.32771399505057</v>
      </c>
      <c r="I385" s="2">
        <f>E385*G384</f>
        <v>67.28569506122615</v>
      </c>
      <c r="J385" s="2">
        <f>I385-H385</f>
        <v>-78.042018933824423</v>
      </c>
      <c r="K385" s="2">
        <f t="shared" si="43"/>
        <v>78.042018933824423</v>
      </c>
      <c r="L385" s="14">
        <f>C385/B385</f>
        <v>1.079088666376433</v>
      </c>
      <c r="M385" s="14">
        <f t="shared" si="45"/>
        <v>1.0815828535510397</v>
      </c>
      <c r="N385" s="14">
        <f t="shared" si="49"/>
        <v>1.0789772019206247</v>
      </c>
      <c r="O385" s="14">
        <f t="shared" si="50"/>
        <v>1.0778564741842425</v>
      </c>
      <c r="P385" s="14">
        <f t="shared" si="44"/>
        <v>1.078243689883738</v>
      </c>
      <c r="Q385" s="4" t="str">
        <f t="shared" si="48"/>
        <v>UNDER</v>
      </c>
      <c r="R385" s="4" t="str">
        <f t="shared" si="48"/>
        <v>OVER</v>
      </c>
      <c r="S385" s="4" t="str">
        <f t="shared" si="46"/>
        <v>OVER</v>
      </c>
      <c r="T385" s="4" t="str">
        <f t="shared" si="46"/>
        <v>OVER</v>
      </c>
      <c r="U385" s="2">
        <f>IF(Q385="OVER",$J385,$K385)</f>
        <v>78.042018933824423</v>
      </c>
      <c r="V385" s="2">
        <f>IF(R385="OVER",$J385,$K385)</f>
        <v>-78.042018933824423</v>
      </c>
      <c r="W385" s="2">
        <f>IF(S385="OVER",$J385,$K385)</f>
        <v>-78.042018933824423</v>
      </c>
      <c r="X385" s="2">
        <f>IF(T385="OVER",$J385,$K385)</f>
        <v>-78.042018933824423</v>
      </c>
      <c r="Y385" s="9">
        <f t="shared" si="47"/>
        <v>-11226.05291725817</v>
      </c>
      <c r="Z385" s="9">
        <f t="shared" si="47"/>
        <v>-10971.0580818247</v>
      </c>
      <c r="AA385" s="9">
        <f t="shared" si="47"/>
        <v>22476.193717186005</v>
      </c>
      <c r="AB385" s="9">
        <f t="shared" si="47"/>
        <v>4241.3658588107719</v>
      </c>
    </row>
    <row r="386" spans="1:28" x14ac:dyDescent="0.3">
      <c r="A386" s="1">
        <v>44972</v>
      </c>
      <c r="B386" s="2">
        <v>69.22</v>
      </c>
      <c r="C386" s="2">
        <v>74.87</v>
      </c>
      <c r="D386" s="9">
        <f>B386-B385</f>
        <v>0.31000000000000227</v>
      </c>
      <c r="E386" s="9">
        <f>C386-C385</f>
        <v>0.51000000000000512</v>
      </c>
      <c r="F386" s="3">
        <f>F$1/B386</f>
        <v>1444.6691707598959</v>
      </c>
      <c r="G386" s="3">
        <f>F$1/C386</f>
        <v>1335.6484573260318</v>
      </c>
      <c r="H386" s="2">
        <f>D386*F385</f>
        <v>449.86213902191599</v>
      </c>
      <c r="I386" s="2">
        <f>E386*G385</f>
        <v>685.85260892953897</v>
      </c>
      <c r="J386" s="2">
        <f>I386-H386</f>
        <v>235.99046990762298</v>
      </c>
      <c r="K386" s="2">
        <f t="shared" si="43"/>
        <v>-235.99046990762298</v>
      </c>
      <c r="L386" s="14">
        <f>C386/B386</f>
        <v>1.0816238081479341</v>
      </c>
      <c r="M386" s="14">
        <f t="shared" si="45"/>
        <v>1.0817941640294417</v>
      </c>
      <c r="N386" s="14">
        <f t="shared" si="49"/>
        <v>1.0794880285832393</v>
      </c>
      <c r="O386" s="14">
        <f t="shared" si="50"/>
        <v>1.0779755175113803</v>
      </c>
      <c r="P386" s="14">
        <f t="shared" si="44"/>
        <v>1.078218282912917</v>
      </c>
      <c r="Q386" s="4" t="str">
        <f t="shared" si="48"/>
        <v>UNDER</v>
      </c>
      <c r="R386" s="4" t="str">
        <f t="shared" si="48"/>
        <v>OVER</v>
      </c>
      <c r="S386" s="4" t="str">
        <f t="shared" si="46"/>
        <v>OVER</v>
      </c>
      <c r="T386" s="4" t="str">
        <f t="shared" si="46"/>
        <v>OVER</v>
      </c>
      <c r="U386" s="2">
        <f>IF(Q386="OVER",$J386,$K386)</f>
        <v>-235.99046990762298</v>
      </c>
      <c r="V386" s="2">
        <f>IF(R386="OVER",$J386,$K386)</f>
        <v>235.99046990762298</v>
      </c>
      <c r="W386" s="2">
        <f>IF(S386="OVER",$J386,$K386)</f>
        <v>235.99046990762298</v>
      </c>
      <c r="X386" s="2">
        <f>IF(T386="OVER",$J386,$K386)</f>
        <v>235.99046990762298</v>
      </c>
      <c r="Y386" s="9">
        <f t="shared" si="47"/>
        <v>-11462.043387165793</v>
      </c>
      <c r="Z386" s="9">
        <f t="shared" si="47"/>
        <v>-10735.067611917077</v>
      </c>
      <c r="AA386" s="9">
        <f t="shared" si="47"/>
        <v>22712.184187093626</v>
      </c>
      <c r="AB386" s="9">
        <f t="shared" si="47"/>
        <v>4477.3563287183952</v>
      </c>
    </row>
    <row r="387" spans="1:28" x14ac:dyDescent="0.3">
      <c r="A387" s="1">
        <v>44973</v>
      </c>
      <c r="B387" s="2">
        <v>68.64</v>
      </c>
      <c r="C387" s="2">
        <v>74.3</v>
      </c>
      <c r="D387" s="9">
        <f>B387-B386</f>
        <v>-0.57999999999999829</v>
      </c>
      <c r="E387" s="9">
        <f>C387-C386</f>
        <v>-0.57000000000000739</v>
      </c>
      <c r="F387" s="3">
        <f>F$1/B387</f>
        <v>1456.8764568764568</v>
      </c>
      <c r="G387" s="3">
        <f>F$1/C387</f>
        <v>1345.8950201884254</v>
      </c>
      <c r="H387" s="2">
        <f>D387*F386</f>
        <v>-837.90811904073712</v>
      </c>
      <c r="I387" s="2">
        <f>E387*G386</f>
        <v>-761.319620675848</v>
      </c>
      <c r="J387" s="2">
        <f>I387-H387</f>
        <v>76.588498364889119</v>
      </c>
      <c r="K387" s="2">
        <f t="shared" si="43"/>
        <v>-76.588498364889119</v>
      </c>
      <c r="L387" s="14">
        <f>C387/B387</f>
        <v>1.0824592074592074</v>
      </c>
      <c r="M387" s="14">
        <f t="shared" si="45"/>
        <v>1.08203030623064</v>
      </c>
      <c r="N387" s="14">
        <f t="shared" si="49"/>
        <v>1.0799067298080294</v>
      </c>
      <c r="O387" s="14">
        <f t="shared" si="50"/>
        <v>1.0781291491202358</v>
      </c>
      <c r="P387" s="14">
        <f t="shared" si="44"/>
        <v>1.0781766102486763</v>
      </c>
      <c r="Q387" s="4" t="str">
        <f t="shared" si="48"/>
        <v>UNDER</v>
      </c>
      <c r="R387" s="4" t="str">
        <f t="shared" si="48"/>
        <v>OVER</v>
      </c>
      <c r="S387" s="4" t="str">
        <f t="shared" si="46"/>
        <v>OVER</v>
      </c>
      <c r="T387" s="4" t="str">
        <f t="shared" si="46"/>
        <v>OVER</v>
      </c>
      <c r="U387" s="2">
        <f>IF(Q387="OVER",$J387,$K387)</f>
        <v>-76.588498364889119</v>
      </c>
      <c r="V387" s="2">
        <f>IF(R387="OVER",$J387,$K387)</f>
        <v>76.588498364889119</v>
      </c>
      <c r="W387" s="2">
        <f>IF(S387="OVER",$J387,$K387)</f>
        <v>76.588498364889119</v>
      </c>
      <c r="X387" s="2">
        <f>IF(T387="OVER",$J387,$K387)</f>
        <v>76.588498364889119</v>
      </c>
      <c r="Y387" s="9">
        <f t="shared" si="47"/>
        <v>-11538.631885530682</v>
      </c>
      <c r="Z387" s="9">
        <f t="shared" si="47"/>
        <v>-10658.479113552188</v>
      </c>
      <c r="AA387" s="9">
        <f t="shared" si="47"/>
        <v>22788.772685458516</v>
      </c>
      <c r="AB387" s="9">
        <f t="shared" si="47"/>
        <v>4553.9448270832845</v>
      </c>
    </row>
    <row r="388" spans="1:28" x14ac:dyDescent="0.3">
      <c r="A388" s="1">
        <v>44974</v>
      </c>
      <c r="B388" s="2">
        <v>68.31</v>
      </c>
      <c r="C388" s="2">
        <v>73.59</v>
      </c>
      <c r="D388" s="9">
        <f>B388-B387</f>
        <v>-0.32999999999999829</v>
      </c>
      <c r="E388" s="9">
        <f>C388-C387</f>
        <v>-0.70999999999999375</v>
      </c>
      <c r="F388" s="3">
        <f>F$1/B388</f>
        <v>1463.9145073927682</v>
      </c>
      <c r="G388" s="3">
        <f>F$1/C388</f>
        <v>1358.8802826470987</v>
      </c>
      <c r="H388" s="2">
        <f>D388*F387</f>
        <v>-480.76923076922827</v>
      </c>
      <c r="I388" s="2">
        <f>E388*G387</f>
        <v>-955.58546433377364</v>
      </c>
      <c r="J388" s="2">
        <f>I388-H388</f>
        <v>-474.81623356454537</v>
      </c>
      <c r="K388" s="2">
        <f t="shared" si="43"/>
        <v>474.81623356454537</v>
      </c>
      <c r="L388" s="14">
        <f>C388/B388</f>
        <v>1.0772946859903383</v>
      </c>
      <c r="M388" s="14">
        <f t="shared" si="45"/>
        <v>1.0819149347659887</v>
      </c>
      <c r="N388" s="14">
        <f t="shared" si="49"/>
        <v>1.0799304537063574</v>
      </c>
      <c r="O388" s="14">
        <f t="shared" si="50"/>
        <v>1.0781300306745925</v>
      </c>
      <c r="P388" s="14">
        <f t="shared" si="44"/>
        <v>1.0781294317247341</v>
      </c>
      <c r="Q388" s="4" t="str">
        <f t="shared" si="48"/>
        <v>OVER</v>
      </c>
      <c r="R388" s="4" t="str">
        <f t="shared" si="48"/>
        <v>OVER</v>
      </c>
      <c r="S388" s="4" t="str">
        <f t="shared" si="46"/>
        <v>UNDER</v>
      </c>
      <c r="T388" s="4" t="str">
        <f t="shared" si="46"/>
        <v>UNDER</v>
      </c>
      <c r="U388" s="2">
        <f>IF(Q388="OVER",$J388,$K388)</f>
        <v>-474.81623356454537</v>
      </c>
      <c r="V388" s="2">
        <f>IF(R388="OVER",$J388,$K388)</f>
        <v>-474.81623356454537</v>
      </c>
      <c r="W388" s="2">
        <f>IF(S388="OVER",$J388,$K388)</f>
        <v>474.81623356454537</v>
      </c>
      <c r="X388" s="2">
        <f>IF(T388="OVER",$J388,$K388)</f>
        <v>474.81623356454537</v>
      </c>
      <c r="Y388" s="9">
        <f t="shared" si="47"/>
        <v>-12013.448119095227</v>
      </c>
      <c r="Z388" s="9">
        <f t="shared" si="47"/>
        <v>-11133.295347116733</v>
      </c>
      <c r="AA388" s="9">
        <f t="shared" si="47"/>
        <v>23263.588919023063</v>
      </c>
      <c r="AB388" s="9">
        <f t="shared" si="47"/>
        <v>5028.7610606478302</v>
      </c>
    </row>
    <row r="389" spans="1:28" x14ac:dyDescent="0.3">
      <c r="A389" s="1">
        <v>44978</v>
      </c>
      <c r="B389" s="2">
        <v>67.459999999999994</v>
      </c>
      <c r="C389" s="2">
        <v>73.08</v>
      </c>
      <c r="D389" s="9">
        <f>B389-B388</f>
        <v>-0.85000000000000853</v>
      </c>
      <c r="E389" s="9">
        <f>C389-C388</f>
        <v>-0.51000000000000512</v>
      </c>
      <c r="F389" s="3">
        <f>F$1/B389</f>
        <v>1482.3599169878448</v>
      </c>
      <c r="G389" s="3">
        <f>F$1/C389</f>
        <v>1368.3634373289547</v>
      </c>
      <c r="H389" s="2">
        <f>D389*F388</f>
        <v>-1244.3273312838655</v>
      </c>
      <c r="I389" s="2">
        <f>E389*G388</f>
        <v>-693.02894415002731</v>
      </c>
      <c r="J389" s="2">
        <f>I389-H389</f>
        <v>551.29838713383822</v>
      </c>
      <c r="K389" s="2">
        <f t="shared" ref="K389:K452" si="51">H389-I389</f>
        <v>-551.29838713383822</v>
      </c>
      <c r="L389" s="14">
        <f>C389/B389</f>
        <v>1.083308627334717</v>
      </c>
      <c r="M389" s="14">
        <f t="shared" si="45"/>
        <v>1.0818589830303822</v>
      </c>
      <c r="N389" s="14">
        <f t="shared" si="49"/>
        <v>1.0803613535468706</v>
      </c>
      <c r="O389" s="14">
        <f t="shared" si="50"/>
        <v>1.0782200583863562</v>
      </c>
      <c r="P389" s="14">
        <f t="shared" si="44"/>
        <v>1.0781329464483793</v>
      </c>
      <c r="Q389" s="4" t="str">
        <f t="shared" si="48"/>
        <v>UNDER</v>
      </c>
      <c r="R389" s="4" t="str">
        <f t="shared" si="48"/>
        <v>UNDER</v>
      </c>
      <c r="S389" s="4" t="str">
        <f t="shared" si="46"/>
        <v>OVER</v>
      </c>
      <c r="T389" s="4" t="str">
        <f t="shared" si="46"/>
        <v>OVER</v>
      </c>
      <c r="U389" s="2">
        <f>IF(Q389="OVER",$J389,$K389)</f>
        <v>-551.29838713383822</v>
      </c>
      <c r="V389" s="2">
        <f>IF(R389="OVER",$J389,$K389)</f>
        <v>-551.29838713383822</v>
      </c>
      <c r="W389" s="2">
        <f>IF(S389="OVER",$J389,$K389)</f>
        <v>551.29838713383822</v>
      </c>
      <c r="X389" s="2">
        <f>IF(T389="OVER",$J389,$K389)</f>
        <v>551.29838713383822</v>
      </c>
      <c r="Y389" s="9">
        <f t="shared" si="47"/>
        <v>-12564.746506229065</v>
      </c>
      <c r="Z389" s="9">
        <f t="shared" si="47"/>
        <v>-11684.593734250571</v>
      </c>
      <c r="AA389" s="9">
        <f t="shared" si="47"/>
        <v>23814.887306156899</v>
      </c>
      <c r="AB389" s="9">
        <f t="shared" si="47"/>
        <v>5580.0594477816685</v>
      </c>
    </row>
    <row r="390" spans="1:28" x14ac:dyDescent="0.3">
      <c r="A390" s="1">
        <v>44979</v>
      </c>
      <c r="B390" s="2">
        <v>67.55</v>
      </c>
      <c r="C390" s="2">
        <v>73.260000000000005</v>
      </c>
      <c r="D390" s="9">
        <f>B390-B389</f>
        <v>9.0000000000003411E-2</v>
      </c>
      <c r="E390" s="9">
        <f>C390-C389</f>
        <v>0.18000000000000682</v>
      </c>
      <c r="F390" s="3">
        <f>F$1/B390</f>
        <v>1480.3849000740192</v>
      </c>
      <c r="G390" s="3">
        <f>F$1/C390</f>
        <v>1365.001365001365</v>
      </c>
      <c r="H390" s="2">
        <f>D390*F389</f>
        <v>133.41239252891108</v>
      </c>
      <c r="I390" s="2">
        <f>E390*G389</f>
        <v>246.30541871922117</v>
      </c>
      <c r="J390" s="2">
        <f>I390-H390</f>
        <v>112.89302619031008</v>
      </c>
      <c r="K390" s="2">
        <f t="shared" si="51"/>
        <v>-112.89302619031008</v>
      </c>
      <c r="L390" s="14">
        <f>C390/B390</f>
        <v>1.0845299777942266</v>
      </c>
      <c r="M390" s="14">
        <f t="shared" si="45"/>
        <v>1.0817509342981768</v>
      </c>
      <c r="N390" s="14">
        <f t="shared" si="49"/>
        <v>1.0807910373377909</v>
      </c>
      <c r="O390" s="14">
        <f t="shared" si="50"/>
        <v>1.0783912874821922</v>
      </c>
      <c r="P390" s="14">
        <f t="shared" si="44"/>
        <v>1.0781361356439563</v>
      </c>
      <c r="Q390" s="4" t="str">
        <f t="shared" si="48"/>
        <v>OVER</v>
      </c>
      <c r="R390" s="4" t="str">
        <f t="shared" si="48"/>
        <v>OVER</v>
      </c>
      <c r="S390" s="4" t="str">
        <f t="shared" si="46"/>
        <v>OVER</v>
      </c>
      <c r="T390" s="4" t="str">
        <f t="shared" si="46"/>
        <v>OVER</v>
      </c>
      <c r="U390" s="2">
        <f>IF(Q390="OVER",$J390,$K390)</f>
        <v>112.89302619031008</v>
      </c>
      <c r="V390" s="2">
        <f>IF(R390="OVER",$J390,$K390)</f>
        <v>112.89302619031008</v>
      </c>
      <c r="W390" s="2">
        <f>IF(S390="OVER",$J390,$K390)</f>
        <v>112.89302619031008</v>
      </c>
      <c r="X390" s="2">
        <f>IF(T390="OVER",$J390,$K390)</f>
        <v>112.89302619031008</v>
      </c>
      <c r="Y390" s="9">
        <f t="shared" si="47"/>
        <v>-12451.853480038755</v>
      </c>
      <c r="Z390" s="9">
        <f t="shared" si="47"/>
        <v>-11571.700708060262</v>
      </c>
      <c r="AA390" s="9">
        <f t="shared" si="47"/>
        <v>23927.780332347211</v>
      </c>
      <c r="AB390" s="9">
        <f t="shared" si="47"/>
        <v>5692.9524739719782</v>
      </c>
    </row>
    <row r="391" spans="1:28" x14ac:dyDescent="0.3">
      <c r="A391" s="1">
        <v>44980</v>
      </c>
      <c r="B391" s="2">
        <v>67.680000000000007</v>
      </c>
      <c r="C391" s="2">
        <v>73.400000000000006</v>
      </c>
      <c r="D391" s="9">
        <f>B391-B390</f>
        <v>0.13000000000000966</v>
      </c>
      <c r="E391" s="9">
        <f>C391-C390</f>
        <v>0.14000000000000057</v>
      </c>
      <c r="F391" s="3">
        <f>F$1/B391</f>
        <v>1477.5413711583924</v>
      </c>
      <c r="G391" s="3">
        <f>F$1/C391</f>
        <v>1362.3978201634877</v>
      </c>
      <c r="H391" s="2">
        <f>D391*F390</f>
        <v>192.45003700963682</v>
      </c>
      <c r="I391" s="2">
        <f>E391*G390</f>
        <v>191.10019110019186</v>
      </c>
      <c r="J391" s="2">
        <f>I391-H391</f>
        <v>-1.3498459094449515</v>
      </c>
      <c r="K391" s="2">
        <f t="shared" si="51"/>
        <v>1.3498459094449515</v>
      </c>
      <c r="L391" s="14">
        <f>C391/B391</f>
        <v>1.08451536643026</v>
      </c>
      <c r="M391" s="14">
        <f t="shared" si="45"/>
        <v>1.0819405281504377</v>
      </c>
      <c r="N391" s="14">
        <f t="shared" si="49"/>
        <v>1.0811763329857442</v>
      </c>
      <c r="O391" s="14">
        <f t="shared" si="50"/>
        <v>1.0785489811571558</v>
      </c>
      <c r="P391" s="14">
        <f t="shared" si="44"/>
        <v>1.0781708565783736</v>
      </c>
      <c r="Q391" s="4" t="str">
        <f t="shared" si="48"/>
        <v>OVER</v>
      </c>
      <c r="R391" s="4" t="str">
        <f t="shared" si="48"/>
        <v>OVER</v>
      </c>
      <c r="S391" s="4" t="str">
        <f t="shared" si="46"/>
        <v>OVER</v>
      </c>
      <c r="T391" s="4" t="str">
        <f t="shared" si="46"/>
        <v>OVER</v>
      </c>
      <c r="U391" s="2">
        <f>IF(Q391="OVER",$J391,$K391)</f>
        <v>-1.3498459094449515</v>
      </c>
      <c r="V391" s="2">
        <f>IF(R391="OVER",$J391,$K391)</f>
        <v>-1.3498459094449515</v>
      </c>
      <c r="W391" s="2">
        <f>IF(S391="OVER",$J391,$K391)</f>
        <v>-1.3498459094449515</v>
      </c>
      <c r="X391" s="2">
        <f>IF(T391="OVER",$J391,$K391)</f>
        <v>-1.3498459094449515</v>
      </c>
      <c r="Y391" s="9">
        <f t="shared" si="47"/>
        <v>-12453.2033259482</v>
      </c>
      <c r="Z391" s="9">
        <f t="shared" si="47"/>
        <v>-11573.050553969706</v>
      </c>
      <c r="AA391" s="9">
        <f t="shared" si="47"/>
        <v>23926.430486437766</v>
      </c>
      <c r="AB391" s="9">
        <f t="shared" si="47"/>
        <v>5691.6026280625329</v>
      </c>
    </row>
    <row r="392" spans="1:28" x14ac:dyDescent="0.3">
      <c r="A392" s="1">
        <v>44981</v>
      </c>
      <c r="B392" s="2">
        <v>67.150000000000006</v>
      </c>
      <c r="C392" s="2">
        <v>72.650000000000006</v>
      </c>
      <c r="D392" s="9">
        <f>B392-B391</f>
        <v>-0.53000000000000114</v>
      </c>
      <c r="E392" s="9">
        <f>C392-C391</f>
        <v>-0.75</v>
      </c>
      <c r="F392" s="3">
        <f>F$1/B392</f>
        <v>1489.2032762472077</v>
      </c>
      <c r="G392" s="3">
        <f>F$1/C392</f>
        <v>1376.4624913971093</v>
      </c>
      <c r="H392" s="2">
        <f>D392*F391</f>
        <v>-783.09692671394964</v>
      </c>
      <c r="I392" s="2">
        <f>E392*G391</f>
        <v>-1021.7983651226158</v>
      </c>
      <c r="J392" s="2">
        <f>I392-H392</f>
        <v>-238.70143840866615</v>
      </c>
      <c r="K392" s="2">
        <f t="shared" si="51"/>
        <v>238.70143840866615</v>
      </c>
      <c r="L392" s="14">
        <f>C392/B392</f>
        <v>1.0819061801935965</v>
      </c>
      <c r="M392" s="14">
        <f t="shared" si="45"/>
        <v>1.0818051163713751</v>
      </c>
      <c r="N392" s="14">
        <f t="shared" si="49"/>
        <v>1.0813909350734801</v>
      </c>
      <c r="O392" s="14">
        <f t="shared" si="50"/>
        <v>1.0786581728982085</v>
      </c>
      <c r="P392" s="14">
        <f t="shared" si="44"/>
        <v>1.0782336363863221</v>
      </c>
      <c r="Q392" s="4" t="str">
        <f t="shared" si="48"/>
        <v>OVER</v>
      </c>
      <c r="R392" s="4" t="str">
        <f t="shared" si="48"/>
        <v>OVER</v>
      </c>
      <c r="S392" s="4" t="str">
        <f t="shared" si="46"/>
        <v>OVER</v>
      </c>
      <c r="T392" s="4" t="str">
        <f t="shared" si="46"/>
        <v>OVER</v>
      </c>
      <c r="U392" s="2">
        <f>IF(Q392="OVER",$J392,$K392)</f>
        <v>-238.70143840866615</v>
      </c>
      <c r="V392" s="2">
        <f>IF(R392="OVER",$J392,$K392)</f>
        <v>-238.70143840866615</v>
      </c>
      <c r="W392" s="2">
        <f>IF(S392="OVER",$J392,$K392)</f>
        <v>-238.70143840866615</v>
      </c>
      <c r="X392" s="2">
        <f>IF(T392="OVER",$J392,$K392)</f>
        <v>-238.70143840866615</v>
      </c>
      <c r="Y392" s="9">
        <f t="shared" si="47"/>
        <v>-12691.904764356867</v>
      </c>
      <c r="Z392" s="9">
        <f t="shared" si="47"/>
        <v>-11811.751992378373</v>
      </c>
      <c r="AA392" s="9">
        <f t="shared" si="47"/>
        <v>23687.729048029101</v>
      </c>
      <c r="AB392" s="9">
        <f t="shared" si="47"/>
        <v>5452.9011896538668</v>
      </c>
    </row>
    <row r="393" spans="1:28" x14ac:dyDescent="0.3">
      <c r="A393" s="1">
        <v>44984</v>
      </c>
      <c r="B393" s="2">
        <v>67.22</v>
      </c>
      <c r="C393" s="2">
        <v>72.89</v>
      </c>
      <c r="D393" s="9">
        <f>B393-B392</f>
        <v>6.9999999999993179E-2</v>
      </c>
      <c r="E393" s="9">
        <f>C393-C392</f>
        <v>0.23999999999999488</v>
      </c>
      <c r="F393" s="3">
        <f>F$1/B393</f>
        <v>1487.652484379649</v>
      </c>
      <c r="G393" s="3">
        <f>F$1/C393</f>
        <v>1371.9303059404583</v>
      </c>
      <c r="H393" s="2">
        <f>D393*F392</f>
        <v>104.24422933729439</v>
      </c>
      <c r="I393" s="2">
        <f>E393*G392</f>
        <v>330.35099793529918</v>
      </c>
      <c r="J393" s="2">
        <f>I393-H393</f>
        <v>226.10676859800481</v>
      </c>
      <c r="K393" s="2">
        <f t="shared" si="51"/>
        <v>-226.10676859800481</v>
      </c>
      <c r="L393" s="14">
        <f>C393/B393</f>
        <v>1.0843498958643261</v>
      </c>
      <c r="M393" s="14">
        <f t="shared" si="45"/>
        <v>1.0819006658288324</v>
      </c>
      <c r="N393" s="14">
        <f t="shared" si="49"/>
        <v>1.081773535253113</v>
      </c>
      <c r="O393" s="14">
        <f t="shared" si="50"/>
        <v>1.078738322940439</v>
      </c>
      <c r="P393" s="14">
        <f t="shared" si="44"/>
        <v>1.0783088886648569</v>
      </c>
      <c r="Q393" s="4" t="str">
        <f t="shared" si="48"/>
        <v>OVER</v>
      </c>
      <c r="R393" s="4" t="str">
        <f t="shared" si="48"/>
        <v>OVER</v>
      </c>
      <c r="S393" s="4" t="str">
        <f t="shared" si="46"/>
        <v>OVER</v>
      </c>
      <c r="T393" s="4" t="str">
        <f t="shared" si="46"/>
        <v>OVER</v>
      </c>
      <c r="U393" s="2">
        <f>IF(Q393="OVER",$J393,$K393)</f>
        <v>226.10676859800481</v>
      </c>
      <c r="V393" s="2">
        <f>IF(R393="OVER",$J393,$K393)</f>
        <v>226.10676859800481</v>
      </c>
      <c r="W393" s="2">
        <f>IF(S393="OVER",$J393,$K393)</f>
        <v>226.10676859800481</v>
      </c>
      <c r="X393" s="2">
        <f>IF(T393="OVER",$J393,$K393)</f>
        <v>226.10676859800481</v>
      </c>
      <c r="Y393" s="9">
        <f t="shared" si="47"/>
        <v>-12465.797995758861</v>
      </c>
      <c r="Z393" s="9">
        <f t="shared" si="47"/>
        <v>-11585.645223780368</v>
      </c>
      <c r="AA393" s="9">
        <f t="shared" si="47"/>
        <v>23913.835816627106</v>
      </c>
      <c r="AB393" s="9">
        <f t="shared" si="47"/>
        <v>5679.007958251872</v>
      </c>
    </row>
    <row r="394" spans="1:28" x14ac:dyDescent="0.3">
      <c r="A394" s="1">
        <v>44985</v>
      </c>
      <c r="B394" s="2">
        <v>67.05</v>
      </c>
      <c r="C394" s="2">
        <v>72.91</v>
      </c>
      <c r="D394" s="9">
        <f>B394-B393</f>
        <v>-0.17000000000000171</v>
      </c>
      <c r="E394" s="9">
        <f>C394-C393</f>
        <v>1.9999999999996021E-2</v>
      </c>
      <c r="F394" s="3">
        <f>F$1/B394</f>
        <v>1491.4243102162566</v>
      </c>
      <c r="G394" s="3">
        <f>F$1/C394</f>
        <v>1371.553970648745</v>
      </c>
      <c r="H394" s="2">
        <f>D394*F393</f>
        <v>-252.90092234454286</v>
      </c>
      <c r="I394" s="2">
        <f>E394*G393</f>
        <v>27.438606118803708</v>
      </c>
      <c r="J394" s="2">
        <f>I394-H394</f>
        <v>280.3395284633466</v>
      </c>
      <c r="K394" s="2">
        <f t="shared" si="51"/>
        <v>-280.3395284633466</v>
      </c>
      <c r="L394" s="14">
        <f>C394/B394</f>
        <v>1.0873974645786726</v>
      </c>
      <c r="M394" s="14">
        <f t="shared" si="45"/>
        <v>1.0826473880169711</v>
      </c>
      <c r="N394" s="14">
        <f t="shared" si="49"/>
        <v>1.0821923543761938</v>
      </c>
      <c r="O394" s="14">
        <f t="shared" si="50"/>
        <v>1.0789230676626451</v>
      </c>
      <c r="P394" s="14">
        <f t="shared" si="44"/>
        <v>1.0783848846084398</v>
      </c>
      <c r="Q394" s="4" t="str">
        <f t="shared" si="48"/>
        <v>OVER</v>
      </c>
      <c r="R394" s="4" t="str">
        <f t="shared" si="48"/>
        <v>OVER</v>
      </c>
      <c r="S394" s="4" t="str">
        <f t="shared" si="46"/>
        <v>OVER</v>
      </c>
      <c r="T394" s="4" t="str">
        <f t="shared" si="46"/>
        <v>OVER</v>
      </c>
      <c r="U394" s="2">
        <f>IF(Q394="OVER",$J394,$K394)</f>
        <v>280.3395284633466</v>
      </c>
      <c r="V394" s="2">
        <f>IF(R394="OVER",$J394,$K394)</f>
        <v>280.3395284633466</v>
      </c>
      <c r="W394" s="2">
        <f>IF(S394="OVER",$J394,$K394)</f>
        <v>280.3395284633466</v>
      </c>
      <c r="X394" s="2">
        <f>IF(T394="OVER",$J394,$K394)</f>
        <v>280.3395284633466</v>
      </c>
      <c r="Y394" s="9">
        <f t="shared" si="47"/>
        <v>-12185.458467295515</v>
      </c>
      <c r="Z394" s="9">
        <f t="shared" si="47"/>
        <v>-11305.305695317022</v>
      </c>
      <c r="AA394" s="9">
        <f t="shared" si="47"/>
        <v>24194.175345090454</v>
      </c>
      <c r="AB394" s="9">
        <f t="shared" si="47"/>
        <v>5959.3474867152181</v>
      </c>
    </row>
    <row r="395" spans="1:28" x14ac:dyDescent="0.3">
      <c r="A395" s="1">
        <v>44986</v>
      </c>
      <c r="B395" s="2">
        <v>67.010000000000005</v>
      </c>
      <c r="C395" s="2">
        <v>72.930000000000007</v>
      </c>
      <c r="D395" s="9">
        <f>B395-B394</f>
        <v>-3.9999999999992042E-2</v>
      </c>
      <c r="E395" s="9">
        <f>C395-C394</f>
        <v>2.0000000000010232E-2</v>
      </c>
      <c r="F395" s="3">
        <f>F$1/B395</f>
        <v>1492.3145799134456</v>
      </c>
      <c r="G395" s="3">
        <f>F$1/C395</f>
        <v>1371.1778417660769</v>
      </c>
      <c r="H395" s="2">
        <f>D395*F394</f>
        <v>-59.656972408638396</v>
      </c>
      <c r="I395" s="2">
        <f>E395*G394</f>
        <v>27.431079412988932</v>
      </c>
      <c r="J395" s="2">
        <f>I395-H395</f>
        <v>87.088051821627332</v>
      </c>
      <c r="K395" s="2">
        <f t="shared" si="51"/>
        <v>-87.088051821627332</v>
      </c>
      <c r="L395" s="14">
        <f>C395/B395</f>
        <v>1.088345023130876</v>
      </c>
      <c r="M395" s="14">
        <f t="shared" si="45"/>
        <v>1.0835730236924155</v>
      </c>
      <c r="N395" s="14">
        <f t="shared" si="49"/>
        <v>1.0825779386217274</v>
      </c>
      <c r="O395" s="14">
        <f t="shared" si="50"/>
        <v>1.0791437496378677</v>
      </c>
      <c r="P395" s="14">
        <f t="shared" ref="P395:P458" si="52">AVERAGE(L196:L395)</f>
        <v>1.0784942508996596</v>
      </c>
      <c r="Q395" s="4" t="str">
        <f t="shared" si="48"/>
        <v>OVER</v>
      </c>
      <c r="R395" s="4" t="str">
        <f t="shared" si="48"/>
        <v>OVER</v>
      </c>
      <c r="S395" s="4" t="str">
        <f t="shared" si="46"/>
        <v>OVER</v>
      </c>
      <c r="T395" s="4" t="str">
        <f t="shared" si="46"/>
        <v>OVER</v>
      </c>
      <c r="U395" s="2">
        <f>IF(Q395="OVER",$J395,$K395)</f>
        <v>87.088051821627332</v>
      </c>
      <c r="V395" s="2">
        <f>IF(R395="OVER",$J395,$K395)</f>
        <v>87.088051821627332</v>
      </c>
      <c r="W395" s="2">
        <f>IF(S395="OVER",$J395,$K395)</f>
        <v>87.088051821627332</v>
      </c>
      <c r="X395" s="2">
        <f>IF(T395="OVER",$J395,$K395)</f>
        <v>87.088051821627332</v>
      </c>
      <c r="Y395" s="9">
        <f t="shared" si="47"/>
        <v>-12098.370415473888</v>
      </c>
      <c r="Z395" s="9">
        <f t="shared" si="47"/>
        <v>-11218.217643495394</v>
      </c>
      <c r="AA395" s="9">
        <f t="shared" si="47"/>
        <v>24281.263396912083</v>
      </c>
      <c r="AB395" s="9">
        <f t="shared" si="47"/>
        <v>6046.4355385368453</v>
      </c>
    </row>
    <row r="396" spans="1:28" x14ac:dyDescent="0.3">
      <c r="A396" s="1">
        <v>44987</v>
      </c>
      <c r="B396" s="2">
        <v>67.260000000000005</v>
      </c>
      <c r="C396" s="2">
        <v>73.22</v>
      </c>
      <c r="D396" s="9">
        <f>B396-B395</f>
        <v>0.25</v>
      </c>
      <c r="E396" s="9">
        <f>C396-C395</f>
        <v>0.28999999999999204</v>
      </c>
      <c r="F396" s="3">
        <f>F$1/B396</f>
        <v>1486.767766874814</v>
      </c>
      <c r="G396" s="3">
        <f>F$1/C396</f>
        <v>1365.7470636438131</v>
      </c>
      <c r="H396" s="2">
        <f>D396*F395</f>
        <v>373.07864497836141</v>
      </c>
      <c r="I396" s="2">
        <f>E396*G395</f>
        <v>397.64157411215137</v>
      </c>
      <c r="J396" s="2">
        <f>I396-H396</f>
        <v>24.562929133789964</v>
      </c>
      <c r="K396" s="2">
        <f t="shared" si="51"/>
        <v>-24.562929133789964</v>
      </c>
      <c r="L396" s="14">
        <f>C396/B396</f>
        <v>1.0886113589057389</v>
      </c>
      <c r="M396" s="14">
        <f t="shared" si="45"/>
        <v>1.0842717787681959</v>
      </c>
      <c r="N396" s="14">
        <f t="shared" si="49"/>
        <v>1.0830329713988185</v>
      </c>
      <c r="O396" s="14">
        <f t="shared" si="50"/>
        <v>1.0793782221828072</v>
      </c>
      <c r="P396" s="14">
        <f t="shared" si="52"/>
        <v>1.0785825754308016</v>
      </c>
      <c r="Q396" s="4" t="str">
        <f t="shared" si="48"/>
        <v>OVER</v>
      </c>
      <c r="R396" s="4" t="str">
        <f t="shared" si="48"/>
        <v>OVER</v>
      </c>
      <c r="S396" s="4" t="str">
        <f t="shared" si="46"/>
        <v>OVER</v>
      </c>
      <c r="T396" s="4" t="str">
        <f t="shared" si="46"/>
        <v>OVER</v>
      </c>
      <c r="U396" s="2">
        <f>IF(Q396="OVER",$J396,$K396)</f>
        <v>24.562929133789964</v>
      </c>
      <c r="V396" s="2">
        <f>IF(R396="OVER",$J396,$K396)</f>
        <v>24.562929133789964</v>
      </c>
      <c r="W396" s="2">
        <f>IF(S396="OVER",$J396,$K396)</f>
        <v>24.562929133789964</v>
      </c>
      <c r="X396" s="2">
        <f>IF(T396="OVER",$J396,$K396)</f>
        <v>24.562929133789964</v>
      </c>
      <c r="Y396" s="9">
        <f t="shared" si="47"/>
        <v>-12073.807486340098</v>
      </c>
      <c r="Z396" s="9">
        <f t="shared" si="47"/>
        <v>-11193.654714361604</v>
      </c>
      <c r="AA396" s="9">
        <f t="shared" si="47"/>
        <v>24305.826326045873</v>
      </c>
      <c r="AB396" s="9">
        <f t="shared" ref="AB396:AB459" si="53">AB395+X396</f>
        <v>6070.9984676706354</v>
      </c>
    </row>
    <row r="397" spans="1:28" x14ac:dyDescent="0.3">
      <c r="A397" s="1">
        <v>44988</v>
      </c>
      <c r="B397" s="2">
        <v>67.77</v>
      </c>
      <c r="C397" s="2">
        <v>73.73</v>
      </c>
      <c r="D397" s="9">
        <f>B397-B396</f>
        <v>0.50999999999999091</v>
      </c>
      <c r="E397" s="9">
        <f>C397-C396</f>
        <v>0.51000000000000512</v>
      </c>
      <c r="F397" s="3">
        <f>F$1/B397</f>
        <v>1475.5791648221928</v>
      </c>
      <c r="G397" s="3">
        <f>F$1/C397</f>
        <v>1356.300013563</v>
      </c>
      <c r="H397" s="2">
        <f>D397*F396</f>
        <v>758.25156110614159</v>
      </c>
      <c r="I397" s="2">
        <f>E397*G396</f>
        <v>696.53100245835174</v>
      </c>
      <c r="J397" s="2">
        <f>I397-H397</f>
        <v>-61.720558647789858</v>
      </c>
      <c r="K397" s="2">
        <f t="shared" si="51"/>
        <v>61.720558647789858</v>
      </c>
      <c r="L397" s="14">
        <f>C397/B397</f>
        <v>1.0879445182234029</v>
      </c>
      <c r="M397" s="14">
        <f t="shared" ref="M397:M460" si="54">AVERAGE(L388:L397)</f>
        <v>1.0848203098446154</v>
      </c>
      <c r="N397" s="14">
        <f t="shared" si="49"/>
        <v>1.0834253080376275</v>
      </c>
      <c r="O397" s="14">
        <f t="shared" si="50"/>
        <v>1.0794856795495991</v>
      </c>
      <c r="P397" s="14">
        <f t="shared" si="52"/>
        <v>1.078669356845448</v>
      </c>
      <c r="Q397" s="4" t="str">
        <f t="shared" si="48"/>
        <v>OVER</v>
      </c>
      <c r="R397" s="4" t="str">
        <f t="shared" si="48"/>
        <v>OVER</v>
      </c>
      <c r="S397" s="4" t="str">
        <f t="shared" ref="S397:T460" si="55">IF($L397&gt;O397,"OVER","UNDER")</f>
        <v>OVER</v>
      </c>
      <c r="T397" s="4" t="str">
        <f t="shared" si="55"/>
        <v>OVER</v>
      </c>
      <c r="U397" s="2">
        <f>IF(Q397="OVER",$J397,$K397)</f>
        <v>-61.720558647789858</v>
      </c>
      <c r="V397" s="2">
        <f>IF(R397="OVER",$J397,$K397)</f>
        <v>-61.720558647789858</v>
      </c>
      <c r="W397" s="2">
        <f>IF(S397="OVER",$J397,$K397)</f>
        <v>-61.720558647789858</v>
      </c>
      <c r="X397" s="2">
        <f>IF(T397="OVER",$J397,$K397)</f>
        <v>-61.720558647789858</v>
      </c>
      <c r="Y397" s="9">
        <f t="shared" ref="Y397:AB460" si="56">Y396+U397</f>
        <v>-12135.528044987888</v>
      </c>
      <c r="Z397" s="9">
        <f t="shared" si="56"/>
        <v>-11255.375273009395</v>
      </c>
      <c r="AA397" s="9">
        <f t="shared" si="56"/>
        <v>24244.105767398083</v>
      </c>
      <c r="AB397" s="9">
        <f t="shared" si="53"/>
        <v>6009.2779090228451</v>
      </c>
    </row>
    <row r="398" spans="1:28" x14ac:dyDescent="0.3">
      <c r="A398" s="1">
        <v>44991</v>
      </c>
      <c r="B398" s="2">
        <v>67.62</v>
      </c>
      <c r="C398" s="2">
        <v>73.45</v>
      </c>
      <c r="D398" s="9">
        <f>B398-B397</f>
        <v>-0.14999999999999147</v>
      </c>
      <c r="E398" s="9">
        <f>C398-C397</f>
        <v>-0.28000000000000114</v>
      </c>
      <c r="F398" s="3">
        <f>F$1/B398</f>
        <v>1478.8524105294291</v>
      </c>
      <c r="G398" s="3">
        <f>F$1/C398</f>
        <v>1361.4703880190605</v>
      </c>
      <c r="H398" s="2">
        <f>D398*F397</f>
        <v>-221.33687472331633</v>
      </c>
      <c r="I398" s="2">
        <f>E398*G397</f>
        <v>-379.76400379764152</v>
      </c>
      <c r="J398" s="2">
        <f>I398-H398</f>
        <v>-158.42712907432519</v>
      </c>
      <c r="K398" s="2">
        <f t="shared" si="51"/>
        <v>158.42712907432519</v>
      </c>
      <c r="L398" s="14">
        <f>C398/B398</f>
        <v>1.0862170955338657</v>
      </c>
      <c r="M398" s="14">
        <f t="shared" si="54"/>
        <v>1.0857125507989682</v>
      </c>
      <c r="N398" s="14">
        <f t="shared" si="49"/>
        <v>1.0838137427824781</v>
      </c>
      <c r="O398" s="14">
        <f t="shared" si="50"/>
        <v>1.0796134868068112</v>
      </c>
      <c r="P398" s="14">
        <f t="shared" si="52"/>
        <v>1.0787293889150324</v>
      </c>
      <c r="Q398" s="4" t="str">
        <f t="shared" ref="Q398:R461" si="57">IF($L397&gt;M397,"OVER","UNDER")</f>
        <v>OVER</v>
      </c>
      <c r="R398" s="4" t="str">
        <f t="shared" si="57"/>
        <v>OVER</v>
      </c>
      <c r="S398" s="4" t="str">
        <f t="shared" si="55"/>
        <v>OVER</v>
      </c>
      <c r="T398" s="4" t="str">
        <f t="shared" si="55"/>
        <v>OVER</v>
      </c>
      <c r="U398" s="2">
        <f>IF(Q398="OVER",$J398,$K398)</f>
        <v>-158.42712907432519</v>
      </c>
      <c r="V398" s="2">
        <f>IF(R398="OVER",$J398,$K398)</f>
        <v>-158.42712907432519</v>
      </c>
      <c r="W398" s="2">
        <f>IF(S398="OVER",$J398,$K398)</f>
        <v>-158.42712907432519</v>
      </c>
      <c r="X398" s="2">
        <f>IF(T398="OVER",$J398,$K398)</f>
        <v>-158.42712907432519</v>
      </c>
      <c r="Y398" s="9">
        <f t="shared" si="56"/>
        <v>-12293.955174062214</v>
      </c>
      <c r="Z398" s="9">
        <f t="shared" si="56"/>
        <v>-11413.80240208372</v>
      </c>
      <c r="AA398" s="9">
        <f t="shared" si="56"/>
        <v>24085.67863832376</v>
      </c>
      <c r="AB398" s="9">
        <f t="shared" si="53"/>
        <v>5850.8507799485196</v>
      </c>
    </row>
    <row r="399" spans="1:28" x14ac:dyDescent="0.3">
      <c r="A399" s="1">
        <v>44992</v>
      </c>
      <c r="B399" s="2">
        <v>67.41</v>
      </c>
      <c r="C399" s="2">
        <v>73.31</v>
      </c>
      <c r="D399" s="9">
        <f>B399-B398</f>
        <v>-0.21000000000000796</v>
      </c>
      <c r="E399" s="9">
        <f>C399-C398</f>
        <v>-0.14000000000000057</v>
      </c>
      <c r="F399" s="3">
        <f>F$1/B399</f>
        <v>1483.459427384661</v>
      </c>
      <c r="G399" s="3">
        <f>F$1/C399</f>
        <v>1364.0703860319193</v>
      </c>
      <c r="H399" s="2">
        <f>D399*F398</f>
        <v>-310.5590062111919</v>
      </c>
      <c r="I399" s="2">
        <f>E399*G398</f>
        <v>-190.60585432266924</v>
      </c>
      <c r="J399" s="2">
        <f>I399-H399</f>
        <v>119.95315188852265</v>
      </c>
      <c r="K399" s="2">
        <f t="shared" si="51"/>
        <v>-119.95315188852265</v>
      </c>
      <c r="L399" s="14">
        <f>C399/B399</f>
        <v>1.0875241062156951</v>
      </c>
      <c r="M399" s="14">
        <f t="shared" si="54"/>
        <v>1.0861340986870662</v>
      </c>
      <c r="N399" s="14">
        <f t="shared" si="49"/>
        <v>1.083996540858724</v>
      </c>
      <c r="O399" s="14">
        <f t="shared" si="50"/>
        <v>1.0797639689311251</v>
      </c>
      <c r="P399" s="14">
        <f t="shared" si="52"/>
        <v>1.0787556502373592</v>
      </c>
      <c r="Q399" s="4" t="str">
        <f t="shared" si="57"/>
        <v>OVER</v>
      </c>
      <c r="R399" s="4" t="str">
        <f t="shared" si="57"/>
        <v>OVER</v>
      </c>
      <c r="S399" s="4" t="str">
        <f t="shared" si="55"/>
        <v>OVER</v>
      </c>
      <c r="T399" s="4" t="str">
        <f t="shared" si="55"/>
        <v>OVER</v>
      </c>
      <c r="U399" s="2">
        <f>IF(Q399="OVER",$J399,$K399)</f>
        <v>119.95315188852265</v>
      </c>
      <c r="V399" s="2">
        <f>IF(R399="OVER",$J399,$K399)</f>
        <v>119.95315188852265</v>
      </c>
      <c r="W399" s="2">
        <f>IF(S399="OVER",$J399,$K399)</f>
        <v>119.95315188852265</v>
      </c>
      <c r="X399" s="2">
        <f>IF(T399="OVER",$J399,$K399)</f>
        <v>119.95315188852265</v>
      </c>
      <c r="Y399" s="9">
        <f t="shared" si="56"/>
        <v>-12174.00202217369</v>
      </c>
      <c r="Z399" s="9">
        <f t="shared" si="56"/>
        <v>-11293.849250195197</v>
      </c>
      <c r="AA399" s="9">
        <f t="shared" si="56"/>
        <v>24205.631790212283</v>
      </c>
      <c r="AB399" s="9">
        <f t="shared" si="53"/>
        <v>5970.803931837042</v>
      </c>
    </row>
    <row r="400" spans="1:28" x14ac:dyDescent="0.3">
      <c r="A400" s="1">
        <v>44993</v>
      </c>
      <c r="B400" s="2">
        <v>67.41</v>
      </c>
      <c r="C400" s="2">
        <v>73.099999999999994</v>
      </c>
      <c r="D400" s="9">
        <f>B400-B399</f>
        <v>0</v>
      </c>
      <c r="E400" s="9">
        <f>C400-C399</f>
        <v>-0.21000000000000796</v>
      </c>
      <c r="F400" s="3">
        <f>F$1/B400</f>
        <v>1483.459427384661</v>
      </c>
      <c r="G400" s="3">
        <f>F$1/C400</f>
        <v>1367.9890560875515</v>
      </c>
      <c r="H400" s="2">
        <f>D400*F399</f>
        <v>0</v>
      </c>
      <c r="I400" s="2">
        <f>E400*G399</f>
        <v>-286.45478106671391</v>
      </c>
      <c r="J400" s="2">
        <f>I400-H400</f>
        <v>-286.45478106671391</v>
      </c>
      <c r="K400" s="2">
        <f t="shared" si="51"/>
        <v>286.45478106671391</v>
      </c>
      <c r="L400" s="14">
        <f>C400/B400</f>
        <v>1.0844088414181872</v>
      </c>
      <c r="M400" s="14">
        <f t="shared" si="54"/>
        <v>1.0861219850494623</v>
      </c>
      <c r="N400" s="14">
        <f t="shared" si="49"/>
        <v>1.0839364596738195</v>
      </c>
      <c r="O400" s="14">
        <f t="shared" si="50"/>
        <v>1.0798631725521171</v>
      </c>
      <c r="P400" s="14">
        <f t="shared" si="52"/>
        <v>1.0787800353808248</v>
      </c>
      <c r="Q400" s="4" t="str">
        <f t="shared" si="57"/>
        <v>OVER</v>
      </c>
      <c r="R400" s="4" t="str">
        <f t="shared" si="57"/>
        <v>OVER</v>
      </c>
      <c r="S400" s="4" t="str">
        <f t="shared" si="55"/>
        <v>OVER</v>
      </c>
      <c r="T400" s="4" t="str">
        <f t="shared" si="55"/>
        <v>OVER</v>
      </c>
      <c r="U400" s="2">
        <f>IF(Q400="OVER",$J400,$K400)</f>
        <v>-286.45478106671391</v>
      </c>
      <c r="V400" s="2">
        <f>IF(R400="OVER",$J400,$K400)</f>
        <v>-286.45478106671391</v>
      </c>
      <c r="W400" s="2">
        <f>IF(S400="OVER",$J400,$K400)</f>
        <v>-286.45478106671391</v>
      </c>
      <c r="X400" s="2">
        <f>IF(T400="OVER",$J400,$K400)</f>
        <v>-286.45478106671391</v>
      </c>
      <c r="Y400" s="9">
        <f t="shared" si="56"/>
        <v>-12460.456803240404</v>
      </c>
      <c r="Z400" s="9">
        <f t="shared" si="56"/>
        <v>-11580.30403126191</v>
      </c>
      <c r="AA400" s="9">
        <f t="shared" si="56"/>
        <v>23919.177009145569</v>
      </c>
      <c r="AB400" s="9">
        <f t="shared" si="53"/>
        <v>5684.3491507703284</v>
      </c>
    </row>
    <row r="401" spans="1:28" x14ac:dyDescent="0.3">
      <c r="A401" s="1">
        <v>44994</v>
      </c>
      <c r="B401" s="2">
        <v>66.540000000000006</v>
      </c>
      <c r="C401" s="2">
        <v>72.290000000000006</v>
      </c>
      <c r="D401" s="9">
        <f>B401-B400</f>
        <v>-0.86999999999999034</v>
      </c>
      <c r="E401" s="9">
        <f>C401-C400</f>
        <v>-0.80999999999998806</v>
      </c>
      <c r="F401" s="3">
        <f>F$1/B401</f>
        <v>1502.8554253080852</v>
      </c>
      <c r="G401" s="3">
        <f>F$1/C401</f>
        <v>1383.3171946327291</v>
      </c>
      <c r="H401" s="2">
        <f>D401*F400</f>
        <v>-1290.6097018246408</v>
      </c>
      <c r="I401" s="2">
        <f>E401*G400</f>
        <v>-1108.0711354309003</v>
      </c>
      <c r="J401" s="2">
        <f>I401-H401</f>
        <v>182.53856639374044</v>
      </c>
      <c r="K401" s="2">
        <f t="shared" si="51"/>
        <v>-182.53856639374044</v>
      </c>
      <c r="L401" s="14">
        <f>C401/B401</f>
        <v>1.0864141869552149</v>
      </c>
      <c r="M401" s="14">
        <f t="shared" si="54"/>
        <v>1.0863118671019576</v>
      </c>
      <c r="N401" s="14">
        <f t="shared" si="49"/>
        <v>1.0841261976261976</v>
      </c>
      <c r="O401" s="14">
        <f t="shared" si="50"/>
        <v>1.0800468037606534</v>
      </c>
      <c r="P401" s="14">
        <f t="shared" si="52"/>
        <v>1.0788189822498311</v>
      </c>
      <c r="Q401" s="4" t="str">
        <f t="shared" si="57"/>
        <v>UNDER</v>
      </c>
      <c r="R401" s="4" t="str">
        <f t="shared" si="57"/>
        <v>OVER</v>
      </c>
      <c r="S401" s="4" t="str">
        <f t="shared" si="55"/>
        <v>OVER</v>
      </c>
      <c r="T401" s="4" t="str">
        <f t="shared" si="55"/>
        <v>OVER</v>
      </c>
      <c r="U401" s="2">
        <f>IF(Q401="OVER",$J401,$K401)</f>
        <v>-182.53856639374044</v>
      </c>
      <c r="V401" s="2">
        <f>IF(R401="OVER",$J401,$K401)</f>
        <v>182.53856639374044</v>
      </c>
      <c r="W401" s="2">
        <f>IF(S401="OVER",$J401,$K401)</f>
        <v>182.53856639374044</v>
      </c>
      <c r="X401" s="2">
        <f>IF(T401="OVER",$J401,$K401)</f>
        <v>182.53856639374044</v>
      </c>
      <c r="Y401" s="9">
        <f t="shared" si="56"/>
        <v>-12642.995369634144</v>
      </c>
      <c r="Z401" s="9">
        <f t="shared" si="56"/>
        <v>-11397.765464868171</v>
      </c>
      <c r="AA401" s="9">
        <f t="shared" si="56"/>
        <v>24101.715575539311</v>
      </c>
      <c r="AB401" s="9">
        <f t="shared" si="53"/>
        <v>5866.8877171640688</v>
      </c>
    </row>
    <row r="402" spans="1:28" x14ac:dyDescent="0.3">
      <c r="A402" s="1">
        <v>44995</v>
      </c>
      <c r="B402" s="2">
        <v>65.680000000000007</v>
      </c>
      <c r="C402" s="2">
        <v>71.180000000000007</v>
      </c>
      <c r="D402" s="9">
        <f>B402-B401</f>
        <v>-0.85999999999999943</v>
      </c>
      <c r="E402" s="9">
        <f>C402-C401</f>
        <v>-1.1099999999999994</v>
      </c>
      <c r="F402" s="3">
        <f>F$1/B402</f>
        <v>1522.5334957369062</v>
      </c>
      <c r="G402" s="3">
        <f>F$1/C402</f>
        <v>1404.8890137679123</v>
      </c>
      <c r="H402" s="2">
        <f>D402*F401</f>
        <v>-1292.4556657649523</v>
      </c>
      <c r="I402" s="2">
        <f>E402*G401</f>
        <v>-1535.4820860423285</v>
      </c>
      <c r="J402" s="2">
        <f>I402-H402</f>
        <v>-243.02642027737625</v>
      </c>
      <c r="K402" s="2">
        <f t="shared" si="51"/>
        <v>243.02642027737625</v>
      </c>
      <c r="L402" s="14">
        <f>C402/B402</f>
        <v>1.0837393422655299</v>
      </c>
      <c r="M402" s="14">
        <f t="shared" si="54"/>
        <v>1.086495183309151</v>
      </c>
      <c r="N402" s="14">
        <f t="shared" si="49"/>
        <v>1.084150149840263</v>
      </c>
      <c r="O402" s="14">
        <f t="shared" si="50"/>
        <v>1.0801091392440962</v>
      </c>
      <c r="P402" s="14">
        <f t="shared" si="52"/>
        <v>1.0788688508826338</v>
      </c>
      <c r="Q402" s="4" t="str">
        <f t="shared" si="57"/>
        <v>OVER</v>
      </c>
      <c r="R402" s="4" t="str">
        <f t="shared" si="57"/>
        <v>OVER</v>
      </c>
      <c r="S402" s="4" t="str">
        <f t="shared" si="55"/>
        <v>OVER</v>
      </c>
      <c r="T402" s="4" t="str">
        <f t="shared" si="55"/>
        <v>OVER</v>
      </c>
      <c r="U402" s="2">
        <f>IF(Q402="OVER",$J402,$K402)</f>
        <v>-243.02642027737625</v>
      </c>
      <c r="V402" s="2">
        <f>IF(R402="OVER",$J402,$K402)</f>
        <v>-243.02642027737625</v>
      </c>
      <c r="W402" s="2">
        <f>IF(S402="OVER",$J402,$K402)</f>
        <v>-243.02642027737625</v>
      </c>
      <c r="X402" s="2">
        <f>IF(T402="OVER",$J402,$K402)</f>
        <v>-243.02642027737625</v>
      </c>
      <c r="Y402" s="9">
        <f t="shared" si="56"/>
        <v>-12886.02178991152</v>
      </c>
      <c r="Z402" s="9">
        <f t="shared" si="56"/>
        <v>-11640.791885145547</v>
      </c>
      <c r="AA402" s="9">
        <f t="shared" si="56"/>
        <v>23858.689155261935</v>
      </c>
      <c r="AB402" s="9">
        <f t="shared" si="53"/>
        <v>5623.8612968866928</v>
      </c>
    </row>
    <row r="403" spans="1:28" x14ac:dyDescent="0.3">
      <c r="A403" s="1">
        <v>44998</v>
      </c>
      <c r="B403" s="2">
        <v>65.040000000000006</v>
      </c>
      <c r="C403" s="2">
        <v>70.430000000000007</v>
      </c>
      <c r="D403" s="9">
        <f>B403-B402</f>
        <v>-0.64000000000000057</v>
      </c>
      <c r="E403" s="9">
        <f>C403-C402</f>
        <v>-0.75</v>
      </c>
      <c r="F403" s="3">
        <f>F$1/B403</f>
        <v>1537.5153751537514</v>
      </c>
      <c r="G403" s="3">
        <f>F$1/C403</f>
        <v>1419.8494959534287</v>
      </c>
      <c r="H403" s="2">
        <f>D403*F402</f>
        <v>-974.42143727162079</v>
      </c>
      <c r="I403" s="2">
        <f>E403*G402</f>
        <v>-1053.6667603259343</v>
      </c>
      <c r="J403" s="2">
        <f>I403-H403</f>
        <v>-79.245323054313531</v>
      </c>
      <c r="K403" s="2">
        <f t="shared" si="51"/>
        <v>79.245323054313531</v>
      </c>
      <c r="L403" s="14">
        <f>C403/B403</f>
        <v>1.0828720787207873</v>
      </c>
      <c r="M403" s="14">
        <f t="shared" si="54"/>
        <v>1.0863474015947971</v>
      </c>
      <c r="N403" s="14">
        <f t="shared" si="49"/>
        <v>1.0841240337118145</v>
      </c>
      <c r="O403" s="14">
        <f t="shared" si="50"/>
        <v>1.0801561585928019</v>
      </c>
      <c r="P403" s="14">
        <f t="shared" si="52"/>
        <v>1.078887636859748</v>
      </c>
      <c r="Q403" s="4" t="str">
        <f t="shared" si="57"/>
        <v>UNDER</v>
      </c>
      <c r="R403" s="4" t="str">
        <f t="shared" si="57"/>
        <v>UNDER</v>
      </c>
      <c r="S403" s="4" t="str">
        <f t="shared" si="55"/>
        <v>OVER</v>
      </c>
      <c r="T403" s="4" t="str">
        <f t="shared" si="55"/>
        <v>OVER</v>
      </c>
      <c r="U403" s="2">
        <f>IF(Q403="OVER",$J403,$K403)</f>
        <v>79.245323054313531</v>
      </c>
      <c r="V403" s="2">
        <f>IF(R403="OVER",$J403,$K403)</f>
        <v>79.245323054313531</v>
      </c>
      <c r="W403" s="2">
        <f>IF(S403="OVER",$J403,$K403)</f>
        <v>-79.245323054313531</v>
      </c>
      <c r="X403" s="2">
        <f>IF(T403="OVER",$J403,$K403)</f>
        <v>-79.245323054313531</v>
      </c>
      <c r="Y403" s="9">
        <f t="shared" si="56"/>
        <v>-12806.776466857205</v>
      </c>
      <c r="Z403" s="9">
        <f t="shared" si="56"/>
        <v>-11561.546562091233</v>
      </c>
      <c r="AA403" s="9">
        <f t="shared" si="56"/>
        <v>23779.44383220762</v>
      </c>
      <c r="AB403" s="9">
        <f t="shared" si="53"/>
        <v>5544.6159738323795</v>
      </c>
    </row>
    <row r="404" spans="1:28" x14ac:dyDescent="0.3">
      <c r="A404" s="1">
        <v>44999</v>
      </c>
      <c r="B404" s="2">
        <v>65.02</v>
      </c>
      <c r="C404" s="2">
        <v>70.260000000000005</v>
      </c>
      <c r="D404" s="9">
        <f>B404-B403</f>
        <v>-2.0000000000010232E-2</v>
      </c>
      <c r="E404" s="9">
        <f>C404-C403</f>
        <v>-0.17000000000000171</v>
      </c>
      <c r="F404" s="3">
        <f>F$1/B404</f>
        <v>1537.9883112888342</v>
      </c>
      <c r="G404" s="3">
        <f>F$1/C404</f>
        <v>1423.2849416453173</v>
      </c>
      <c r="H404" s="2">
        <f>D404*F403</f>
        <v>-30.75030750309076</v>
      </c>
      <c r="I404" s="2">
        <f>E404*G403</f>
        <v>-241.37441431208529</v>
      </c>
      <c r="J404" s="2">
        <f>I404-H404</f>
        <v>-210.62410680899453</v>
      </c>
      <c r="K404" s="2">
        <f t="shared" si="51"/>
        <v>210.62410680899453</v>
      </c>
      <c r="L404" s="14">
        <f>C404/B404</f>
        <v>1.0805905875115351</v>
      </c>
      <c r="M404" s="14">
        <f t="shared" si="54"/>
        <v>1.0856667138880831</v>
      </c>
      <c r="N404" s="14">
        <f t="shared" si="49"/>
        <v>1.0841570509525271</v>
      </c>
      <c r="O404" s="14">
        <f t="shared" si="50"/>
        <v>1.0802170767921391</v>
      </c>
      <c r="P404" s="14">
        <f t="shared" si="52"/>
        <v>1.0789311469337441</v>
      </c>
      <c r="Q404" s="4" t="str">
        <f t="shared" si="57"/>
        <v>UNDER</v>
      </c>
      <c r="R404" s="4" t="str">
        <f t="shared" si="57"/>
        <v>UNDER</v>
      </c>
      <c r="S404" s="4" t="str">
        <f t="shared" si="55"/>
        <v>OVER</v>
      </c>
      <c r="T404" s="4" t="str">
        <f t="shared" si="55"/>
        <v>OVER</v>
      </c>
      <c r="U404" s="2">
        <f>IF(Q404="OVER",$J404,$K404)</f>
        <v>210.62410680899453</v>
      </c>
      <c r="V404" s="2">
        <f>IF(R404="OVER",$J404,$K404)</f>
        <v>210.62410680899453</v>
      </c>
      <c r="W404" s="2">
        <f>IF(S404="OVER",$J404,$K404)</f>
        <v>-210.62410680899453</v>
      </c>
      <c r="X404" s="2">
        <f>IF(T404="OVER",$J404,$K404)</f>
        <v>-210.62410680899453</v>
      </c>
      <c r="Y404" s="9">
        <f t="shared" si="56"/>
        <v>-12596.152360048211</v>
      </c>
      <c r="Z404" s="9">
        <f t="shared" si="56"/>
        <v>-11350.922455282238</v>
      </c>
      <c r="AA404" s="9">
        <f t="shared" si="56"/>
        <v>23568.819725398625</v>
      </c>
      <c r="AB404" s="9">
        <f t="shared" si="53"/>
        <v>5333.9918670233847</v>
      </c>
    </row>
    <row r="405" spans="1:28" x14ac:dyDescent="0.3">
      <c r="A405" s="1">
        <v>45000</v>
      </c>
      <c r="B405" s="2">
        <v>64.87</v>
      </c>
      <c r="C405" s="2">
        <v>70.16</v>
      </c>
      <c r="D405" s="9">
        <f>B405-B404</f>
        <v>-0.14999999999999147</v>
      </c>
      <c r="E405" s="9">
        <f>C405-C404</f>
        <v>-0.10000000000000853</v>
      </c>
      <c r="F405" s="3">
        <f>F$1/B405</f>
        <v>1541.5446277169724</v>
      </c>
      <c r="G405" s="3">
        <f>F$1/C405</f>
        <v>1425.3135689851767</v>
      </c>
      <c r="H405" s="2">
        <f>D405*F404</f>
        <v>-230.69824669331203</v>
      </c>
      <c r="I405" s="2">
        <f>E405*G404</f>
        <v>-142.32849416454386</v>
      </c>
      <c r="J405" s="2">
        <f>I405-H405</f>
        <v>88.369752528768174</v>
      </c>
      <c r="K405" s="2">
        <f t="shared" si="51"/>
        <v>-88.369752528768174</v>
      </c>
      <c r="L405" s="14">
        <f>C405/B405</f>
        <v>1.0815477108062277</v>
      </c>
      <c r="M405" s="14">
        <f t="shared" si="54"/>
        <v>1.0849869826556184</v>
      </c>
      <c r="N405" s="14">
        <f t="shared" si="49"/>
        <v>1.0842800031740167</v>
      </c>
      <c r="O405" s="14">
        <f t="shared" si="50"/>
        <v>1.0802533776044714</v>
      </c>
      <c r="P405" s="14">
        <f t="shared" si="52"/>
        <v>1.0789645657348705</v>
      </c>
      <c r="Q405" s="4" t="str">
        <f t="shared" si="57"/>
        <v>UNDER</v>
      </c>
      <c r="R405" s="4" t="str">
        <f t="shared" si="57"/>
        <v>UNDER</v>
      </c>
      <c r="S405" s="4" t="str">
        <f t="shared" si="55"/>
        <v>OVER</v>
      </c>
      <c r="T405" s="4" t="str">
        <f t="shared" si="55"/>
        <v>OVER</v>
      </c>
      <c r="U405" s="2">
        <f>IF(Q405="OVER",$J405,$K405)</f>
        <v>-88.369752528768174</v>
      </c>
      <c r="V405" s="2">
        <f>IF(R405="OVER",$J405,$K405)</f>
        <v>-88.369752528768174</v>
      </c>
      <c r="W405" s="2">
        <f>IF(S405="OVER",$J405,$K405)</f>
        <v>88.369752528768174</v>
      </c>
      <c r="X405" s="2">
        <f>IF(T405="OVER",$J405,$K405)</f>
        <v>88.369752528768174</v>
      </c>
      <c r="Y405" s="9">
        <f t="shared" si="56"/>
        <v>-12684.522112576979</v>
      </c>
      <c r="Z405" s="9">
        <f t="shared" si="56"/>
        <v>-11439.292207811006</v>
      </c>
      <c r="AA405" s="9">
        <f t="shared" si="56"/>
        <v>23657.189477927393</v>
      </c>
      <c r="AB405" s="9">
        <f t="shared" si="53"/>
        <v>5422.3616195521527</v>
      </c>
    </row>
    <row r="406" spans="1:28" x14ac:dyDescent="0.3">
      <c r="A406" s="1">
        <v>45001</v>
      </c>
      <c r="B406" s="2">
        <v>65.47</v>
      </c>
      <c r="C406" s="2">
        <v>71.08</v>
      </c>
      <c r="D406" s="9">
        <f>B406-B405</f>
        <v>0.59999999999999432</v>
      </c>
      <c r="E406" s="9">
        <f>C406-C405</f>
        <v>0.92000000000000171</v>
      </c>
      <c r="F406" s="3">
        <f>F$1/B406</f>
        <v>1527.4171376202842</v>
      </c>
      <c r="G406" s="3">
        <f>F$1/C406</f>
        <v>1406.8655036578502</v>
      </c>
      <c r="H406" s="2">
        <f>D406*F405</f>
        <v>924.92677663017469</v>
      </c>
      <c r="I406" s="2">
        <f>E406*G405</f>
        <v>1311.2884834663651</v>
      </c>
      <c r="J406" s="2">
        <f>I406-H406</f>
        <v>386.36170683619036</v>
      </c>
      <c r="K406" s="2">
        <f t="shared" si="51"/>
        <v>-386.36170683619036</v>
      </c>
      <c r="L406" s="14">
        <f>C406/B406</f>
        <v>1.085688101420498</v>
      </c>
      <c r="M406" s="14">
        <f t="shared" si="54"/>
        <v>1.0846946569070943</v>
      </c>
      <c r="N406" s="14">
        <f t="shared" si="49"/>
        <v>1.0844832178376449</v>
      </c>
      <c r="O406" s="14">
        <f t="shared" si="50"/>
        <v>1.080341808171331</v>
      </c>
      <c r="P406" s="14">
        <f t="shared" si="52"/>
        <v>1.0790171207424788</v>
      </c>
      <c r="Q406" s="4" t="str">
        <f t="shared" si="57"/>
        <v>UNDER</v>
      </c>
      <c r="R406" s="4" t="str">
        <f t="shared" si="57"/>
        <v>UNDER</v>
      </c>
      <c r="S406" s="4" t="str">
        <f t="shared" si="55"/>
        <v>OVER</v>
      </c>
      <c r="T406" s="4" t="str">
        <f t="shared" si="55"/>
        <v>OVER</v>
      </c>
      <c r="U406" s="2">
        <f>IF(Q406="OVER",$J406,$K406)</f>
        <v>-386.36170683619036</v>
      </c>
      <c r="V406" s="2">
        <f>IF(R406="OVER",$J406,$K406)</f>
        <v>-386.36170683619036</v>
      </c>
      <c r="W406" s="2">
        <f>IF(S406="OVER",$J406,$K406)</f>
        <v>386.36170683619036</v>
      </c>
      <c r="X406" s="2">
        <f>IF(T406="OVER",$J406,$K406)</f>
        <v>386.36170683619036</v>
      </c>
      <c r="Y406" s="9">
        <f t="shared" si="56"/>
        <v>-13070.883819413169</v>
      </c>
      <c r="Z406" s="9">
        <f t="shared" si="56"/>
        <v>-11825.653914647197</v>
      </c>
      <c r="AA406" s="9">
        <f t="shared" si="56"/>
        <v>24043.551184763583</v>
      </c>
      <c r="AB406" s="9">
        <f t="shared" si="53"/>
        <v>5808.7233263883427</v>
      </c>
    </row>
    <row r="407" spans="1:28" x14ac:dyDescent="0.3">
      <c r="A407" s="1">
        <v>45002</v>
      </c>
      <c r="B407" s="2">
        <v>64.989999999999995</v>
      </c>
      <c r="C407" s="2">
        <v>70.62</v>
      </c>
      <c r="D407" s="9">
        <f>B407-B406</f>
        <v>-0.48000000000000398</v>
      </c>
      <c r="E407" s="9">
        <f>C407-C406</f>
        <v>-0.45999999999999375</v>
      </c>
      <c r="F407" s="3">
        <f>F$1/B407</f>
        <v>1538.6982612709648</v>
      </c>
      <c r="G407" s="3">
        <f>F$1/C407</f>
        <v>1416.0294534126308</v>
      </c>
      <c r="H407" s="2">
        <f>D407*F406</f>
        <v>-733.16022605774242</v>
      </c>
      <c r="I407" s="2">
        <f>E407*G406</f>
        <v>-647.15813168260229</v>
      </c>
      <c r="J407" s="2">
        <f>I407-H407</f>
        <v>86.002094375140132</v>
      </c>
      <c r="K407" s="2">
        <f t="shared" si="51"/>
        <v>-86.002094375140132</v>
      </c>
      <c r="L407" s="14">
        <f>C407/B407</f>
        <v>1.0866287121095555</v>
      </c>
      <c r="M407" s="14">
        <f t="shared" si="54"/>
        <v>1.0845630762957097</v>
      </c>
      <c r="N407" s="14">
        <f t="shared" ref="N407:N470" si="58">AVERAGE(L388:L407)</f>
        <v>1.0846916930701624</v>
      </c>
      <c r="O407" s="14">
        <f t="shared" si="50"/>
        <v>1.0804856117826411</v>
      </c>
      <c r="P407" s="14">
        <f t="shared" si="52"/>
        <v>1.079091614513997</v>
      </c>
      <c r="Q407" s="4" t="str">
        <f t="shared" si="57"/>
        <v>OVER</v>
      </c>
      <c r="R407" s="4" t="str">
        <f t="shared" si="57"/>
        <v>OVER</v>
      </c>
      <c r="S407" s="4" t="str">
        <f t="shared" si="55"/>
        <v>OVER</v>
      </c>
      <c r="T407" s="4" t="str">
        <f t="shared" si="55"/>
        <v>OVER</v>
      </c>
      <c r="U407" s="2">
        <f>IF(Q407="OVER",$J407,$K407)</f>
        <v>86.002094375140132</v>
      </c>
      <c r="V407" s="2">
        <f>IF(R407="OVER",$J407,$K407)</f>
        <v>86.002094375140132</v>
      </c>
      <c r="W407" s="2">
        <f>IF(S407="OVER",$J407,$K407)</f>
        <v>86.002094375140132</v>
      </c>
      <c r="X407" s="2">
        <f>IF(T407="OVER",$J407,$K407)</f>
        <v>86.002094375140132</v>
      </c>
      <c r="Y407" s="9">
        <f t="shared" si="56"/>
        <v>-12984.881725038029</v>
      </c>
      <c r="Z407" s="9">
        <f t="shared" si="56"/>
        <v>-11739.651820272056</v>
      </c>
      <c r="AA407" s="9">
        <f t="shared" si="56"/>
        <v>24129.553279138723</v>
      </c>
      <c r="AB407" s="9">
        <f t="shared" si="53"/>
        <v>5894.7254207634833</v>
      </c>
    </row>
    <row r="408" spans="1:28" x14ac:dyDescent="0.3">
      <c r="A408" s="1">
        <v>45005</v>
      </c>
      <c r="B408" s="2">
        <v>65.14</v>
      </c>
      <c r="C408" s="2">
        <v>70.69</v>
      </c>
      <c r="D408" s="9">
        <f>B408-B407</f>
        <v>0.15000000000000568</v>
      </c>
      <c r="E408" s="9">
        <f>C408-C407</f>
        <v>6.9999999999993179E-2</v>
      </c>
      <c r="F408" s="3">
        <f>F$1/B408</f>
        <v>1535.1550506601166</v>
      </c>
      <c r="G408" s="3">
        <f>F$1/C408</f>
        <v>1414.6272457207526</v>
      </c>
      <c r="H408" s="2">
        <f>D408*F407</f>
        <v>230.80473919065346</v>
      </c>
      <c r="I408" s="2">
        <f>E408*G407</f>
        <v>99.122061738874493</v>
      </c>
      <c r="J408" s="2">
        <f>I408-H408</f>
        <v>-131.68267745177897</v>
      </c>
      <c r="K408" s="2">
        <f t="shared" si="51"/>
        <v>131.68267745177897</v>
      </c>
      <c r="L408" s="14">
        <f>C408/B408</f>
        <v>1.0852011053116364</v>
      </c>
      <c r="M408" s="14">
        <f t="shared" si="54"/>
        <v>1.0844614772734869</v>
      </c>
      <c r="N408" s="14">
        <f t="shared" si="58"/>
        <v>1.0850870140362274</v>
      </c>
      <c r="O408" s="14">
        <f t="shared" si="50"/>
        <v>1.0806707250234058</v>
      </c>
      <c r="P408" s="14">
        <f t="shared" si="52"/>
        <v>1.0791420159989678</v>
      </c>
      <c r="Q408" s="4" t="str">
        <f t="shared" si="57"/>
        <v>OVER</v>
      </c>
      <c r="R408" s="4" t="str">
        <f t="shared" si="57"/>
        <v>OVER</v>
      </c>
      <c r="S408" s="4" t="str">
        <f t="shared" si="55"/>
        <v>OVER</v>
      </c>
      <c r="T408" s="4" t="str">
        <f t="shared" si="55"/>
        <v>OVER</v>
      </c>
      <c r="U408" s="2">
        <f>IF(Q408="OVER",$J408,$K408)</f>
        <v>-131.68267745177897</v>
      </c>
      <c r="V408" s="2">
        <f>IF(R408="OVER",$J408,$K408)</f>
        <v>-131.68267745177897</v>
      </c>
      <c r="W408" s="2">
        <f>IF(S408="OVER",$J408,$K408)</f>
        <v>-131.68267745177897</v>
      </c>
      <c r="X408" s="2">
        <f>IF(T408="OVER",$J408,$K408)</f>
        <v>-131.68267745177897</v>
      </c>
      <c r="Y408" s="9">
        <f t="shared" si="56"/>
        <v>-13116.564402489808</v>
      </c>
      <c r="Z408" s="9">
        <f t="shared" si="56"/>
        <v>-11871.334497723836</v>
      </c>
      <c r="AA408" s="9">
        <f t="shared" si="56"/>
        <v>23997.870601686944</v>
      </c>
      <c r="AB408" s="9">
        <f t="shared" si="53"/>
        <v>5763.0427433117047</v>
      </c>
    </row>
    <row r="409" spans="1:28" x14ac:dyDescent="0.3">
      <c r="A409" s="1">
        <v>45006</v>
      </c>
      <c r="B409" s="2">
        <v>65.88</v>
      </c>
      <c r="C409" s="2">
        <v>71.260000000000005</v>
      </c>
      <c r="D409" s="9">
        <f>B409-B408</f>
        <v>0.73999999999999488</v>
      </c>
      <c r="E409" s="9">
        <f>C409-C408</f>
        <v>0.57000000000000739</v>
      </c>
      <c r="F409" s="3">
        <f>F$1/B409</f>
        <v>1517.9113539769278</v>
      </c>
      <c r="G409" s="3">
        <f>F$1/C409</f>
        <v>1403.3118158854898</v>
      </c>
      <c r="H409" s="2">
        <f>D409*F408</f>
        <v>1136.0147374884784</v>
      </c>
      <c r="I409" s="2">
        <f>E409*G408</f>
        <v>806.33753006083941</v>
      </c>
      <c r="J409" s="2">
        <f>I409-H409</f>
        <v>-329.67720742763902</v>
      </c>
      <c r="K409" s="2">
        <f t="shared" si="51"/>
        <v>329.67720742763902</v>
      </c>
      <c r="L409" s="14">
        <f>C409/B409</f>
        <v>1.0816636308439589</v>
      </c>
      <c r="M409" s="14">
        <f t="shared" si="54"/>
        <v>1.0838754297363131</v>
      </c>
      <c r="N409" s="14">
        <f t="shared" si="58"/>
        <v>1.0850047642116896</v>
      </c>
      <c r="O409" s="14">
        <f t="shared" si="50"/>
        <v>1.0807222158276983</v>
      </c>
      <c r="P409" s="14">
        <f t="shared" si="52"/>
        <v>1.0791713716171645</v>
      </c>
      <c r="Q409" s="4" t="str">
        <f t="shared" si="57"/>
        <v>OVER</v>
      </c>
      <c r="R409" s="4" t="str">
        <f t="shared" si="57"/>
        <v>OVER</v>
      </c>
      <c r="S409" s="4" t="str">
        <f t="shared" si="55"/>
        <v>OVER</v>
      </c>
      <c r="T409" s="4" t="str">
        <f t="shared" si="55"/>
        <v>OVER</v>
      </c>
      <c r="U409" s="2">
        <f>IF(Q409="OVER",$J409,$K409)</f>
        <v>-329.67720742763902</v>
      </c>
      <c r="V409" s="2">
        <f>IF(R409="OVER",$J409,$K409)</f>
        <v>-329.67720742763902</v>
      </c>
      <c r="W409" s="2">
        <f>IF(S409="OVER",$J409,$K409)</f>
        <v>-329.67720742763902</v>
      </c>
      <c r="X409" s="2">
        <f>IF(T409="OVER",$J409,$K409)</f>
        <v>-329.67720742763902</v>
      </c>
      <c r="Y409" s="9">
        <f t="shared" si="56"/>
        <v>-13446.241609917448</v>
      </c>
      <c r="Z409" s="9">
        <f t="shared" si="56"/>
        <v>-12201.011705151475</v>
      </c>
      <c r="AA409" s="9">
        <f t="shared" si="56"/>
        <v>23668.193394259306</v>
      </c>
      <c r="AB409" s="9">
        <f t="shared" si="53"/>
        <v>5433.365535884066</v>
      </c>
    </row>
    <row r="410" spans="1:28" x14ac:dyDescent="0.3">
      <c r="A410" s="1">
        <v>45007</v>
      </c>
      <c r="B410" s="2">
        <v>65.489999999999995</v>
      </c>
      <c r="C410" s="2">
        <v>70.77</v>
      </c>
      <c r="D410" s="9">
        <f>B410-B409</f>
        <v>-0.39000000000000057</v>
      </c>
      <c r="E410" s="9">
        <f>C410-C409</f>
        <v>-0.49000000000000909</v>
      </c>
      <c r="F410" s="3">
        <f>F$1/B410</f>
        <v>1526.9506794930526</v>
      </c>
      <c r="G410" s="3">
        <f>F$1/C410</f>
        <v>1413.0281192595733</v>
      </c>
      <c r="H410" s="2">
        <f>D410*F409</f>
        <v>-591.98542805100271</v>
      </c>
      <c r="I410" s="2">
        <f>E410*G409</f>
        <v>-687.6227897839027</v>
      </c>
      <c r="J410" s="2">
        <f>I410-H410</f>
        <v>-95.63736173289999</v>
      </c>
      <c r="K410" s="2">
        <f t="shared" si="51"/>
        <v>95.63736173289999</v>
      </c>
      <c r="L410" s="14">
        <f>C410/B410</f>
        <v>1.0806229958772331</v>
      </c>
      <c r="M410" s="14">
        <f t="shared" si="54"/>
        <v>1.0834968451822176</v>
      </c>
      <c r="N410" s="14">
        <f t="shared" si="58"/>
        <v>1.0848094151158398</v>
      </c>
      <c r="O410" s="14">
        <f t="shared" si="50"/>
        <v>1.0807978593688299</v>
      </c>
      <c r="P410" s="14">
        <f t="shared" si="52"/>
        <v>1.0791999956134208</v>
      </c>
      <c r="Q410" s="4" t="str">
        <f t="shared" si="57"/>
        <v>UNDER</v>
      </c>
      <c r="R410" s="4" t="str">
        <f t="shared" si="57"/>
        <v>UNDER</v>
      </c>
      <c r="S410" s="4" t="str">
        <f t="shared" si="55"/>
        <v>UNDER</v>
      </c>
      <c r="T410" s="4" t="str">
        <f t="shared" si="55"/>
        <v>OVER</v>
      </c>
      <c r="U410" s="2">
        <f>IF(Q410="OVER",$J410,$K410)</f>
        <v>95.63736173289999</v>
      </c>
      <c r="V410" s="2">
        <f>IF(R410="OVER",$J410,$K410)</f>
        <v>95.63736173289999</v>
      </c>
      <c r="W410" s="2">
        <f>IF(S410="OVER",$J410,$K410)</f>
        <v>95.63736173289999</v>
      </c>
      <c r="X410" s="2">
        <f>IF(T410="OVER",$J410,$K410)</f>
        <v>-95.63736173289999</v>
      </c>
      <c r="Y410" s="9">
        <f t="shared" si="56"/>
        <v>-13350.604248184547</v>
      </c>
      <c r="Z410" s="9">
        <f t="shared" si="56"/>
        <v>-12105.374343418574</v>
      </c>
      <c r="AA410" s="9">
        <f t="shared" si="56"/>
        <v>23763.830755992207</v>
      </c>
      <c r="AB410" s="9">
        <f t="shared" si="53"/>
        <v>5337.7281741511661</v>
      </c>
    </row>
    <row r="411" spans="1:28" x14ac:dyDescent="0.3">
      <c r="A411" s="1">
        <v>45008</v>
      </c>
      <c r="B411" s="2">
        <v>65.52</v>
      </c>
      <c r="C411" s="2">
        <v>71.02</v>
      </c>
      <c r="D411" s="9">
        <f>B411-B410</f>
        <v>3.0000000000001137E-2</v>
      </c>
      <c r="E411" s="9">
        <f>C411-C410</f>
        <v>0.25</v>
      </c>
      <c r="F411" s="3">
        <f>F$1/B411</f>
        <v>1526.2515262515265</v>
      </c>
      <c r="G411" s="3">
        <f>F$1/C411</f>
        <v>1408.0540692762602</v>
      </c>
      <c r="H411" s="2">
        <f>D411*F410</f>
        <v>45.808520384793312</v>
      </c>
      <c r="I411" s="2">
        <f>E411*G410</f>
        <v>353.25702981489331</v>
      </c>
      <c r="J411" s="2">
        <f>I411-H411</f>
        <v>307.44850943009999</v>
      </c>
      <c r="K411" s="2">
        <f t="shared" si="51"/>
        <v>-307.44850943009999</v>
      </c>
      <c r="L411" s="14">
        <f>C411/B411</f>
        <v>1.0839438339438339</v>
      </c>
      <c r="M411" s="14">
        <f t="shared" si="54"/>
        <v>1.0832498098810797</v>
      </c>
      <c r="N411" s="14">
        <f t="shared" si="58"/>
        <v>1.0847808384915187</v>
      </c>
      <c r="O411" s="14">
        <f t="shared" si="50"/>
        <v>1.0809844703516192</v>
      </c>
      <c r="P411" s="14">
        <f t="shared" si="52"/>
        <v>1.0792366619682821</v>
      </c>
      <c r="Q411" s="4" t="str">
        <f t="shared" si="57"/>
        <v>UNDER</v>
      </c>
      <c r="R411" s="4" t="str">
        <f t="shared" si="57"/>
        <v>UNDER</v>
      </c>
      <c r="S411" s="4" t="str">
        <f t="shared" si="55"/>
        <v>OVER</v>
      </c>
      <c r="T411" s="4" t="str">
        <f t="shared" si="55"/>
        <v>OVER</v>
      </c>
      <c r="U411" s="2">
        <f>IF(Q411="OVER",$J411,$K411)</f>
        <v>-307.44850943009999</v>
      </c>
      <c r="V411" s="2">
        <f>IF(R411="OVER",$J411,$K411)</f>
        <v>-307.44850943009999</v>
      </c>
      <c r="W411" s="2">
        <f>IF(S411="OVER",$J411,$K411)</f>
        <v>307.44850943009999</v>
      </c>
      <c r="X411" s="2">
        <f>IF(T411="OVER",$J411,$K411)</f>
        <v>307.44850943009999</v>
      </c>
      <c r="Y411" s="9">
        <f t="shared" si="56"/>
        <v>-13658.052757614647</v>
      </c>
      <c r="Z411" s="9">
        <f t="shared" si="56"/>
        <v>-12412.822852848674</v>
      </c>
      <c r="AA411" s="9">
        <f t="shared" si="56"/>
        <v>24071.279265422309</v>
      </c>
      <c r="AB411" s="9">
        <f t="shared" si="53"/>
        <v>5645.1766835812659</v>
      </c>
    </row>
    <row r="412" spans="1:28" x14ac:dyDescent="0.3">
      <c r="A412" s="1">
        <v>45009</v>
      </c>
      <c r="B412" s="2">
        <v>65.39</v>
      </c>
      <c r="C412" s="2">
        <v>70.95</v>
      </c>
      <c r="D412" s="9">
        <f>B412-B411</f>
        <v>-0.12999999999999545</v>
      </c>
      <c r="E412" s="9">
        <f>C412-C411</f>
        <v>-6.9999999999993179E-2</v>
      </c>
      <c r="F412" s="3">
        <f>F$1/B412</f>
        <v>1529.285823520416</v>
      </c>
      <c r="G412" s="3">
        <f>F$1/C412</f>
        <v>1409.4432699083861</v>
      </c>
      <c r="H412" s="2">
        <f>D412*F411</f>
        <v>-198.4126984126915</v>
      </c>
      <c r="I412" s="2">
        <f>E412*G411</f>
        <v>-98.563784849328613</v>
      </c>
      <c r="J412" s="2">
        <f>I412-H412</f>
        <v>99.848913563362885</v>
      </c>
      <c r="K412" s="2">
        <f t="shared" si="51"/>
        <v>-99.848913563362885</v>
      </c>
      <c r="L412" s="14">
        <f>C412/B412</f>
        <v>1.0850282917877352</v>
      </c>
      <c r="M412" s="14">
        <f t="shared" si="54"/>
        <v>1.0833787048333003</v>
      </c>
      <c r="N412" s="14">
        <f t="shared" si="58"/>
        <v>1.0849369440712255</v>
      </c>
      <c r="O412" s="14">
        <f t="shared" si="50"/>
        <v>1.0813931557165015</v>
      </c>
      <c r="P412" s="14">
        <f t="shared" si="52"/>
        <v>1.079292791774221</v>
      </c>
      <c r="Q412" s="4" t="str">
        <f t="shared" si="57"/>
        <v>OVER</v>
      </c>
      <c r="R412" s="4" t="str">
        <f t="shared" si="57"/>
        <v>UNDER</v>
      </c>
      <c r="S412" s="4" t="str">
        <f t="shared" si="55"/>
        <v>OVER</v>
      </c>
      <c r="T412" s="4" t="str">
        <f t="shared" si="55"/>
        <v>OVER</v>
      </c>
      <c r="U412" s="2">
        <f>IF(Q412="OVER",$J412,$K412)</f>
        <v>99.848913563362885</v>
      </c>
      <c r="V412" s="2">
        <f>IF(R412="OVER",$J412,$K412)</f>
        <v>-99.848913563362885</v>
      </c>
      <c r="W412" s="2">
        <f>IF(S412="OVER",$J412,$K412)</f>
        <v>99.848913563362885</v>
      </c>
      <c r="X412" s="2">
        <f>IF(T412="OVER",$J412,$K412)</f>
        <v>99.848913563362885</v>
      </c>
      <c r="Y412" s="9">
        <f t="shared" si="56"/>
        <v>-13558.203844051284</v>
      </c>
      <c r="Z412" s="9">
        <f t="shared" si="56"/>
        <v>-12512.671766412037</v>
      </c>
      <c r="AA412" s="9">
        <f t="shared" si="56"/>
        <v>24171.128178985673</v>
      </c>
      <c r="AB412" s="9">
        <f t="shared" si="53"/>
        <v>5745.0255971446286</v>
      </c>
    </row>
    <row r="413" spans="1:28" x14ac:dyDescent="0.3">
      <c r="A413" s="1">
        <v>45012</v>
      </c>
      <c r="B413" s="2">
        <v>65.569999999999993</v>
      </c>
      <c r="C413" s="2">
        <v>71.08</v>
      </c>
      <c r="D413" s="9">
        <f>B413-B412</f>
        <v>0.17999999999999261</v>
      </c>
      <c r="E413" s="9">
        <f>C413-C412</f>
        <v>0.12999999999999545</v>
      </c>
      <c r="F413" s="3">
        <f>F$1/B413</f>
        <v>1525.0876925423213</v>
      </c>
      <c r="G413" s="3">
        <f>F$1/C413</f>
        <v>1406.8655036578502</v>
      </c>
      <c r="H413" s="2">
        <f>D413*F412</f>
        <v>275.27144823366359</v>
      </c>
      <c r="I413" s="2">
        <f>E413*G412</f>
        <v>183.22762508808378</v>
      </c>
      <c r="J413" s="2">
        <f>I413-H413</f>
        <v>-92.043823145579807</v>
      </c>
      <c r="K413" s="2">
        <f t="shared" si="51"/>
        <v>92.043823145579807</v>
      </c>
      <c r="L413" s="14">
        <f>C413/B413</f>
        <v>1.0840323318590819</v>
      </c>
      <c r="M413" s="14">
        <f t="shared" si="54"/>
        <v>1.0834947301471296</v>
      </c>
      <c r="N413" s="14">
        <f t="shared" si="58"/>
        <v>1.0849210658709636</v>
      </c>
      <c r="O413" s="14">
        <f t="shared" si="50"/>
        <v>1.0816887026684787</v>
      </c>
      <c r="P413" s="14">
        <f t="shared" si="52"/>
        <v>1.0793402287874605</v>
      </c>
      <c r="Q413" s="4" t="str">
        <f t="shared" si="57"/>
        <v>OVER</v>
      </c>
      <c r="R413" s="4" t="str">
        <f t="shared" si="57"/>
        <v>OVER</v>
      </c>
      <c r="S413" s="4" t="str">
        <f t="shared" si="55"/>
        <v>OVER</v>
      </c>
      <c r="T413" s="4" t="str">
        <f t="shared" si="55"/>
        <v>OVER</v>
      </c>
      <c r="U413" s="2">
        <f>IF(Q413="OVER",$J413,$K413)</f>
        <v>-92.043823145579807</v>
      </c>
      <c r="V413" s="2">
        <f>IF(R413="OVER",$J413,$K413)</f>
        <v>-92.043823145579807</v>
      </c>
      <c r="W413" s="2">
        <f>IF(S413="OVER",$J413,$K413)</f>
        <v>-92.043823145579807</v>
      </c>
      <c r="X413" s="2">
        <f>IF(T413="OVER",$J413,$K413)</f>
        <v>-92.043823145579807</v>
      </c>
      <c r="Y413" s="9">
        <f t="shared" si="56"/>
        <v>-13650.247667196863</v>
      </c>
      <c r="Z413" s="9">
        <f t="shared" si="56"/>
        <v>-12604.715589557616</v>
      </c>
      <c r="AA413" s="9">
        <f t="shared" si="56"/>
        <v>24079.084355840092</v>
      </c>
      <c r="AB413" s="9">
        <f t="shared" si="53"/>
        <v>5652.9817739990485</v>
      </c>
    </row>
    <row r="414" spans="1:28" x14ac:dyDescent="0.3">
      <c r="A414" s="1">
        <v>45013</v>
      </c>
      <c r="B414" s="2">
        <v>65.540000000000006</v>
      </c>
      <c r="C414" s="2">
        <v>71.3</v>
      </c>
      <c r="D414" s="9">
        <f>B414-B413</f>
        <v>-2.9999999999986926E-2</v>
      </c>
      <c r="E414" s="9">
        <f>C414-C413</f>
        <v>0.21999999999999886</v>
      </c>
      <c r="F414" s="3">
        <f>F$1/B414</f>
        <v>1525.7857796765334</v>
      </c>
      <c r="G414" s="3">
        <f>F$1/C414</f>
        <v>1402.5245441795232</v>
      </c>
      <c r="H414" s="2">
        <f>D414*F413</f>
        <v>-45.752630776249703</v>
      </c>
      <c r="I414" s="2">
        <f>E414*G413</f>
        <v>309.51041080472544</v>
      </c>
      <c r="J414" s="2">
        <f>I414-H414</f>
        <v>355.26304158097514</v>
      </c>
      <c r="K414" s="2">
        <f t="shared" si="51"/>
        <v>-355.26304158097514</v>
      </c>
      <c r="L414" s="14">
        <f>C414/B414</f>
        <v>1.0878852609093681</v>
      </c>
      <c r="M414" s="14">
        <f t="shared" si="54"/>
        <v>1.0842241974869129</v>
      </c>
      <c r="N414" s="14">
        <f t="shared" si="58"/>
        <v>1.084945455687498</v>
      </c>
      <c r="O414" s="14">
        <f t="shared" si="50"/>
        <v>1.0819882298637049</v>
      </c>
      <c r="P414" s="14">
        <f t="shared" si="52"/>
        <v>1.079402144463067</v>
      </c>
      <c r="Q414" s="4" t="str">
        <f t="shared" si="57"/>
        <v>OVER</v>
      </c>
      <c r="R414" s="4" t="str">
        <f t="shared" si="57"/>
        <v>UNDER</v>
      </c>
      <c r="S414" s="4" t="str">
        <f t="shared" si="55"/>
        <v>OVER</v>
      </c>
      <c r="T414" s="4" t="str">
        <f t="shared" si="55"/>
        <v>OVER</v>
      </c>
      <c r="U414" s="2">
        <f>IF(Q414="OVER",$J414,$K414)</f>
        <v>355.26304158097514</v>
      </c>
      <c r="V414" s="2">
        <f>IF(R414="OVER",$J414,$K414)</f>
        <v>-355.26304158097514</v>
      </c>
      <c r="W414" s="2">
        <f>IF(S414="OVER",$J414,$K414)</f>
        <v>355.26304158097514</v>
      </c>
      <c r="X414" s="2">
        <f>IF(T414="OVER",$J414,$K414)</f>
        <v>355.26304158097514</v>
      </c>
      <c r="Y414" s="9">
        <f t="shared" si="56"/>
        <v>-13294.984625615889</v>
      </c>
      <c r="Z414" s="9">
        <f t="shared" si="56"/>
        <v>-12959.978631138591</v>
      </c>
      <c r="AA414" s="9">
        <f t="shared" si="56"/>
        <v>24434.347397421068</v>
      </c>
      <c r="AB414" s="9">
        <f t="shared" si="53"/>
        <v>6008.2448155800239</v>
      </c>
    </row>
    <row r="415" spans="1:28" x14ac:dyDescent="0.3">
      <c r="A415" s="1">
        <v>45014</v>
      </c>
      <c r="B415" s="2">
        <v>66.040000000000006</v>
      </c>
      <c r="C415" s="2">
        <v>71.599999999999994</v>
      </c>
      <c r="D415" s="9">
        <f>B415-B414</f>
        <v>0.5</v>
      </c>
      <c r="E415" s="9">
        <f>C415-C414</f>
        <v>0.29999999999999716</v>
      </c>
      <c r="F415" s="3">
        <f>F$1/B415</f>
        <v>1514.2337976983645</v>
      </c>
      <c r="G415" s="3">
        <f>F$1/C415</f>
        <v>1396.6480446927376</v>
      </c>
      <c r="H415" s="2">
        <f>D415*F414</f>
        <v>762.89288983826668</v>
      </c>
      <c r="I415" s="2">
        <f>E415*G414</f>
        <v>420.75736325385299</v>
      </c>
      <c r="J415" s="2">
        <f>I415-H415</f>
        <v>-342.1355265844137</v>
      </c>
      <c r="K415" s="2">
        <f t="shared" si="51"/>
        <v>342.1355265844137</v>
      </c>
      <c r="L415" s="14">
        <f>C415/B415</f>
        <v>1.0841913991520289</v>
      </c>
      <c r="M415" s="14">
        <f t="shared" si="54"/>
        <v>1.0844885663214929</v>
      </c>
      <c r="N415" s="14">
        <f t="shared" si="58"/>
        <v>1.0847377744885556</v>
      </c>
      <c r="O415" s="14">
        <f t="shared" si="50"/>
        <v>1.0822005953021556</v>
      </c>
      <c r="P415" s="14">
        <f t="shared" si="52"/>
        <v>1.0794269286377778</v>
      </c>
      <c r="Q415" s="4" t="str">
        <f t="shared" si="57"/>
        <v>OVER</v>
      </c>
      <c r="R415" s="4" t="str">
        <f t="shared" si="57"/>
        <v>OVER</v>
      </c>
      <c r="S415" s="4" t="str">
        <f t="shared" si="55"/>
        <v>OVER</v>
      </c>
      <c r="T415" s="4" t="str">
        <f t="shared" si="55"/>
        <v>OVER</v>
      </c>
      <c r="U415" s="2">
        <f>IF(Q415="OVER",$J415,$K415)</f>
        <v>-342.1355265844137</v>
      </c>
      <c r="V415" s="2">
        <f>IF(R415="OVER",$J415,$K415)</f>
        <v>-342.1355265844137</v>
      </c>
      <c r="W415" s="2">
        <f>IF(S415="OVER",$J415,$K415)</f>
        <v>-342.1355265844137</v>
      </c>
      <c r="X415" s="2">
        <f>IF(T415="OVER",$J415,$K415)</f>
        <v>-342.1355265844137</v>
      </c>
      <c r="Y415" s="9">
        <f t="shared" si="56"/>
        <v>-13637.120152200303</v>
      </c>
      <c r="Z415" s="9">
        <f t="shared" si="56"/>
        <v>-13302.114157723005</v>
      </c>
      <c r="AA415" s="9">
        <f t="shared" si="56"/>
        <v>24092.211870836654</v>
      </c>
      <c r="AB415" s="9">
        <f t="shared" si="53"/>
        <v>5666.1092889956099</v>
      </c>
    </row>
    <row r="416" spans="1:28" x14ac:dyDescent="0.3">
      <c r="A416" s="1">
        <v>45015</v>
      </c>
      <c r="B416" s="2">
        <v>66.37</v>
      </c>
      <c r="C416" s="2">
        <v>71.900000000000006</v>
      </c>
      <c r="D416" s="9">
        <f>B416-B415</f>
        <v>0.32999999999999829</v>
      </c>
      <c r="E416" s="9">
        <f>C416-C415</f>
        <v>0.30000000000001137</v>
      </c>
      <c r="F416" s="3">
        <f>F$1/B416</f>
        <v>1506.7048365225251</v>
      </c>
      <c r="G416" s="3">
        <f>F$1/C416</f>
        <v>1390.8205841446452</v>
      </c>
      <c r="H416" s="2">
        <f>D416*F415</f>
        <v>499.69715324045768</v>
      </c>
      <c r="I416" s="2">
        <f>E416*G415</f>
        <v>418.99441340783716</v>
      </c>
      <c r="J416" s="2">
        <f>I416-H416</f>
        <v>-80.702739832620523</v>
      </c>
      <c r="K416" s="2">
        <f t="shared" si="51"/>
        <v>80.702739832620523</v>
      </c>
      <c r="L416" s="14">
        <f>C416/B416</f>
        <v>1.0833207774596956</v>
      </c>
      <c r="M416" s="14">
        <f t="shared" si="54"/>
        <v>1.0842518339254128</v>
      </c>
      <c r="N416" s="14">
        <f t="shared" si="58"/>
        <v>1.0844732454162536</v>
      </c>
      <c r="O416" s="14">
        <f t="shared" si="50"/>
        <v>1.0824388653534367</v>
      </c>
      <c r="P416" s="14">
        <f t="shared" si="52"/>
        <v>1.0794651583637407</v>
      </c>
      <c r="Q416" s="4" t="str">
        <f t="shared" si="57"/>
        <v>UNDER</v>
      </c>
      <c r="R416" s="4" t="str">
        <f t="shared" si="57"/>
        <v>UNDER</v>
      </c>
      <c r="S416" s="4" t="str">
        <f t="shared" si="55"/>
        <v>OVER</v>
      </c>
      <c r="T416" s="4" t="str">
        <f t="shared" si="55"/>
        <v>OVER</v>
      </c>
      <c r="U416" s="2">
        <f>IF(Q416="OVER",$J416,$K416)</f>
        <v>80.702739832620523</v>
      </c>
      <c r="V416" s="2">
        <f>IF(R416="OVER",$J416,$K416)</f>
        <v>80.702739832620523</v>
      </c>
      <c r="W416" s="2">
        <f>IF(S416="OVER",$J416,$K416)</f>
        <v>-80.702739832620523</v>
      </c>
      <c r="X416" s="2">
        <f>IF(T416="OVER",$J416,$K416)</f>
        <v>-80.702739832620523</v>
      </c>
      <c r="Y416" s="9">
        <f t="shared" si="56"/>
        <v>-13556.417412367682</v>
      </c>
      <c r="Z416" s="9">
        <f t="shared" si="56"/>
        <v>-13221.411417890384</v>
      </c>
      <c r="AA416" s="9">
        <f t="shared" si="56"/>
        <v>24011.509131004033</v>
      </c>
      <c r="AB416" s="9">
        <f t="shared" si="53"/>
        <v>5585.406549162989</v>
      </c>
    </row>
    <row r="417" spans="1:28" x14ac:dyDescent="0.3">
      <c r="A417" s="1">
        <v>45016</v>
      </c>
      <c r="B417" s="2">
        <v>67.069999999999993</v>
      </c>
      <c r="C417" s="2">
        <v>72.62</v>
      </c>
      <c r="D417" s="9">
        <f>B417-B416</f>
        <v>0.69999999999998863</v>
      </c>
      <c r="E417" s="9">
        <f>C417-C416</f>
        <v>0.71999999999999886</v>
      </c>
      <c r="F417" s="3">
        <f>F$1/B417</f>
        <v>1490.9795735798421</v>
      </c>
      <c r="G417" s="3">
        <f>F$1/C417</f>
        <v>1377.0311209033323</v>
      </c>
      <c r="H417" s="2">
        <f>D417*F416</f>
        <v>1054.6933855657503</v>
      </c>
      <c r="I417" s="2">
        <f>E417*G416</f>
        <v>1001.3908205841429</v>
      </c>
      <c r="J417" s="2">
        <f>I417-H417</f>
        <v>-53.302564981607361</v>
      </c>
      <c r="K417" s="2">
        <f t="shared" si="51"/>
        <v>53.302564981607361</v>
      </c>
      <c r="L417" s="14">
        <f>C417/B417</f>
        <v>1.0827493663336814</v>
      </c>
      <c r="M417" s="14">
        <f t="shared" si="54"/>
        <v>1.0838638993478253</v>
      </c>
      <c r="N417" s="14">
        <f t="shared" si="58"/>
        <v>1.0842134878217675</v>
      </c>
      <c r="O417" s="14">
        <f t="shared" si="50"/>
        <v>1.0826121490208422</v>
      </c>
      <c r="P417" s="14">
        <f t="shared" si="52"/>
        <v>1.0794959730291069</v>
      </c>
      <c r="Q417" s="4" t="str">
        <f t="shared" si="57"/>
        <v>UNDER</v>
      </c>
      <c r="R417" s="4" t="str">
        <f t="shared" si="57"/>
        <v>UNDER</v>
      </c>
      <c r="S417" s="4" t="str">
        <f t="shared" si="55"/>
        <v>OVER</v>
      </c>
      <c r="T417" s="4" t="str">
        <f t="shared" si="55"/>
        <v>OVER</v>
      </c>
      <c r="U417" s="2">
        <f>IF(Q417="OVER",$J417,$K417)</f>
        <v>53.302564981607361</v>
      </c>
      <c r="V417" s="2">
        <f>IF(R417="OVER",$J417,$K417)</f>
        <v>53.302564981607361</v>
      </c>
      <c r="W417" s="2">
        <f>IF(S417="OVER",$J417,$K417)</f>
        <v>-53.302564981607361</v>
      </c>
      <c r="X417" s="2">
        <f>IF(T417="OVER",$J417,$K417)</f>
        <v>-53.302564981607361</v>
      </c>
      <c r="Y417" s="9">
        <f t="shared" si="56"/>
        <v>-13503.114847386074</v>
      </c>
      <c r="Z417" s="9">
        <f t="shared" si="56"/>
        <v>-13168.108852908776</v>
      </c>
      <c r="AA417" s="9">
        <f t="shared" si="56"/>
        <v>23958.206566022425</v>
      </c>
      <c r="AB417" s="9">
        <f t="shared" si="53"/>
        <v>5532.1039841813817</v>
      </c>
    </row>
    <row r="418" spans="1:28" x14ac:dyDescent="0.3">
      <c r="A418" s="1">
        <v>45019</v>
      </c>
      <c r="B418" s="2">
        <v>66.86</v>
      </c>
      <c r="C418" s="2">
        <v>72.319999999999993</v>
      </c>
      <c r="D418" s="9">
        <f>B418-B417</f>
        <v>-0.20999999999999375</v>
      </c>
      <c r="E418" s="9">
        <f>C418-C417</f>
        <v>-0.30000000000001137</v>
      </c>
      <c r="F418" s="3">
        <f>F$1/B418</f>
        <v>1495.6625785222855</v>
      </c>
      <c r="G418" s="3">
        <f>F$1/C418</f>
        <v>1382.7433628318586</v>
      </c>
      <c r="H418" s="2">
        <f>D418*F417</f>
        <v>-313.10571045175749</v>
      </c>
      <c r="I418" s="2">
        <f>E418*G417</f>
        <v>-413.10933627101537</v>
      </c>
      <c r="J418" s="2">
        <f>I418-H418</f>
        <v>-100.00362581925788</v>
      </c>
      <c r="K418" s="2">
        <f t="shared" si="51"/>
        <v>100.00362581925788</v>
      </c>
      <c r="L418" s="14">
        <f>C418/B418</f>
        <v>1.0816631767873166</v>
      </c>
      <c r="M418" s="14">
        <f t="shared" si="54"/>
        <v>1.0835101064953934</v>
      </c>
      <c r="N418" s="14">
        <f t="shared" si="58"/>
        <v>1.0839857918844402</v>
      </c>
      <c r="O418" s="14">
        <f t="shared" si="50"/>
        <v>1.0827090083961126</v>
      </c>
      <c r="P418" s="14">
        <f t="shared" si="52"/>
        <v>1.079498676276945</v>
      </c>
      <c r="Q418" s="4" t="str">
        <f t="shared" si="57"/>
        <v>UNDER</v>
      </c>
      <c r="R418" s="4" t="str">
        <f t="shared" si="57"/>
        <v>UNDER</v>
      </c>
      <c r="S418" s="4" t="str">
        <f t="shared" si="55"/>
        <v>UNDER</v>
      </c>
      <c r="T418" s="4" t="str">
        <f t="shared" si="55"/>
        <v>OVER</v>
      </c>
      <c r="U418" s="2">
        <f>IF(Q418="OVER",$J418,$K418)</f>
        <v>100.00362581925788</v>
      </c>
      <c r="V418" s="2">
        <f>IF(R418="OVER",$J418,$K418)</f>
        <v>100.00362581925788</v>
      </c>
      <c r="W418" s="2">
        <f>IF(S418="OVER",$J418,$K418)</f>
        <v>100.00362581925788</v>
      </c>
      <c r="X418" s="2">
        <f>IF(T418="OVER",$J418,$K418)</f>
        <v>-100.00362581925788</v>
      </c>
      <c r="Y418" s="9">
        <f t="shared" si="56"/>
        <v>-13403.111221566816</v>
      </c>
      <c r="Z418" s="9">
        <f t="shared" si="56"/>
        <v>-13068.105227089518</v>
      </c>
      <c r="AA418" s="9">
        <f t="shared" si="56"/>
        <v>24058.210191841685</v>
      </c>
      <c r="AB418" s="9">
        <f t="shared" si="53"/>
        <v>5432.1003583621241</v>
      </c>
    </row>
    <row r="419" spans="1:28" x14ac:dyDescent="0.3">
      <c r="A419" s="1">
        <v>45020</v>
      </c>
      <c r="B419" s="2">
        <v>66.53</v>
      </c>
      <c r="C419" s="2">
        <v>72</v>
      </c>
      <c r="D419" s="9">
        <f>B419-B418</f>
        <v>-0.32999999999999829</v>
      </c>
      <c r="E419" s="9">
        <f>C419-C418</f>
        <v>-0.31999999999999318</v>
      </c>
      <c r="F419" s="3">
        <f>F$1/B419</f>
        <v>1503.0813166992334</v>
      </c>
      <c r="G419" s="3">
        <f>F$1/C419</f>
        <v>1388.8888888888889</v>
      </c>
      <c r="H419" s="2">
        <f>D419*F418</f>
        <v>-493.56865091235164</v>
      </c>
      <c r="I419" s="2">
        <f>E419*G418</f>
        <v>-442.47787610618531</v>
      </c>
      <c r="J419" s="2">
        <f>I419-H419</f>
        <v>51.090774806166337</v>
      </c>
      <c r="K419" s="2">
        <f t="shared" si="51"/>
        <v>-51.090774806166337</v>
      </c>
      <c r="L419" s="14">
        <f>C419/B419</f>
        <v>1.0822185480234481</v>
      </c>
      <c r="M419" s="14">
        <f t="shared" si="54"/>
        <v>1.0835655982133421</v>
      </c>
      <c r="N419" s="14">
        <f t="shared" si="58"/>
        <v>1.0837205139748278</v>
      </c>
      <c r="O419" s="14">
        <f t="shared" si="50"/>
        <v>1.0828595667460925</v>
      </c>
      <c r="P419" s="14">
        <f t="shared" si="52"/>
        <v>1.0795117353982864</v>
      </c>
      <c r="Q419" s="4" t="str">
        <f t="shared" si="57"/>
        <v>UNDER</v>
      </c>
      <c r="R419" s="4" t="str">
        <f t="shared" si="57"/>
        <v>UNDER</v>
      </c>
      <c r="S419" s="4" t="str">
        <f t="shared" si="55"/>
        <v>UNDER</v>
      </c>
      <c r="T419" s="4" t="str">
        <f t="shared" si="55"/>
        <v>OVER</v>
      </c>
      <c r="U419" s="2">
        <f>IF(Q419="OVER",$J419,$K419)</f>
        <v>-51.090774806166337</v>
      </c>
      <c r="V419" s="2">
        <f>IF(R419="OVER",$J419,$K419)</f>
        <v>-51.090774806166337</v>
      </c>
      <c r="W419" s="2">
        <f>IF(S419="OVER",$J419,$K419)</f>
        <v>-51.090774806166337</v>
      </c>
      <c r="X419" s="2">
        <f>IF(T419="OVER",$J419,$K419)</f>
        <v>51.090774806166337</v>
      </c>
      <c r="Y419" s="9">
        <f t="shared" si="56"/>
        <v>-13454.201996372984</v>
      </c>
      <c r="Z419" s="9">
        <f t="shared" si="56"/>
        <v>-13119.196001895685</v>
      </c>
      <c r="AA419" s="9">
        <f t="shared" si="56"/>
        <v>24007.119417035519</v>
      </c>
      <c r="AB419" s="9">
        <f t="shared" si="53"/>
        <v>5483.1911331682904</v>
      </c>
    </row>
    <row r="420" spans="1:28" x14ac:dyDescent="0.3">
      <c r="A420" s="1">
        <v>45021</v>
      </c>
      <c r="B420" s="2">
        <v>66.25</v>
      </c>
      <c r="C420" s="2">
        <v>71.78</v>
      </c>
      <c r="D420" s="9">
        <f>B420-B419</f>
        <v>-0.28000000000000114</v>
      </c>
      <c r="E420" s="9">
        <f>C420-C419</f>
        <v>-0.21999999999999886</v>
      </c>
      <c r="F420" s="3">
        <f>F$1/B420</f>
        <v>1509.433962264151</v>
      </c>
      <c r="G420" s="3">
        <f>F$1/C420</f>
        <v>1393.1457230426302</v>
      </c>
      <c r="H420" s="2">
        <f>D420*F419</f>
        <v>-420.86276867578704</v>
      </c>
      <c r="I420" s="2">
        <f>E420*G419</f>
        <v>-305.55555555555401</v>
      </c>
      <c r="J420" s="2">
        <f>I420-H420</f>
        <v>115.30721312023303</v>
      </c>
      <c r="K420" s="2">
        <f t="shared" si="51"/>
        <v>-115.30721312023303</v>
      </c>
      <c r="L420" s="14">
        <f>C420/B420</f>
        <v>1.0834716981132075</v>
      </c>
      <c r="M420" s="14">
        <f t="shared" si="54"/>
        <v>1.0838504684369397</v>
      </c>
      <c r="N420" s="14">
        <f t="shared" si="58"/>
        <v>1.0836736568095788</v>
      </c>
      <c r="O420" s="14">
        <f t="shared" si="50"/>
        <v>1.0830102746688404</v>
      </c>
      <c r="P420" s="14">
        <f t="shared" si="52"/>
        <v>1.07953389945319</v>
      </c>
      <c r="Q420" s="4" t="str">
        <f t="shared" si="57"/>
        <v>UNDER</v>
      </c>
      <c r="R420" s="4" t="str">
        <f t="shared" si="57"/>
        <v>UNDER</v>
      </c>
      <c r="S420" s="4" t="str">
        <f t="shared" si="55"/>
        <v>OVER</v>
      </c>
      <c r="T420" s="4" t="str">
        <f t="shared" si="55"/>
        <v>OVER</v>
      </c>
      <c r="U420" s="2">
        <f>IF(Q420="OVER",$J420,$K420)</f>
        <v>-115.30721312023303</v>
      </c>
      <c r="V420" s="2">
        <f>IF(R420="OVER",$J420,$K420)</f>
        <v>-115.30721312023303</v>
      </c>
      <c r="W420" s="2">
        <f>IF(S420="OVER",$J420,$K420)</f>
        <v>115.30721312023303</v>
      </c>
      <c r="X420" s="2">
        <f>IF(T420="OVER",$J420,$K420)</f>
        <v>115.30721312023303</v>
      </c>
      <c r="Y420" s="9">
        <f t="shared" si="56"/>
        <v>-13569.509209493217</v>
      </c>
      <c r="Z420" s="9">
        <f t="shared" si="56"/>
        <v>-13234.503215015919</v>
      </c>
      <c r="AA420" s="9">
        <f t="shared" si="56"/>
        <v>24122.426630155751</v>
      </c>
      <c r="AB420" s="9">
        <f t="shared" si="53"/>
        <v>5598.4983462885239</v>
      </c>
    </row>
    <row r="421" spans="1:28" x14ac:dyDescent="0.3">
      <c r="A421" s="1">
        <v>45022</v>
      </c>
      <c r="B421" s="2">
        <v>66.3</v>
      </c>
      <c r="C421" s="2">
        <v>71.78</v>
      </c>
      <c r="D421" s="9">
        <f>B421-B420</f>
        <v>4.9999999999997158E-2</v>
      </c>
      <c r="E421" s="9">
        <f>C421-C420</f>
        <v>0</v>
      </c>
      <c r="F421" s="3">
        <f>F$1/B421</f>
        <v>1508.2956259426849</v>
      </c>
      <c r="G421" s="3">
        <f>F$1/C421</f>
        <v>1393.1457230426302</v>
      </c>
      <c r="H421" s="2">
        <f>D421*F420</f>
        <v>75.47169811320326</v>
      </c>
      <c r="I421" s="2">
        <f>E421*G420</f>
        <v>0</v>
      </c>
      <c r="J421" s="2">
        <f>I421-H421</f>
        <v>-75.47169811320326</v>
      </c>
      <c r="K421" s="2">
        <f t="shared" si="51"/>
        <v>75.47169811320326</v>
      </c>
      <c r="L421" s="14">
        <f>C421/B421</f>
        <v>1.0826546003016593</v>
      </c>
      <c r="M421" s="14">
        <f t="shared" si="54"/>
        <v>1.0837215450727222</v>
      </c>
      <c r="N421" s="14">
        <f t="shared" si="58"/>
        <v>1.0834856774769008</v>
      </c>
      <c r="O421" s="14">
        <f t="shared" si="50"/>
        <v>1.0831271776054496</v>
      </c>
      <c r="P421" s="14">
        <f t="shared" si="52"/>
        <v>1.0795266772047374</v>
      </c>
      <c r="Q421" s="4" t="str">
        <f t="shared" si="57"/>
        <v>UNDER</v>
      </c>
      <c r="R421" s="4" t="str">
        <f t="shared" si="57"/>
        <v>UNDER</v>
      </c>
      <c r="S421" s="4" t="str">
        <f t="shared" si="55"/>
        <v>UNDER</v>
      </c>
      <c r="T421" s="4" t="str">
        <f t="shared" si="55"/>
        <v>OVER</v>
      </c>
      <c r="U421" s="2">
        <f>IF(Q421="OVER",$J421,$K421)</f>
        <v>75.47169811320326</v>
      </c>
      <c r="V421" s="2">
        <f>IF(R421="OVER",$J421,$K421)</f>
        <v>75.47169811320326</v>
      </c>
      <c r="W421" s="2">
        <f>IF(S421="OVER",$J421,$K421)</f>
        <v>75.47169811320326</v>
      </c>
      <c r="X421" s="2">
        <f>IF(T421="OVER",$J421,$K421)</f>
        <v>-75.47169811320326</v>
      </c>
      <c r="Y421" s="9">
        <f t="shared" si="56"/>
        <v>-13494.037511380015</v>
      </c>
      <c r="Z421" s="9">
        <f t="shared" si="56"/>
        <v>-13159.031516902716</v>
      </c>
      <c r="AA421" s="9">
        <f t="shared" si="56"/>
        <v>24197.898328268955</v>
      </c>
      <c r="AB421" s="9">
        <f t="shared" si="53"/>
        <v>5523.0266481753206</v>
      </c>
    </row>
    <row r="422" spans="1:28" x14ac:dyDescent="0.3">
      <c r="A422" s="1">
        <v>45026</v>
      </c>
      <c r="B422" s="2">
        <v>66.52</v>
      </c>
      <c r="C422" s="2">
        <v>71.959999999999994</v>
      </c>
      <c r="D422" s="9">
        <f>B422-B421</f>
        <v>0.21999999999999886</v>
      </c>
      <c r="E422" s="9">
        <f>C422-C421</f>
        <v>0.17999999999999261</v>
      </c>
      <c r="F422" s="3">
        <f>F$1/B422</f>
        <v>1503.3072760072159</v>
      </c>
      <c r="G422" s="3">
        <f>F$1/C422</f>
        <v>1389.6609227348529</v>
      </c>
      <c r="H422" s="2">
        <f>D422*F421</f>
        <v>331.82503770738896</v>
      </c>
      <c r="I422" s="2">
        <f>E422*G421</f>
        <v>250.76623014766312</v>
      </c>
      <c r="J422" s="2">
        <f>I422-H422</f>
        <v>-81.058807559725835</v>
      </c>
      <c r="K422" s="2">
        <f t="shared" si="51"/>
        <v>81.058807559725835</v>
      </c>
      <c r="L422" s="14">
        <f>C422/B422</f>
        <v>1.0817799158147925</v>
      </c>
      <c r="M422" s="14">
        <f t="shared" si="54"/>
        <v>1.0833967074754278</v>
      </c>
      <c r="N422" s="14">
        <f t="shared" si="58"/>
        <v>1.083387706154364</v>
      </c>
      <c r="O422" s="14">
        <f t="shared" si="50"/>
        <v>1.0832104931529678</v>
      </c>
      <c r="P422" s="14">
        <f t="shared" si="52"/>
        <v>1.0795378759915166</v>
      </c>
      <c r="Q422" s="4" t="str">
        <f t="shared" si="57"/>
        <v>UNDER</v>
      </c>
      <c r="R422" s="4" t="str">
        <f t="shared" si="57"/>
        <v>UNDER</v>
      </c>
      <c r="S422" s="4" t="str">
        <f t="shared" si="55"/>
        <v>UNDER</v>
      </c>
      <c r="T422" s="4" t="str">
        <f t="shared" si="55"/>
        <v>OVER</v>
      </c>
      <c r="U422" s="2">
        <f>IF(Q422="OVER",$J422,$K422)</f>
        <v>81.058807559725835</v>
      </c>
      <c r="V422" s="2">
        <f>IF(R422="OVER",$J422,$K422)</f>
        <v>81.058807559725835</v>
      </c>
      <c r="W422" s="2">
        <f>IF(S422="OVER",$J422,$K422)</f>
        <v>81.058807559725835</v>
      </c>
      <c r="X422" s="2">
        <f>IF(T422="OVER",$J422,$K422)</f>
        <v>-81.058807559725835</v>
      </c>
      <c r="Y422" s="9">
        <f t="shared" si="56"/>
        <v>-13412.978703820289</v>
      </c>
      <c r="Z422" s="9">
        <f t="shared" si="56"/>
        <v>-13077.97270934299</v>
      </c>
      <c r="AA422" s="9">
        <f t="shared" si="56"/>
        <v>24278.957135828681</v>
      </c>
      <c r="AB422" s="9">
        <f t="shared" si="53"/>
        <v>5441.9678406155945</v>
      </c>
    </row>
    <row r="423" spans="1:28" x14ac:dyDescent="0.3">
      <c r="A423" s="1">
        <v>45027</v>
      </c>
      <c r="B423" s="2">
        <v>66.77</v>
      </c>
      <c r="C423" s="2">
        <v>72.16</v>
      </c>
      <c r="D423" s="9">
        <f>B423-B422</f>
        <v>0.25</v>
      </c>
      <c r="E423" s="9">
        <f>C423-C422</f>
        <v>0.20000000000000284</v>
      </c>
      <c r="F423" s="3">
        <f>F$1/B423</f>
        <v>1497.6785981728322</v>
      </c>
      <c r="G423" s="3">
        <f>F$1/C423</f>
        <v>1385.8093126385811</v>
      </c>
      <c r="H423" s="2">
        <f>D423*F422</f>
        <v>375.82681900180398</v>
      </c>
      <c r="I423" s="2">
        <f>E423*G422</f>
        <v>277.9321845469745</v>
      </c>
      <c r="J423" s="2">
        <f>I423-H423</f>
        <v>-97.894634454829486</v>
      </c>
      <c r="K423" s="2">
        <f t="shared" si="51"/>
        <v>97.894634454829486</v>
      </c>
      <c r="L423" s="14">
        <f>C423/B423</f>
        <v>1.0807248764415156</v>
      </c>
      <c r="M423" s="14">
        <f t="shared" si="54"/>
        <v>1.0830659619336713</v>
      </c>
      <c r="N423" s="14">
        <f t="shared" si="58"/>
        <v>1.0832803460404006</v>
      </c>
      <c r="O423" s="14">
        <f t="shared" si="50"/>
        <v>1.0832910328363647</v>
      </c>
      <c r="P423" s="14">
        <f t="shared" si="52"/>
        <v>1.0795516203368127</v>
      </c>
      <c r="Q423" s="4" t="str">
        <f t="shared" si="57"/>
        <v>UNDER</v>
      </c>
      <c r="R423" s="4" t="str">
        <f t="shared" si="57"/>
        <v>UNDER</v>
      </c>
      <c r="S423" s="4" t="str">
        <f t="shared" si="55"/>
        <v>UNDER</v>
      </c>
      <c r="T423" s="4" t="str">
        <f t="shared" si="55"/>
        <v>OVER</v>
      </c>
      <c r="U423" s="2">
        <f>IF(Q423="OVER",$J423,$K423)</f>
        <v>97.894634454829486</v>
      </c>
      <c r="V423" s="2">
        <f>IF(R423="OVER",$J423,$K423)</f>
        <v>97.894634454829486</v>
      </c>
      <c r="W423" s="2">
        <f>IF(S423="OVER",$J423,$K423)</f>
        <v>97.894634454829486</v>
      </c>
      <c r="X423" s="2">
        <f>IF(T423="OVER",$J423,$K423)</f>
        <v>-97.894634454829486</v>
      </c>
      <c r="Y423" s="9">
        <f t="shared" si="56"/>
        <v>-13315.084069365459</v>
      </c>
      <c r="Z423" s="9">
        <f t="shared" si="56"/>
        <v>-12980.078074888161</v>
      </c>
      <c r="AA423" s="9">
        <f t="shared" si="56"/>
        <v>24376.851770283512</v>
      </c>
      <c r="AB423" s="9">
        <f t="shared" si="53"/>
        <v>5344.073206160765</v>
      </c>
    </row>
    <row r="424" spans="1:28" x14ac:dyDescent="0.3">
      <c r="A424" s="1">
        <v>45028</v>
      </c>
      <c r="B424" s="2">
        <v>66.64</v>
      </c>
      <c r="C424" s="2">
        <v>72.08</v>
      </c>
      <c r="D424" s="9">
        <f>B424-B423</f>
        <v>-0.12999999999999545</v>
      </c>
      <c r="E424" s="9">
        <f>C424-C423</f>
        <v>-7.9999999999998295E-2</v>
      </c>
      <c r="F424" s="3">
        <f>F$1/B424</f>
        <v>1500.6002400960383</v>
      </c>
      <c r="G424" s="3">
        <f>F$1/C424</f>
        <v>1387.3473917869035</v>
      </c>
      <c r="H424" s="2">
        <f>D424*F423</f>
        <v>-194.69821776246138</v>
      </c>
      <c r="I424" s="2">
        <f>E424*G423</f>
        <v>-110.86474501108412</v>
      </c>
      <c r="J424" s="2">
        <f>I424-H424</f>
        <v>83.833472751377258</v>
      </c>
      <c r="K424" s="2">
        <f t="shared" si="51"/>
        <v>-83.833472751377258</v>
      </c>
      <c r="L424" s="14">
        <f>C424/B424</f>
        <v>1.0816326530612244</v>
      </c>
      <c r="M424" s="14">
        <f t="shared" si="54"/>
        <v>1.0824407011488568</v>
      </c>
      <c r="N424" s="14">
        <f t="shared" si="58"/>
        <v>1.0833324493178849</v>
      </c>
      <c r="O424" s="14">
        <f t="shared" si="50"/>
        <v>1.0833432642552481</v>
      </c>
      <c r="P424" s="14">
        <f t="shared" si="52"/>
        <v>1.0795586331328486</v>
      </c>
      <c r="Q424" s="4" t="str">
        <f t="shared" si="57"/>
        <v>UNDER</v>
      </c>
      <c r="R424" s="4" t="str">
        <f t="shared" si="57"/>
        <v>UNDER</v>
      </c>
      <c r="S424" s="4" t="str">
        <f t="shared" si="55"/>
        <v>UNDER</v>
      </c>
      <c r="T424" s="4" t="str">
        <f t="shared" si="55"/>
        <v>OVER</v>
      </c>
      <c r="U424" s="2">
        <f>IF(Q424="OVER",$J424,$K424)</f>
        <v>-83.833472751377258</v>
      </c>
      <c r="V424" s="2">
        <f>IF(R424="OVER",$J424,$K424)</f>
        <v>-83.833472751377258</v>
      </c>
      <c r="W424" s="2">
        <f>IF(S424="OVER",$J424,$K424)</f>
        <v>-83.833472751377258</v>
      </c>
      <c r="X424" s="2">
        <f>IF(T424="OVER",$J424,$K424)</f>
        <v>83.833472751377258</v>
      </c>
      <c r="Y424" s="9">
        <f t="shared" si="56"/>
        <v>-13398.917542116837</v>
      </c>
      <c r="Z424" s="9">
        <f t="shared" si="56"/>
        <v>-13063.911547639538</v>
      </c>
      <c r="AA424" s="9">
        <f t="shared" si="56"/>
        <v>24293.018297532137</v>
      </c>
      <c r="AB424" s="9">
        <f t="shared" si="53"/>
        <v>5427.9066789121425</v>
      </c>
    </row>
    <row r="425" spans="1:28" x14ac:dyDescent="0.3">
      <c r="A425" s="1">
        <v>45029</v>
      </c>
      <c r="B425" s="2">
        <v>67.06</v>
      </c>
      <c r="C425" s="2">
        <v>72.52</v>
      </c>
      <c r="D425" s="9">
        <f>B425-B424</f>
        <v>0.42000000000000171</v>
      </c>
      <c r="E425" s="9">
        <f>C425-C424</f>
        <v>0.43999999999999773</v>
      </c>
      <c r="F425" s="3">
        <f>F$1/B425</f>
        <v>1491.2019087384431</v>
      </c>
      <c r="G425" s="3">
        <f>F$1/C425</f>
        <v>1378.9299503585219</v>
      </c>
      <c r="H425" s="2">
        <f>D425*F424</f>
        <v>630.2521008403387</v>
      </c>
      <c r="I425" s="2">
        <f>E425*G424</f>
        <v>610.43285238623434</v>
      </c>
      <c r="J425" s="2">
        <f>I425-H425</f>
        <v>-19.819248454104354</v>
      </c>
      <c r="K425" s="2">
        <f t="shared" si="51"/>
        <v>19.819248454104354</v>
      </c>
      <c r="L425" s="14">
        <f>C425/B425</f>
        <v>1.0814196242171188</v>
      </c>
      <c r="M425" s="14">
        <f t="shared" si="54"/>
        <v>1.0821635236553657</v>
      </c>
      <c r="N425" s="14">
        <f t="shared" si="58"/>
        <v>1.0833260449884294</v>
      </c>
      <c r="O425" s="14">
        <f t="shared" si="50"/>
        <v>1.0833589899751865</v>
      </c>
      <c r="P425" s="14">
        <f t="shared" si="52"/>
        <v>1.0795892001787792</v>
      </c>
      <c r="Q425" s="4" t="str">
        <f t="shared" si="57"/>
        <v>UNDER</v>
      </c>
      <c r="R425" s="4" t="str">
        <f t="shared" si="57"/>
        <v>UNDER</v>
      </c>
      <c r="S425" s="4" t="str">
        <f t="shared" si="55"/>
        <v>UNDER</v>
      </c>
      <c r="T425" s="4" t="str">
        <f t="shared" si="55"/>
        <v>OVER</v>
      </c>
      <c r="U425" s="2">
        <f>IF(Q425="OVER",$J425,$K425)</f>
        <v>19.819248454104354</v>
      </c>
      <c r="V425" s="2">
        <f>IF(R425="OVER",$J425,$K425)</f>
        <v>19.819248454104354</v>
      </c>
      <c r="W425" s="2">
        <f>IF(S425="OVER",$J425,$K425)</f>
        <v>19.819248454104354</v>
      </c>
      <c r="X425" s="2">
        <f>IF(T425="OVER",$J425,$K425)</f>
        <v>-19.819248454104354</v>
      </c>
      <c r="Y425" s="9">
        <f t="shared" si="56"/>
        <v>-13379.098293662732</v>
      </c>
      <c r="Z425" s="9">
        <f t="shared" si="56"/>
        <v>-13044.092299185433</v>
      </c>
      <c r="AA425" s="9">
        <f t="shared" si="56"/>
        <v>24312.83754598624</v>
      </c>
      <c r="AB425" s="9">
        <f t="shared" si="53"/>
        <v>5408.0874304580384</v>
      </c>
    </row>
    <row r="426" spans="1:28" x14ac:dyDescent="0.3">
      <c r="A426" s="1">
        <v>45030</v>
      </c>
      <c r="B426" s="2">
        <v>66.87</v>
      </c>
      <c r="C426" s="2">
        <v>72.23</v>
      </c>
      <c r="D426" s="9">
        <f>B426-B425</f>
        <v>-0.18999999999999773</v>
      </c>
      <c r="E426" s="9">
        <f>C426-C425</f>
        <v>-0.28999999999999204</v>
      </c>
      <c r="F426" s="3">
        <f>F$1/B426</f>
        <v>1495.4389113204725</v>
      </c>
      <c r="G426" s="3">
        <f>F$1/C426</f>
        <v>1384.4662882458811</v>
      </c>
      <c r="H426" s="2">
        <f>D426*F425</f>
        <v>-283.3283626603008</v>
      </c>
      <c r="I426" s="2">
        <f>E426*G425</f>
        <v>-399.88968560396034</v>
      </c>
      <c r="J426" s="2">
        <f>I426-H426</f>
        <v>-116.56132294365955</v>
      </c>
      <c r="K426" s="2">
        <f t="shared" si="51"/>
        <v>116.56132294365955</v>
      </c>
      <c r="L426" s="14">
        <f>C426/B426</f>
        <v>1.0801555256467774</v>
      </c>
      <c r="M426" s="14">
        <f t="shared" si="54"/>
        <v>1.0818469984740742</v>
      </c>
      <c r="N426" s="14">
        <f t="shared" si="58"/>
        <v>1.0830494161997435</v>
      </c>
      <c r="O426" s="14">
        <f t="shared" si="50"/>
        <v>1.0833718864208437</v>
      </c>
      <c r="P426" s="14">
        <f t="shared" si="52"/>
        <v>1.0796113757224024</v>
      </c>
      <c r="Q426" s="4" t="str">
        <f t="shared" si="57"/>
        <v>UNDER</v>
      </c>
      <c r="R426" s="4" t="str">
        <f t="shared" si="57"/>
        <v>UNDER</v>
      </c>
      <c r="S426" s="4" t="str">
        <f t="shared" si="55"/>
        <v>UNDER</v>
      </c>
      <c r="T426" s="4" t="str">
        <f t="shared" si="55"/>
        <v>OVER</v>
      </c>
      <c r="U426" s="2">
        <f>IF(Q426="OVER",$J426,$K426)</f>
        <v>116.56132294365955</v>
      </c>
      <c r="V426" s="2">
        <f>IF(R426="OVER",$J426,$K426)</f>
        <v>116.56132294365955</v>
      </c>
      <c r="W426" s="2">
        <f>IF(S426="OVER",$J426,$K426)</f>
        <v>116.56132294365955</v>
      </c>
      <c r="X426" s="2">
        <f>IF(T426="OVER",$J426,$K426)</f>
        <v>-116.56132294365955</v>
      </c>
      <c r="Y426" s="9">
        <f t="shared" si="56"/>
        <v>-13262.536970719071</v>
      </c>
      <c r="Z426" s="9">
        <f t="shared" si="56"/>
        <v>-12927.530976241773</v>
      </c>
      <c r="AA426" s="9">
        <f t="shared" si="56"/>
        <v>24429.3988689299</v>
      </c>
      <c r="AB426" s="9">
        <f t="shared" si="53"/>
        <v>5291.526107514379</v>
      </c>
    </row>
    <row r="427" spans="1:28" x14ac:dyDescent="0.3">
      <c r="A427" s="1">
        <v>45033</v>
      </c>
      <c r="B427" s="2">
        <v>67.13</v>
      </c>
      <c r="C427" s="2">
        <v>72.599999999999994</v>
      </c>
      <c r="D427" s="9">
        <f>B427-B426</f>
        <v>0.25999999999999091</v>
      </c>
      <c r="E427" s="9">
        <f>C427-C426</f>
        <v>0.36999999999999034</v>
      </c>
      <c r="F427" s="3">
        <f>F$1/B427</f>
        <v>1489.6469536719799</v>
      </c>
      <c r="G427" s="3">
        <f>F$1/C427</f>
        <v>1377.4104683195594</v>
      </c>
      <c r="H427" s="2">
        <f>D427*F426</f>
        <v>388.81411694330922</v>
      </c>
      <c r="I427" s="2">
        <f>E427*G426</f>
        <v>512.25252665096264</v>
      </c>
      <c r="J427" s="2">
        <f>I427-H427</f>
        <v>123.43840970765342</v>
      </c>
      <c r="K427" s="2">
        <f t="shared" si="51"/>
        <v>-123.43840970765342</v>
      </c>
      <c r="L427" s="14">
        <f>C427/B427</f>
        <v>1.0814836883658572</v>
      </c>
      <c r="M427" s="14">
        <f t="shared" si="54"/>
        <v>1.0817204306772918</v>
      </c>
      <c r="N427" s="14">
        <f t="shared" si="58"/>
        <v>1.0827921650125585</v>
      </c>
      <c r="O427" s="14">
        <f t="shared" si="50"/>
        <v>1.0833996044792165</v>
      </c>
      <c r="P427" s="14">
        <f t="shared" si="52"/>
        <v>1.0796409139798997</v>
      </c>
      <c r="Q427" s="4" t="str">
        <f t="shared" si="57"/>
        <v>UNDER</v>
      </c>
      <c r="R427" s="4" t="str">
        <f t="shared" si="57"/>
        <v>UNDER</v>
      </c>
      <c r="S427" s="4" t="str">
        <f t="shared" si="55"/>
        <v>UNDER</v>
      </c>
      <c r="T427" s="4" t="str">
        <f t="shared" si="55"/>
        <v>OVER</v>
      </c>
      <c r="U427" s="2">
        <f>IF(Q427="OVER",$J427,$K427)</f>
        <v>-123.43840970765342</v>
      </c>
      <c r="V427" s="2">
        <f>IF(R427="OVER",$J427,$K427)</f>
        <v>-123.43840970765342</v>
      </c>
      <c r="W427" s="2">
        <f>IF(S427="OVER",$J427,$K427)</f>
        <v>-123.43840970765342</v>
      </c>
      <c r="X427" s="2">
        <f>IF(T427="OVER",$J427,$K427)</f>
        <v>123.43840970765342</v>
      </c>
      <c r="Y427" s="9">
        <f t="shared" si="56"/>
        <v>-13385.975380426724</v>
      </c>
      <c r="Z427" s="9">
        <f t="shared" si="56"/>
        <v>-13050.969385949425</v>
      </c>
      <c r="AA427" s="9">
        <f t="shared" si="56"/>
        <v>24305.960459222246</v>
      </c>
      <c r="AB427" s="9">
        <f t="shared" si="53"/>
        <v>5414.9645172220326</v>
      </c>
    </row>
    <row r="428" spans="1:28" x14ac:dyDescent="0.3">
      <c r="A428" s="1">
        <v>45034</v>
      </c>
      <c r="B428" s="2">
        <v>67.02</v>
      </c>
      <c r="C428" s="2">
        <v>72.56</v>
      </c>
      <c r="D428" s="9">
        <f>B428-B427</f>
        <v>-0.10999999999999943</v>
      </c>
      <c r="E428" s="9">
        <f>C428-C427</f>
        <v>-3.9999999999992042E-2</v>
      </c>
      <c r="F428" s="3">
        <f>F$1/B428</f>
        <v>1492.0919128618323</v>
      </c>
      <c r="G428" s="3">
        <f>F$1/C428</f>
        <v>1378.1697905181918</v>
      </c>
      <c r="H428" s="2">
        <f>D428*F427</f>
        <v>-163.86116490391694</v>
      </c>
      <c r="I428" s="2">
        <f>E428*G427</f>
        <v>-55.096418732771419</v>
      </c>
      <c r="J428" s="2">
        <f>I428-H428</f>
        <v>108.76474617114553</v>
      </c>
      <c r="K428" s="2">
        <f t="shared" si="51"/>
        <v>-108.76474617114553</v>
      </c>
      <c r="L428" s="14">
        <f>C428/B428</f>
        <v>1.0826618919725457</v>
      </c>
      <c r="M428" s="14">
        <f t="shared" si="54"/>
        <v>1.0818203021958146</v>
      </c>
      <c r="N428" s="14">
        <f t="shared" si="58"/>
        <v>1.082665204345604</v>
      </c>
      <c r="O428" s="14">
        <f t="shared" si="50"/>
        <v>1.0834838743059303</v>
      </c>
      <c r="P428" s="14">
        <f t="shared" si="52"/>
        <v>1.0796824762278667</v>
      </c>
      <c r="Q428" s="4" t="str">
        <f t="shared" si="57"/>
        <v>UNDER</v>
      </c>
      <c r="R428" s="4" t="str">
        <f t="shared" si="57"/>
        <v>UNDER</v>
      </c>
      <c r="S428" s="4" t="str">
        <f t="shared" si="55"/>
        <v>UNDER</v>
      </c>
      <c r="T428" s="4" t="str">
        <f t="shared" si="55"/>
        <v>OVER</v>
      </c>
      <c r="U428" s="2">
        <f>IF(Q428="OVER",$J428,$K428)</f>
        <v>-108.76474617114553</v>
      </c>
      <c r="V428" s="2">
        <f>IF(R428="OVER",$J428,$K428)</f>
        <v>-108.76474617114553</v>
      </c>
      <c r="W428" s="2">
        <f>IF(S428="OVER",$J428,$K428)</f>
        <v>-108.76474617114553</v>
      </c>
      <c r="X428" s="2">
        <f>IF(T428="OVER",$J428,$K428)</f>
        <v>108.76474617114553</v>
      </c>
      <c r="Y428" s="9">
        <f t="shared" si="56"/>
        <v>-13494.74012659787</v>
      </c>
      <c r="Z428" s="9">
        <f t="shared" si="56"/>
        <v>-13159.734132120571</v>
      </c>
      <c r="AA428" s="9">
        <f t="shared" si="56"/>
        <v>24197.1957130511</v>
      </c>
      <c r="AB428" s="9">
        <f t="shared" si="53"/>
        <v>5523.7292633931784</v>
      </c>
    </row>
    <row r="429" spans="1:28" x14ac:dyDescent="0.3">
      <c r="A429" s="1">
        <v>45035</v>
      </c>
      <c r="B429" s="2">
        <v>66.84</v>
      </c>
      <c r="C429" s="2">
        <v>72.39</v>
      </c>
      <c r="D429" s="9">
        <f>B429-B428</f>
        <v>-0.17999999999999261</v>
      </c>
      <c r="E429" s="9">
        <f>C429-C428</f>
        <v>-0.17000000000000171</v>
      </c>
      <c r="F429" s="3">
        <f>F$1/B429</f>
        <v>1496.1101137043686</v>
      </c>
      <c r="G429" s="3">
        <f>F$1/C429</f>
        <v>1381.406271584473</v>
      </c>
      <c r="H429" s="2">
        <f>D429*F428</f>
        <v>-268.57654431511878</v>
      </c>
      <c r="I429" s="2">
        <f>E429*G428</f>
        <v>-234.28886438809496</v>
      </c>
      <c r="J429" s="2">
        <f>I429-H429</f>
        <v>34.287679927023817</v>
      </c>
      <c r="K429" s="2">
        <f t="shared" si="51"/>
        <v>-34.287679927023817</v>
      </c>
      <c r="L429" s="14">
        <f>C429/B429</f>
        <v>1.0830341113105924</v>
      </c>
      <c r="M429" s="14">
        <f t="shared" si="54"/>
        <v>1.081901858524529</v>
      </c>
      <c r="N429" s="14">
        <f t="shared" si="58"/>
        <v>1.0827337283689356</v>
      </c>
      <c r="O429" s="14">
        <f t="shared" si="50"/>
        <v>1.0834671936383264</v>
      </c>
      <c r="P429" s="14">
        <f t="shared" si="52"/>
        <v>1.0797310778694635</v>
      </c>
      <c r="Q429" s="4" t="str">
        <f t="shared" si="57"/>
        <v>OVER</v>
      </c>
      <c r="R429" s="4" t="str">
        <f t="shared" si="57"/>
        <v>UNDER</v>
      </c>
      <c r="S429" s="4" t="str">
        <f t="shared" si="55"/>
        <v>UNDER</v>
      </c>
      <c r="T429" s="4" t="str">
        <f t="shared" si="55"/>
        <v>OVER</v>
      </c>
      <c r="U429" s="2">
        <f>IF(Q429="OVER",$J429,$K429)</f>
        <v>34.287679927023817</v>
      </c>
      <c r="V429" s="2">
        <f>IF(R429="OVER",$J429,$K429)</f>
        <v>-34.287679927023817</v>
      </c>
      <c r="W429" s="2">
        <f>IF(S429="OVER",$J429,$K429)</f>
        <v>-34.287679927023817</v>
      </c>
      <c r="X429" s="2">
        <f>IF(T429="OVER",$J429,$K429)</f>
        <v>34.287679927023817</v>
      </c>
      <c r="Y429" s="9">
        <f t="shared" si="56"/>
        <v>-13460.452446670846</v>
      </c>
      <c r="Z429" s="9">
        <f t="shared" si="56"/>
        <v>-13194.021812047595</v>
      </c>
      <c r="AA429" s="9">
        <f t="shared" si="56"/>
        <v>24162.908033124077</v>
      </c>
      <c r="AB429" s="9">
        <f t="shared" si="53"/>
        <v>5558.0169433202018</v>
      </c>
    </row>
    <row r="430" spans="1:28" x14ac:dyDescent="0.3">
      <c r="A430" s="1">
        <v>45036</v>
      </c>
      <c r="B430" s="2">
        <v>66.680000000000007</v>
      </c>
      <c r="C430" s="2">
        <v>72.05</v>
      </c>
      <c r="D430" s="9">
        <f>B430-B429</f>
        <v>-0.15999999999999659</v>
      </c>
      <c r="E430" s="9">
        <f>C430-C429</f>
        <v>-0.34000000000000341</v>
      </c>
      <c r="F430" s="3">
        <f>F$1/B430</f>
        <v>1499.7000599880023</v>
      </c>
      <c r="G430" s="3">
        <f>F$1/C430</f>
        <v>1387.9250520471894</v>
      </c>
      <c r="H430" s="2">
        <f>D430*F429</f>
        <v>-239.37761819269386</v>
      </c>
      <c r="I430" s="2">
        <f>E430*G429</f>
        <v>-469.6781323387255</v>
      </c>
      <c r="J430" s="2">
        <f>I430-H430</f>
        <v>-230.30051414603165</v>
      </c>
      <c r="K430" s="2">
        <f t="shared" si="51"/>
        <v>230.30051414603165</v>
      </c>
      <c r="L430" s="14">
        <f>C430/B430</f>
        <v>1.0805338932213555</v>
      </c>
      <c r="M430" s="14">
        <f t="shared" si="54"/>
        <v>1.0816080780353439</v>
      </c>
      <c r="N430" s="14">
        <f t="shared" si="58"/>
        <v>1.0827292732361418</v>
      </c>
      <c r="O430" s="14">
        <f t="shared" si="50"/>
        <v>1.0833656622004282</v>
      </c>
      <c r="P430" s="14">
        <f t="shared" si="52"/>
        <v>1.0797601664825478</v>
      </c>
      <c r="Q430" s="4" t="str">
        <f t="shared" si="57"/>
        <v>OVER</v>
      </c>
      <c r="R430" s="4" t="str">
        <f t="shared" si="57"/>
        <v>OVER</v>
      </c>
      <c r="S430" s="4" t="str">
        <f t="shared" si="55"/>
        <v>UNDER</v>
      </c>
      <c r="T430" s="4" t="str">
        <f t="shared" si="55"/>
        <v>OVER</v>
      </c>
      <c r="U430" s="2">
        <f>IF(Q430="OVER",$J430,$K430)</f>
        <v>-230.30051414603165</v>
      </c>
      <c r="V430" s="2">
        <f>IF(R430="OVER",$J430,$K430)</f>
        <v>-230.30051414603165</v>
      </c>
      <c r="W430" s="2">
        <f>IF(S430="OVER",$J430,$K430)</f>
        <v>230.30051414603165</v>
      </c>
      <c r="X430" s="2">
        <f>IF(T430="OVER",$J430,$K430)</f>
        <v>-230.30051414603165</v>
      </c>
      <c r="Y430" s="9">
        <f t="shared" si="56"/>
        <v>-13690.752960816877</v>
      </c>
      <c r="Z430" s="9">
        <f t="shared" si="56"/>
        <v>-13424.322326193625</v>
      </c>
      <c r="AA430" s="9">
        <f t="shared" si="56"/>
        <v>24393.208547270107</v>
      </c>
      <c r="AB430" s="9">
        <f t="shared" si="53"/>
        <v>5327.7164291741701</v>
      </c>
    </row>
    <row r="431" spans="1:28" x14ac:dyDescent="0.3">
      <c r="A431" s="1">
        <v>45037</v>
      </c>
      <c r="B431" s="2">
        <v>66.62</v>
      </c>
      <c r="C431" s="2">
        <v>72.06</v>
      </c>
      <c r="D431" s="9">
        <f>B431-B430</f>
        <v>-6.0000000000002274E-2</v>
      </c>
      <c r="E431" s="9">
        <f>C431-C430</f>
        <v>1.0000000000005116E-2</v>
      </c>
      <c r="F431" s="3">
        <f>F$1/B431</f>
        <v>1501.0507355148602</v>
      </c>
      <c r="G431" s="3">
        <f>F$1/C431</f>
        <v>1387.7324451845684</v>
      </c>
      <c r="H431" s="2">
        <f>D431*F430</f>
        <v>-89.982003599283544</v>
      </c>
      <c r="I431" s="2">
        <f>E431*G430</f>
        <v>13.879250520478994</v>
      </c>
      <c r="J431" s="2">
        <f>I431-H431</f>
        <v>103.86125411976253</v>
      </c>
      <c r="K431" s="2">
        <f t="shared" si="51"/>
        <v>-103.86125411976253</v>
      </c>
      <c r="L431" s="14">
        <f>C431/B431</f>
        <v>1.0816571600120084</v>
      </c>
      <c r="M431" s="14">
        <f t="shared" si="54"/>
        <v>1.0815083340063789</v>
      </c>
      <c r="N431" s="14">
        <f t="shared" si="58"/>
        <v>1.0826149395395503</v>
      </c>
      <c r="O431" s="14">
        <f t="shared" si="50"/>
        <v>1.0833464168425153</v>
      </c>
      <c r="P431" s="14">
        <f t="shared" si="52"/>
        <v>1.0797773220085087</v>
      </c>
      <c r="Q431" s="4" t="str">
        <f t="shared" si="57"/>
        <v>UNDER</v>
      </c>
      <c r="R431" s="4" t="str">
        <f t="shared" si="57"/>
        <v>UNDER</v>
      </c>
      <c r="S431" s="4" t="str">
        <f t="shared" si="55"/>
        <v>UNDER</v>
      </c>
      <c r="T431" s="4" t="str">
        <f t="shared" si="55"/>
        <v>OVER</v>
      </c>
      <c r="U431" s="2">
        <f>IF(Q431="OVER",$J431,$K431)</f>
        <v>-103.86125411976253</v>
      </c>
      <c r="V431" s="2">
        <f>IF(R431="OVER",$J431,$K431)</f>
        <v>-103.86125411976253</v>
      </c>
      <c r="W431" s="2">
        <f>IF(S431="OVER",$J431,$K431)</f>
        <v>-103.86125411976253</v>
      </c>
      <c r="X431" s="2">
        <f>IF(T431="OVER",$J431,$K431)</f>
        <v>103.86125411976253</v>
      </c>
      <c r="Y431" s="9">
        <f t="shared" si="56"/>
        <v>-13794.614214936639</v>
      </c>
      <c r="Z431" s="9">
        <f t="shared" si="56"/>
        <v>-13528.183580313387</v>
      </c>
      <c r="AA431" s="9">
        <f t="shared" si="56"/>
        <v>24289.347293150346</v>
      </c>
      <c r="AB431" s="9">
        <f t="shared" si="53"/>
        <v>5431.5776832939328</v>
      </c>
    </row>
    <row r="432" spans="1:28" x14ac:dyDescent="0.3">
      <c r="A432" s="1">
        <v>45040</v>
      </c>
      <c r="B432" s="2">
        <v>66.739999999999995</v>
      </c>
      <c r="C432" s="2">
        <v>72.010000000000005</v>
      </c>
      <c r="D432" s="9">
        <f>B432-B431</f>
        <v>0.11999999999999034</v>
      </c>
      <c r="E432" s="9">
        <f>C432-C431</f>
        <v>-4.9999999999997158E-2</v>
      </c>
      <c r="F432" s="3">
        <f>F$1/B432</f>
        <v>1498.3518130056939</v>
      </c>
      <c r="G432" s="3">
        <f>F$1/C432</f>
        <v>1388.6960144424384</v>
      </c>
      <c r="H432" s="2">
        <f>D432*F431</f>
        <v>180.12608826176873</v>
      </c>
      <c r="I432" s="2">
        <f>E432*G431</f>
        <v>-69.386622259224481</v>
      </c>
      <c r="J432" s="2">
        <f>I432-H432</f>
        <v>-249.51271052099321</v>
      </c>
      <c r="K432" s="2">
        <f t="shared" si="51"/>
        <v>249.51271052099321</v>
      </c>
      <c r="L432" s="14">
        <f>C432/B432</f>
        <v>1.0789631405454003</v>
      </c>
      <c r="M432" s="14">
        <f t="shared" si="54"/>
        <v>1.0812266564794397</v>
      </c>
      <c r="N432" s="14">
        <f t="shared" si="58"/>
        <v>1.0823116819774337</v>
      </c>
      <c r="O432" s="14">
        <f t="shared" si="50"/>
        <v>1.0832604736937388</v>
      </c>
      <c r="P432" s="14">
        <f t="shared" si="52"/>
        <v>1.0797835445553421</v>
      </c>
      <c r="Q432" s="4" t="str">
        <f t="shared" si="57"/>
        <v>OVER</v>
      </c>
      <c r="R432" s="4" t="str">
        <f t="shared" si="57"/>
        <v>UNDER</v>
      </c>
      <c r="S432" s="4" t="str">
        <f t="shared" si="55"/>
        <v>UNDER</v>
      </c>
      <c r="T432" s="4" t="str">
        <f t="shared" si="55"/>
        <v>UNDER</v>
      </c>
      <c r="U432" s="2">
        <f>IF(Q432="OVER",$J432,$K432)</f>
        <v>-249.51271052099321</v>
      </c>
      <c r="V432" s="2">
        <f>IF(R432="OVER",$J432,$K432)</f>
        <v>249.51271052099321</v>
      </c>
      <c r="W432" s="2">
        <f>IF(S432="OVER",$J432,$K432)</f>
        <v>249.51271052099321</v>
      </c>
      <c r="X432" s="2">
        <f>IF(T432="OVER",$J432,$K432)</f>
        <v>249.51271052099321</v>
      </c>
      <c r="Y432" s="9">
        <f t="shared" si="56"/>
        <v>-14044.126925457633</v>
      </c>
      <c r="Z432" s="9">
        <f t="shared" si="56"/>
        <v>-13278.670869792393</v>
      </c>
      <c r="AA432" s="9">
        <f t="shared" si="56"/>
        <v>24538.86000367134</v>
      </c>
      <c r="AB432" s="9">
        <f t="shared" si="53"/>
        <v>5681.0903938149258</v>
      </c>
    </row>
    <row r="433" spans="1:28" x14ac:dyDescent="0.3">
      <c r="A433" s="1">
        <v>45041</v>
      </c>
      <c r="B433" s="2">
        <v>65.86</v>
      </c>
      <c r="C433" s="2">
        <v>71.17</v>
      </c>
      <c r="D433" s="9">
        <f>B433-B432</f>
        <v>-0.87999999999999545</v>
      </c>
      <c r="E433" s="9">
        <f>C433-C432</f>
        <v>-0.84000000000000341</v>
      </c>
      <c r="F433" s="3">
        <f>F$1/B433</f>
        <v>1518.3723048891588</v>
      </c>
      <c r="G433" s="3">
        <f>F$1/C433</f>
        <v>1405.086412814388</v>
      </c>
      <c r="H433" s="2">
        <f>D433*F432</f>
        <v>-1318.5495954450039</v>
      </c>
      <c r="I433" s="2">
        <f>E433*G432</f>
        <v>-1166.5046521316528</v>
      </c>
      <c r="J433" s="2">
        <f>I433-H433</f>
        <v>152.04494331335104</v>
      </c>
      <c r="K433" s="2">
        <f t="shared" si="51"/>
        <v>-152.04494331335104</v>
      </c>
      <c r="L433" s="14">
        <f>C433/B433</f>
        <v>1.0806255693896143</v>
      </c>
      <c r="M433" s="14">
        <f t="shared" si="54"/>
        <v>1.0812167257742495</v>
      </c>
      <c r="N433" s="14">
        <f t="shared" si="58"/>
        <v>1.0821413438539604</v>
      </c>
      <c r="O433" s="14">
        <f t="shared" si="50"/>
        <v>1.0832050970557361</v>
      </c>
      <c r="P433" s="14">
        <f t="shared" si="52"/>
        <v>1.0798080684569185</v>
      </c>
      <c r="Q433" s="4" t="str">
        <f t="shared" si="57"/>
        <v>UNDER</v>
      </c>
      <c r="R433" s="4" t="str">
        <f t="shared" si="57"/>
        <v>UNDER</v>
      </c>
      <c r="S433" s="4" t="str">
        <f t="shared" si="55"/>
        <v>UNDER</v>
      </c>
      <c r="T433" s="4" t="str">
        <f t="shared" si="55"/>
        <v>OVER</v>
      </c>
      <c r="U433" s="2">
        <f>IF(Q433="OVER",$J433,$K433)</f>
        <v>-152.04494331335104</v>
      </c>
      <c r="V433" s="2">
        <f>IF(R433="OVER",$J433,$K433)</f>
        <v>-152.04494331335104</v>
      </c>
      <c r="W433" s="2">
        <f>IF(S433="OVER",$J433,$K433)</f>
        <v>-152.04494331335104</v>
      </c>
      <c r="X433" s="2">
        <f>IF(T433="OVER",$J433,$K433)</f>
        <v>152.04494331335104</v>
      </c>
      <c r="Y433" s="9">
        <f t="shared" si="56"/>
        <v>-14196.171868770984</v>
      </c>
      <c r="Z433" s="9">
        <f t="shared" si="56"/>
        <v>-13430.715813105744</v>
      </c>
      <c r="AA433" s="9">
        <f t="shared" si="56"/>
        <v>24386.815060357989</v>
      </c>
      <c r="AB433" s="9">
        <f t="shared" si="53"/>
        <v>5833.1353371282767</v>
      </c>
    </row>
    <row r="434" spans="1:28" x14ac:dyDescent="0.3">
      <c r="A434" s="1">
        <v>45042</v>
      </c>
      <c r="B434" s="2">
        <v>65.75</v>
      </c>
      <c r="C434" s="2">
        <v>71.12</v>
      </c>
      <c r="D434" s="9">
        <f>B434-B433</f>
        <v>-0.10999999999999943</v>
      </c>
      <c r="E434" s="9">
        <f>C434-C433</f>
        <v>-4.9999999999997158E-2</v>
      </c>
      <c r="F434" s="3">
        <f>F$1/B434</f>
        <v>1520.9125475285171</v>
      </c>
      <c r="G434" s="3">
        <f>F$1/C434</f>
        <v>1406.07424071991</v>
      </c>
      <c r="H434" s="2">
        <f>D434*F433</f>
        <v>-167.02095353780661</v>
      </c>
      <c r="I434" s="2">
        <f>E434*G433</f>
        <v>-70.254320640715406</v>
      </c>
      <c r="J434" s="2">
        <f>I434-H434</f>
        <v>96.766632897091199</v>
      </c>
      <c r="K434" s="2">
        <f t="shared" si="51"/>
        <v>-96.766632897091199</v>
      </c>
      <c r="L434" s="14">
        <f>C434/B434</f>
        <v>1.0816730038022815</v>
      </c>
      <c r="M434" s="14">
        <f t="shared" si="54"/>
        <v>1.0812207608483553</v>
      </c>
      <c r="N434" s="14">
        <f t="shared" si="58"/>
        <v>1.0818307309986057</v>
      </c>
      <c r="O434" s="14">
        <f t="shared" si="50"/>
        <v>1.083239952277836</v>
      </c>
      <c r="P434" s="14">
        <f t="shared" si="52"/>
        <v>1.0798321720861459</v>
      </c>
      <c r="Q434" s="4" t="str">
        <f t="shared" si="57"/>
        <v>UNDER</v>
      </c>
      <c r="R434" s="4" t="str">
        <f t="shared" si="57"/>
        <v>UNDER</v>
      </c>
      <c r="S434" s="4" t="str">
        <f t="shared" si="55"/>
        <v>UNDER</v>
      </c>
      <c r="T434" s="4" t="str">
        <f t="shared" si="55"/>
        <v>OVER</v>
      </c>
      <c r="U434" s="2">
        <f>IF(Q434="OVER",$J434,$K434)</f>
        <v>-96.766632897091199</v>
      </c>
      <c r="V434" s="2">
        <f>IF(R434="OVER",$J434,$K434)</f>
        <v>-96.766632897091199</v>
      </c>
      <c r="W434" s="2">
        <f>IF(S434="OVER",$J434,$K434)</f>
        <v>-96.766632897091199</v>
      </c>
      <c r="X434" s="2">
        <f>IF(T434="OVER",$J434,$K434)</f>
        <v>96.766632897091199</v>
      </c>
      <c r="Y434" s="9">
        <f t="shared" si="56"/>
        <v>-14292.938501668075</v>
      </c>
      <c r="Z434" s="9">
        <f t="shared" si="56"/>
        <v>-13527.482446002836</v>
      </c>
      <c r="AA434" s="9">
        <f t="shared" si="56"/>
        <v>24290.048427460897</v>
      </c>
      <c r="AB434" s="9">
        <f t="shared" si="53"/>
        <v>5929.9019700253675</v>
      </c>
    </row>
    <row r="435" spans="1:28" x14ac:dyDescent="0.3">
      <c r="A435" s="1">
        <v>45043</v>
      </c>
      <c r="B435" s="2">
        <v>65.81</v>
      </c>
      <c r="C435" s="2">
        <v>71.3</v>
      </c>
      <c r="D435" s="9">
        <f>B435-B434</f>
        <v>6.0000000000002274E-2</v>
      </c>
      <c r="E435" s="9">
        <f>C435-C434</f>
        <v>0.17999999999999261</v>
      </c>
      <c r="F435" s="3">
        <f>F$1/B435</f>
        <v>1519.5259079167299</v>
      </c>
      <c r="G435" s="3">
        <f>F$1/C435</f>
        <v>1402.5245441795232</v>
      </c>
      <c r="H435" s="2">
        <f>D435*F434</f>
        <v>91.254752851714485</v>
      </c>
      <c r="I435" s="2">
        <f>E435*G434</f>
        <v>253.09336332957341</v>
      </c>
      <c r="J435" s="2">
        <f>I435-H435</f>
        <v>161.83861047785894</v>
      </c>
      <c r="K435" s="2">
        <f t="shared" si="51"/>
        <v>-161.83861047785894</v>
      </c>
      <c r="L435" s="14">
        <f>C435/B435</f>
        <v>1.0834219723446283</v>
      </c>
      <c r="M435" s="14">
        <f t="shared" si="54"/>
        <v>1.0814209956611063</v>
      </c>
      <c r="N435" s="14">
        <f t="shared" si="58"/>
        <v>1.0817922596582359</v>
      </c>
      <c r="O435" s="14">
        <f t="shared" si="50"/>
        <v>1.0833266183971999</v>
      </c>
      <c r="P435" s="14">
        <f t="shared" si="52"/>
        <v>1.0798619417353326</v>
      </c>
      <c r="Q435" s="4" t="str">
        <f t="shared" si="57"/>
        <v>OVER</v>
      </c>
      <c r="R435" s="4" t="str">
        <f t="shared" si="57"/>
        <v>UNDER</v>
      </c>
      <c r="S435" s="4" t="str">
        <f t="shared" si="55"/>
        <v>OVER</v>
      </c>
      <c r="T435" s="4" t="str">
        <f t="shared" si="55"/>
        <v>OVER</v>
      </c>
      <c r="U435" s="2">
        <f>IF(Q435="OVER",$J435,$K435)</f>
        <v>161.83861047785894</v>
      </c>
      <c r="V435" s="2">
        <f>IF(R435="OVER",$J435,$K435)</f>
        <v>-161.83861047785894</v>
      </c>
      <c r="W435" s="2">
        <f>IF(S435="OVER",$J435,$K435)</f>
        <v>161.83861047785894</v>
      </c>
      <c r="X435" s="2">
        <f>IF(T435="OVER",$J435,$K435)</f>
        <v>161.83861047785894</v>
      </c>
      <c r="Y435" s="9">
        <f t="shared" si="56"/>
        <v>-14131.099891190217</v>
      </c>
      <c r="Z435" s="9">
        <f t="shared" si="56"/>
        <v>-13689.321056480694</v>
      </c>
      <c r="AA435" s="9">
        <f t="shared" si="56"/>
        <v>24451.887037938755</v>
      </c>
      <c r="AB435" s="9">
        <f t="shared" si="53"/>
        <v>6091.7405805032267</v>
      </c>
    </row>
    <row r="436" spans="1:28" x14ac:dyDescent="0.3">
      <c r="A436" s="1">
        <v>45044</v>
      </c>
      <c r="B436" s="2">
        <v>66.03</v>
      </c>
      <c r="C436" s="2">
        <v>71.37</v>
      </c>
      <c r="D436" s="9">
        <f>B436-B435</f>
        <v>0.21999999999999886</v>
      </c>
      <c r="E436" s="9">
        <f>C436-C435</f>
        <v>7.000000000000739E-2</v>
      </c>
      <c r="F436" s="3">
        <f>F$1/B436</f>
        <v>1514.4631228229591</v>
      </c>
      <c r="G436" s="3">
        <f>F$1/C436</f>
        <v>1401.1489421325487</v>
      </c>
      <c r="H436" s="2">
        <f>D436*F435</f>
        <v>334.29569974167885</v>
      </c>
      <c r="I436" s="2">
        <f>E436*G435</f>
        <v>98.176718092576991</v>
      </c>
      <c r="J436" s="2">
        <f>I436-H436</f>
        <v>-236.11898164910184</v>
      </c>
      <c r="K436" s="2">
        <f t="shared" si="51"/>
        <v>236.11898164910184</v>
      </c>
      <c r="L436" s="14">
        <f>C436/B436</f>
        <v>1.080872330758746</v>
      </c>
      <c r="M436" s="14">
        <f t="shared" si="54"/>
        <v>1.0814926761723027</v>
      </c>
      <c r="N436" s="14">
        <f t="shared" si="58"/>
        <v>1.0816698373231888</v>
      </c>
      <c r="O436" s="14">
        <f t="shared" si="50"/>
        <v>1.083311588849416</v>
      </c>
      <c r="P436" s="14">
        <f t="shared" si="52"/>
        <v>1.0798782990607914</v>
      </c>
      <c r="Q436" s="4" t="str">
        <f t="shared" si="57"/>
        <v>OVER</v>
      </c>
      <c r="R436" s="4" t="str">
        <f t="shared" si="57"/>
        <v>OVER</v>
      </c>
      <c r="S436" s="4" t="str">
        <f t="shared" si="55"/>
        <v>UNDER</v>
      </c>
      <c r="T436" s="4" t="str">
        <f t="shared" si="55"/>
        <v>OVER</v>
      </c>
      <c r="U436" s="2">
        <f>IF(Q436="OVER",$J436,$K436)</f>
        <v>-236.11898164910184</v>
      </c>
      <c r="V436" s="2">
        <f>IF(R436="OVER",$J436,$K436)</f>
        <v>-236.11898164910184</v>
      </c>
      <c r="W436" s="2">
        <f>IF(S436="OVER",$J436,$K436)</f>
        <v>236.11898164910184</v>
      </c>
      <c r="X436" s="2">
        <f>IF(T436="OVER",$J436,$K436)</f>
        <v>-236.11898164910184</v>
      </c>
      <c r="Y436" s="9">
        <f t="shared" si="56"/>
        <v>-14367.218872839319</v>
      </c>
      <c r="Z436" s="9">
        <f t="shared" si="56"/>
        <v>-13925.440038129796</v>
      </c>
      <c r="AA436" s="9">
        <f t="shared" si="56"/>
        <v>24688.006019587858</v>
      </c>
      <c r="AB436" s="9">
        <f t="shared" si="53"/>
        <v>5855.6215988541253</v>
      </c>
    </row>
    <row r="437" spans="1:28" x14ac:dyDescent="0.3">
      <c r="A437" s="1">
        <v>45047</v>
      </c>
      <c r="B437" s="2">
        <v>66.05</v>
      </c>
      <c r="C437" s="2">
        <v>71.34</v>
      </c>
      <c r="D437" s="9">
        <f>B437-B436</f>
        <v>1.9999999999996021E-2</v>
      </c>
      <c r="E437" s="9">
        <f>C437-C436</f>
        <v>-3.0000000000001137E-2</v>
      </c>
      <c r="F437" s="3">
        <f>F$1/B437</f>
        <v>1514.0045420136262</v>
      </c>
      <c r="G437" s="3">
        <f>F$1/C437</f>
        <v>1401.7381553125877</v>
      </c>
      <c r="H437" s="2">
        <f>D437*F436</f>
        <v>30.289262456453155</v>
      </c>
      <c r="I437" s="2">
        <f>E437*G436</f>
        <v>-42.034468263978056</v>
      </c>
      <c r="J437" s="2">
        <f>I437-H437</f>
        <v>-72.323730720431215</v>
      </c>
      <c r="K437" s="2">
        <f t="shared" si="51"/>
        <v>72.323730720431215</v>
      </c>
      <c r="L437" s="14">
        <f>C437/B437</f>
        <v>1.0800908402725209</v>
      </c>
      <c r="M437" s="14">
        <f t="shared" si="54"/>
        <v>1.0813533913629692</v>
      </c>
      <c r="N437" s="14">
        <f t="shared" si="58"/>
        <v>1.0815369110201307</v>
      </c>
      <c r="O437" s="14">
        <f t="shared" ref="O437:O500" si="59">AVERAGE(L388:L437)</f>
        <v>1.0832642215056825</v>
      </c>
      <c r="P437" s="14">
        <f t="shared" si="52"/>
        <v>1.0799018610780329</v>
      </c>
      <c r="Q437" s="4" t="str">
        <f t="shared" si="57"/>
        <v>UNDER</v>
      </c>
      <c r="R437" s="4" t="str">
        <f t="shared" si="57"/>
        <v>UNDER</v>
      </c>
      <c r="S437" s="4" t="str">
        <f t="shared" si="55"/>
        <v>UNDER</v>
      </c>
      <c r="T437" s="4" t="str">
        <f t="shared" si="55"/>
        <v>OVER</v>
      </c>
      <c r="U437" s="2">
        <f>IF(Q437="OVER",$J437,$K437)</f>
        <v>72.323730720431215</v>
      </c>
      <c r="V437" s="2">
        <f>IF(R437="OVER",$J437,$K437)</f>
        <v>72.323730720431215</v>
      </c>
      <c r="W437" s="2">
        <f>IF(S437="OVER",$J437,$K437)</f>
        <v>72.323730720431215</v>
      </c>
      <c r="X437" s="2">
        <f>IF(T437="OVER",$J437,$K437)</f>
        <v>-72.323730720431215</v>
      </c>
      <c r="Y437" s="9">
        <f t="shared" si="56"/>
        <v>-14294.895142118889</v>
      </c>
      <c r="Z437" s="9">
        <f t="shared" si="56"/>
        <v>-13853.116307409366</v>
      </c>
      <c r="AA437" s="9">
        <f t="shared" si="56"/>
        <v>24760.32975030829</v>
      </c>
      <c r="AB437" s="9">
        <f t="shared" si="53"/>
        <v>5783.2978681336945</v>
      </c>
    </row>
    <row r="438" spans="1:28" x14ac:dyDescent="0.3">
      <c r="A438" s="1">
        <v>45048</v>
      </c>
      <c r="B438" s="2">
        <v>65.5</v>
      </c>
      <c r="C438" s="2">
        <v>70.739999999999995</v>
      </c>
      <c r="D438" s="9">
        <f>B438-B437</f>
        <v>-0.54999999999999716</v>
      </c>
      <c r="E438" s="9">
        <f>C438-C437</f>
        <v>-0.60000000000000853</v>
      </c>
      <c r="F438" s="3">
        <f>F$1/B438</f>
        <v>1526.7175572519084</v>
      </c>
      <c r="G438" s="3">
        <f>F$1/C438</f>
        <v>1413.6273678258412</v>
      </c>
      <c r="H438" s="2">
        <f>D438*F437</f>
        <v>-832.7024981074901</v>
      </c>
      <c r="I438" s="2">
        <f>E438*G437</f>
        <v>-841.04289318756457</v>
      </c>
      <c r="J438" s="2">
        <f>I438-H438</f>
        <v>-8.3403950800744724</v>
      </c>
      <c r="K438" s="2">
        <f t="shared" si="51"/>
        <v>8.3403950800744724</v>
      </c>
      <c r="L438" s="14">
        <f>C438/B438</f>
        <v>1.0799999999999998</v>
      </c>
      <c r="M438" s="14">
        <f t="shared" si="54"/>
        <v>1.0810872021657147</v>
      </c>
      <c r="N438" s="14">
        <f t="shared" si="58"/>
        <v>1.081453752180765</v>
      </c>
      <c r="O438" s="14">
        <f t="shared" si="59"/>
        <v>1.0833183277858758</v>
      </c>
      <c r="P438" s="14">
        <f t="shared" si="52"/>
        <v>1.0799187810841742</v>
      </c>
      <c r="Q438" s="4" t="str">
        <f t="shared" si="57"/>
        <v>UNDER</v>
      </c>
      <c r="R438" s="4" t="str">
        <f t="shared" si="57"/>
        <v>UNDER</v>
      </c>
      <c r="S438" s="4" t="str">
        <f t="shared" si="55"/>
        <v>UNDER</v>
      </c>
      <c r="T438" s="4" t="str">
        <f t="shared" si="55"/>
        <v>OVER</v>
      </c>
      <c r="U438" s="2">
        <f>IF(Q438="OVER",$J438,$K438)</f>
        <v>8.3403950800744724</v>
      </c>
      <c r="V438" s="2">
        <f>IF(R438="OVER",$J438,$K438)</f>
        <v>8.3403950800744724</v>
      </c>
      <c r="W438" s="2">
        <f>IF(S438="OVER",$J438,$K438)</f>
        <v>8.3403950800744724</v>
      </c>
      <c r="X438" s="2">
        <f>IF(T438="OVER",$J438,$K438)</f>
        <v>-8.3403950800744724</v>
      </c>
      <c r="Y438" s="9">
        <f t="shared" si="56"/>
        <v>-14286.554747038814</v>
      </c>
      <c r="Z438" s="9">
        <f t="shared" si="56"/>
        <v>-13844.775912329291</v>
      </c>
      <c r="AA438" s="9">
        <f t="shared" si="56"/>
        <v>24768.670145388365</v>
      </c>
      <c r="AB438" s="9">
        <f t="shared" si="53"/>
        <v>5774.9574730536197</v>
      </c>
    </row>
    <row r="439" spans="1:28" x14ac:dyDescent="0.3">
      <c r="A439" s="1">
        <v>45049</v>
      </c>
      <c r="B439" s="2">
        <v>65.5</v>
      </c>
      <c r="C439" s="2">
        <v>70.7</v>
      </c>
      <c r="D439" s="9">
        <f>B439-B438</f>
        <v>0</v>
      </c>
      <c r="E439" s="9">
        <f>C439-C438</f>
        <v>-3.9999999999992042E-2</v>
      </c>
      <c r="F439" s="3">
        <f>F$1/B439</f>
        <v>1526.7175572519084</v>
      </c>
      <c r="G439" s="3">
        <f>F$1/C439</f>
        <v>1414.4271570014143</v>
      </c>
      <c r="H439" s="2">
        <f>D439*F438</f>
        <v>0</v>
      </c>
      <c r="I439" s="2">
        <f>E439*G438</f>
        <v>-56.545094713022401</v>
      </c>
      <c r="J439" s="2">
        <f>I439-H439</f>
        <v>-56.545094713022401</v>
      </c>
      <c r="K439" s="2">
        <f t="shared" si="51"/>
        <v>56.545094713022401</v>
      </c>
      <c r="L439" s="14">
        <f>C439/B439</f>
        <v>1.0793893129770993</v>
      </c>
      <c r="M439" s="14">
        <f t="shared" si="54"/>
        <v>1.0807227223323654</v>
      </c>
      <c r="N439" s="14">
        <f t="shared" si="58"/>
        <v>1.0813122904284471</v>
      </c>
      <c r="O439" s="14">
        <f t="shared" si="59"/>
        <v>1.0832399414987233</v>
      </c>
      <c r="P439" s="14">
        <f t="shared" si="52"/>
        <v>1.0799298164698867</v>
      </c>
      <c r="Q439" s="4" t="str">
        <f t="shared" si="57"/>
        <v>UNDER</v>
      </c>
      <c r="R439" s="4" t="str">
        <f t="shared" si="57"/>
        <v>UNDER</v>
      </c>
      <c r="S439" s="4" t="str">
        <f t="shared" si="55"/>
        <v>UNDER</v>
      </c>
      <c r="T439" s="4" t="str">
        <f t="shared" si="55"/>
        <v>UNDER</v>
      </c>
      <c r="U439" s="2">
        <f>IF(Q439="OVER",$J439,$K439)</f>
        <v>56.545094713022401</v>
      </c>
      <c r="V439" s="2">
        <f>IF(R439="OVER",$J439,$K439)</f>
        <v>56.545094713022401</v>
      </c>
      <c r="W439" s="2">
        <f>IF(S439="OVER",$J439,$K439)</f>
        <v>56.545094713022401</v>
      </c>
      <c r="X439" s="2">
        <f>IF(T439="OVER",$J439,$K439)</f>
        <v>56.545094713022401</v>
      </c>
      <c r="Y439" s="9">
        <f t="shared" si="56"/>
        <v>-14230.009652325791</v>
      </c>
      <c r="Z439" s="9">
        <f t="shared" si="56"/>
        <v>-13788.230817616268</v>
      </c>
      <c r="AA439" s="9">
        <f t="shared" si="56"/>
        <v>24825.215240101388</v>
      </c>
      <c r="AB439" s="9">
        <f t="shared" si="53"/>
        <v>5831.5025677666417</v>
      </c>
    </row>
    <row r="440" spans="1:28" x14ac:dyDescent="0.3">
      <c r="A440" s="1">
        <v>45050</v>
      </c>
      <c r="B440" s="2">
        <v>65.489999999999995</v>
      </c>
      <c r="C440" s="2">
        <v>70.61</v>
      </c>
      <c r="D440" s="9">
        <f>B440-B439</f>
        <v>-1.0000000000005116E-2</v>
      </c>
      <c r="E440" s="9">
        <f>C440-C439</f>
        <v>-9.0000000000003411E-2</v>
      </c>
      <c r="F440" s="3">
        <f>F$1/B440</f>
        <v>1526.9506794930526</v>
      </c>
      <c r="G440" s="3">
        <f>F$1/C440</f>
        <v>1416.2299957513101</v>
      </c>
      <c r="H440" s="2">
        <f>D440*F439</f>
        <v>-15.267175572526895</v>
      </c>
      <c r="I440" s="2">
        <f>E440*G439</f>
        <v>-127.29844413013211</v>
      </c>
      <c r="J440" s="2">
        <f>I440-H440</f>
        <v>-112.03126855760522</v>
      </c>
      <c r="K440" s="2">
        <f t="shared" si="51"/>
        <v>112.03126855760522</v>
      </c>
      <c r="L440" s="14">
        <f>C440/B440</f>
        <v>1.0781798747900444</v>
      </c>
      <c r="M440" s="14">
        <f t="shared" si="54"/>
        <v>1.0804873204892342</v>
      </c>
      <c r="N440" s="14">
        <f t="shared" si="58"/>
        <v>1.0810476992622891</v>
      </c>
      <c r="O440" s="14">
        <f t="shared" si="59"/>
        <v>1.0831129394386396</v>
      </c>
      <c r="P440" s="14">
        <f t="shared" si="52"/>
        <v>1.0799478856551574</v>
      </c>
      <c r="Q440" s="4" t="str">
        <f t="shared" si="57"/>
        <v>UNDER</v>
      </c>
      <c r="R440" s="4" t="str">
        <f t="shared" si="57"/>
        <v>UNDER</v>
      </c>
      <c r="S440" s="4" t="str">
        <f t="shared" si="55"/>
        <v>UNDER</v>
      </c>
      <c r="T440" s="4" t="str">
        <f t="shared" si="55"/>
        <v>UNDER</v>
      </c>
      <c r="U440" s="2">
        <f>IF(Q440="OVER",$J440,$K440)</f>
        <v>112.03126855760522</v>
      </c>
      <c r="V440" s="2">
        <f>IF(R440="OVER",$J440,$K440)</f>
        <v>112.03126855760522</v>
      </c>
      <c r="W440" s="2">
        <f>IF(S440="OVER",$J440,$K440)</f>
        <v>112.03126855760522</v>
      </c>
      <c r="X440" s="2">
        <f>IF(T440="OVER",$J440,$K440)</f>
        <v>112.03126855760522</v>
      </c>
      <c r="Y440" s="9">
        <f t="shared" si="56"/>
        <v>-14117.978383768186</v>
      </c>
      <c r="Z440" s="9">
        <f t="shared" si="56"/>
        <v>-13676.199549058663</v>
      </c>
      <c r="AA440" s="9">
        <f t="shared" si="56"/>
        <v>24937.246508658995</v>
      </c>
      <c r="AB440" s="9">
        <f t="shared" si="53"/>
        <v>5943.5338363242472</v>
      </c>
    </row>
    <row r="441" spans="1:28" x14ac:dyDescent="0.3">
      <c r="A441" s="1">
        <v>45051</v>
      </c>
      <c r="B441" s="2">
        <v>66.069999999999993</v>
      </c>
      <c r="C441" s="2">
        <v>71.38</v>
      </c>
      <c r="D441" s="9">
        <f>B441-B440</f>
        <v>0.57999999999999829</v>
      </c>
      <c r="E441" s="9">
        <f>C441-C440</f>
        <v>0.76999999999999602</v>
      </c>
      <c r="F441" s="3">
        <f>F$1/B441</f>
        <v>1513.5462388375965</v>
      </c>
      <c r="G441" s="3">
        <f>F$1/C441</f>
        <v>1400.9526478005043</v>
      </c>
      <c r="H441" s="2">
        <f>D441*F440</f>
        <v>885.63139410596784</v>
      </c>
      <c r="I441" s="2">
        <f>E441*G440</f>
        <v>1090.497096728503</v>
      </c>
      <c r="J441" s="2">
        <f>I441-H441</f>
        <v>204.8657026225352</v>
      </c>
      <c r="K441" s="2">
        <f t="shared" si="51"/>
        <v>-204.8657026225352</v>
      </c>
      <c r="L441" s="14">
        <f>C441/B441</f>
        <v>1.0803693052822765</v>
      </c>
      <c r="M441" s="14">
        <f t="shared" si="54"/>
        <v>1.0803585350162612</v>
      </c>
      <c r="N441" s="14">
        <f t="shared" si="58"/>
        <v>1.0809334345113197</v>
      </c>
      <c r="O441" s="14">
        <f t="shared" si="59"/>
        <v>1.08303001821568</v>
      </c>
      <c r="P441" s="14">
        <f t="shared" si="52"/>
        <v>1.0799750493930933</v>
      </c>
      <c r="Q441" s="4" t="str">
        <f t="shared" si="57"/>
        <v>UNDER</v>
      </c>
      <c r="R441" s="4" t="str">
        <f t="shared" si="57"/>
        <v>UNDER</v>
      </c>
      <c r="S441" s="4" t="str">
        <f t="shared" si="55"/>
        <v>UNDER</v>
      </c>
      <c r="T441" s="4" t="str">
        <f t="shared" si="55"/>
        <v>OVER</v>
      </c>
      <c r="U441" s="2">
        <f>IF(Q441="OVER",$J441,$K441)</f>
        <v>-204.8657026225352</v>
      </c>
      <c r="V441" s="2">
        <f>IF(R441="OVER",$J441,$K441)</f>
        <v>-204.8657026225352</v>
      </c>
      <c r="W441" s="2">
        <f>IF(S441="OVER",$J441,$K441)</f>
        <v>-204.8657026225352</v>
      </c>
      <c r="X441" s="2">
        <f>IF(T441="OVER",$J441,$K441)</f>
        <v>204.8657026225352</v>
      </c>
      <c r="Y441" s="9">
        <f t="shared" si="56"/>
        <v>-14322.844086390722</v>
      </c>
      <c r="Z441" s="9">
        <f t="shared" si="56"/>
        <v>-13881.065251681199</v>
      </c>
      <c r="AA441" s="9">
        <f t="shared" si="56"/>
        <v>24732.380806036461</v>
      </c>
      <c r="AB441" s="9">
        <f t="shared" si="53"/>
        <v>6148.3995389467827</v>
      </c>
    </row>
    <row r="442" spans="1:28" x14ac:dyDescent="0.3">
      <c r="A442" s="1">
        <v>45054</v>
      </c>
      <c r="B442" s="2">
        <v>66.2</v>
      </c>
      <c r="C442" s="2">
        <v>71.709999999999994</v>
      </c>
      <c r="D442" s="9">
        <f>B442-B441</f>
        <v>0.13000000000000966</v>
      </c>
      <c r="E442" s="9">
        <f>C442-C441</f>
        <v>0.32999999999999829</v>
      </c>
      <c r="F442" s="3">
        <f>F$1/B442</f>
        <v>1510.5740181268882</v>
      </c>
      <c r="G442" s="3">
        <f>F$1/C442</f>
        <v>1394.5056477478736</v>
      </c>
      <c r="H442" s="2">
        <f>D442*F441</f>
        <v>196.76101104890219</v>
      </c>
      <c r="I442" s="2">
        <f>E442*G441</f>
        <v>462.31437377416404</v>
      </c>
      <c r="J442" s="2">
        <f>I442-H442</f>
        <v>265.55336272526188</v>
      </c>
      <c r="K442" s="2">
        <f t="shared" si="51"/>
        <v>-265.55336272526188</v>
      </c>
      <c r="L442" s="14">
        <f>C442/B442</f>
        <v>1.0832326283987914</v>
      </c>
      <c r="M442" s="14">
        <f t="shared" si="54"/>
        <v>1.0807854838016002</v>
      </c>
      <c r="N442" s="14">
        <f t="shared" si="58"/>
        <v>1.08100607014052</v>
      </c>
      <c r="O442" s="14">
        <f t="shared" si="59"/>
        <v>1.0830565471797839</v>
      </c>
      <c r="P442" s="14">
        <f t="shared" si="52"/>
        <v>1.0800349727611767</v>
      </c>
      <c r="Q442" s="4" t="str">
        <f t="shared" si="57"/>
        <v>OVER</v>
      </c>
      <c r="R442" s="4" t="str">
        <f t="shared" si="57"/>
        <v>UNDER</v>
      </c>
      <c r="S442" s="4" t="str">
        <f t="shared" si="55"/>
        <v>OVER</v>
      </c>
      <c r="T442" s="4" t="str">
        <f t="shared" si="55"/>
        <v>OVER</v>
      </c>
      <c r="U442" s="2">
        <f>IF(Q442="OVER",$J442,$K442)</f>
        <v>265.55336272526188</v>
      </c>
      <c r="V442" s="2">
        <f>IF(R442="OVER",$J442,$K442)</f>
        <v>-265.55336272526188</v>
      </c>
      <c r="W442" s="2">
        <f>IF(S442="OVER",$J442,$K442)</f>
        <v>265.55336272526188</v>
      </c>
      <c r="X442" s="2">
        <f>IF(T442="OVER",$J442,$K442)</f>
        <v>265.55336272526188</v>
      </c>
      <c r="Y442" s="9">
        <f t="shared" si="56"/>
        <v>-14057.290723665459</v>
      </c>
      <c r="Z442" s="9">
        <f t="shared" si="56"/>
        <v>-14146.618614406461</v>
      </c>
      <c r="AA442" s="9">
        <f t="shared" si="56"/>
        <v>24997.934168761723</v>
      </c>
      <c r="AB442" s="9">
        <f t="shared" si="53"/>
        <v>6413.9529016720444</v>
      </c>
    </row>
    <row r="443" spans="1:28" x14ac:dyDescent="0.3">
      <c r="A443" s="1">
        <v>45055</v>
      </c>
      <c r="B443" s="2">
        <v>66.16</v>
      </c>
      <c r="C443" s="2">
        <v>71.64</v>
      </c>
      <c r="D443" s="9">
        <f>B443-B442</f>
        <v>-4.0000000000006253E-2</v>
      </c>
      <c r="E443" s="9">
        <f>C443-C442</f>
        <v>-6.9999999999993179E-2</v>
      </c>
      <c r="F443" s="3">
        <f>F$1/B443</f>
        <v>1511.4873035066507</v>
      </c>
      <c r="G443" s="3">
        <f>F$1/C443</f>
        <v>1395.8682300390842</v>
      </c>
      <c r="H443" s="2">
        <f>D443*F442</f>
        <v>-60.42296072508497</v>
      </c>
      <c r="I443" s="2">
        <f>E443*G442</f>
        <v>-97.615395342341643</v>
      </c>
      <c r="J443" s="2">
        <f>I443-H443</f>
        <v>-37.192434617256673</v>
      </c>
      <c r="K443" s="2">
        <f t="shared" si="51"/>
        <v>37.192434617256673</v>
      </c>
      <c r="L443" s="14">
        <f>C443/B443</f>
        <v>1.0828295042321645</v>
      </c>
      <c r="M443" s="14">
        <f t="shared" si="54"/>
        <v>1.0810058772858553</v>
      </c>
      <c r="N443" s="14">
        <f t="shared" si="58"/>
        <v>1.0811113015300524</v>
      </c>
      <c r="O443" s="14">
        <f t="shared" si="59"/>
        <v>1.0830261393471408</v>
      </c>
      <c r="P443" s="14">
        <f t="shared" si="52"/>
        <v>1.0800835224399641</v>
      </c>
      <c r="Q443" s="4" t="str">
        <f t="shared" si="57"/>
        <v>OVER</v>
      </c>
      <c r="R443" s="4" t="str">
        <f t="shared" si="57"/>
        <v>OVER</v>
      </c>
      <c r="S443" s="4" t="str">
        <f t="shared" si="55"/>
        <v>UNDER</v>
      </c>
      <c r="T443" s="4" t="str">
        <f t="shared" si="55"/>
        <v>OVER</v>
      </c>
      <c r="U443" s="2">
        <f>IF(Q443="OVER",$J443,$K443)</f>
        <v>-37.192434617256673</v>
      </c>
      <c r="V443" s="2">
        <f>IF(R443="OVER",$J443,$K443)</f>
        <v>-37.192434617256673</v>
      </c>
      <c r="W443" s="2">
        <f>IF(S443="OVER",$J443,$K443)</f>
        <v>37.192434617256673</v>
      </c>
      <c r="X443" s="2">
        <f>IF(T443="OVER",$J443,$K443)</f>
        <v>-37.192434617256673</v>
      </c>
      <c r="Y443" s="9">
        <f t="shared" si="56"/>
        <v>-14094.483158282716</v>
      </c>
      <c r="Z443" s="9">
        <f t="shared" si="56"/>
        <v>-14183.811049023718</v>
      </c>
      <c r="AA443" s="9">
        <f t="shared" si="56"/>
        <v>25035.12660337898</v>
      </c>
      <c r="AB443" s="9">
        <f t="shared" si="53"/>
        <v>6376.760467054788</v>
      </c>
    </row>
    <row r="444" spans="1:28" x14ac:dyDescent="0.3">
      <c r="A444" s="1">
        <v>45056</v>
      </c>
      <c r="B444" s="2">
        <v>66.34</v>
      </c>
      <c r="C444" s="2">
        <v>71.97</v>
      </c>
      <c r="D444" s="9">
        <f>B444-B443</f>
        <v>0.18000000000000682</v>
      </c>
      <c r="E444" s="9">
        <f>C444-C443</f>
        <v>0.32999999999999829</v>
      </c>
      <c r="F444" s="3">
        <f>F$1/B444</f>
        <v>1507.3861923424781</v>
      </c>
      <c r="G444" s="3">
        <f>F$1/C444</f>
        <v>1389.467833819647</v>
      </c>
      <c r="H444" s="2">
        <f>D444*F443</f>
        <v>272.06771463120742</v>
      </c>
      <c r="I444" s="2">
        <f>E444*G443</f>
        <v>460.63651591289539</v>
      </c>
      <c r="J444" s="2">
        <f>I444-H444</f>
        <v>188.56880128168797</v>
      </c>
      <c r="K444" s="2">
        <f t="shared" si="51"/>
        <v>-188.56880128168797</v>
      </c>
      <c r="L444" s="14">
        <f>C444/B444</f>
        <v>1.0848658426288815</v>
      </c>
      <c r="M444" s="14">
        <f t="shared" si="54"/>
        <v>1.0813251611685151</v>
      </c>
      <c r="N444" s="14">
        <f t="shared" si="58"/>
        <v>1.0812729610084353</v>
      </c>
      <c r="O444" s="14">
        <f t="shared" si="59"/>
        <v>1.0829755069081446</v>
      </c>
      <c r="P444" s="14">
        <f t="shared" si="52"/>
        <v>1.0801500121932437</v>
      </c>
      <c r="Q444" s="4" t="str">
        <f t="shared" si="57"/>
        <v>OVER</v>
      </c>
      <c r="R444" s="4" t="str">
        <f t="shared" si="57"/>
        <v>OVER</v>
      </c>
      <c r="S444" s="4" t="str">
        <f t="shared" si="55"/>
        <v>OVER</v>
      </c>
      <c r="T444" s="4" t="str">
        <f t="shared" si="55"/>
        <v>OVER</v>
      </c>
      <c r="U444" s="2">
        <f>IF(Q444="OVER",$J444,$K444)</f>
        <v>188.56880128168797</v>
      </c>
      <c r="V444" s="2">
        <f>IF(R444="OVER",$J444,$K444)</f>
        <v>188.56880128168797</v>
      </c>
      <c r="W444" s="2">
        <f>IF(S444="OVER",$J444,$K444)</f>
        <v>188.56880128168797</v>
      </c>
      <c r="X444" s="2">
        <f>IF(T444="OVER",$J444,$K444)</f>
        <v>188.56880128168797</v>
      </c>
      <c r="Y444" s="9">
        <f t="shared" si="56"/>
        <v>-13905.914357001027</v>
      </c>
      <c r="Z444" s="9">
        <f t="shared" si="56"/>
        <v>-13995.24224774203</v>
      </c>
      <c r="AA444" s="9">
        <f t="shared" si="56"/>
        <v>25223.695404660666</v>
      </c>
      <c r="AB444" s="9">
        <f t="shared" si="53"/>
        <v>6565.3292683364762</v>
      </c>
    </row>
    <row r="445" spans="1:28" x14ac:dyDescent="0.3">
      <c r="A445" s="1">
        <v>45057</v>
      </c>
      <c r="B445" s="2">
        <v>66.33</v>
      </c>
      <c r="C445" s="2">
        <v>71.91</v>
      </c>
      <c r="D445" s="9">
        <f>B445-B444</f>
        <v>-1.0000000000005116E-2</v>
      </c>
      <c r="E445" s="9">
        <f>C445-C444</f>
        <v>-6.0000000000002274E-2</v>
      </c>
      <c r="F445" s="3">
        <f>F$1/B445</f>
        <v>1507.6134479119555</v>
      </c>
      <c r="G445" s="3">
        <f>F$1/C445</f>
        <v>1390.6271728549577</v>
      </c>
      <c r="H445" s="2">
        <f>D445*F444</f>
        <v>-15.073861923432492</v>
      </c>
      <c r="I445" s="2">
        <f>E445*G444</f>
        <v>-83.368070029181979</v>
      </c>
      <c r="J445" s="2">
        <f>I445-H445</f>
        <v>-68.29420810574949</v>
      </c>
      <c r="K445" s="2">
        <f t="shared" si="51"/>
        <v>68.29420810574949</v>
      </c>
      <c r="L445" s="14">
        <f>C445/B445</f>
        <v>1.0841248303934872</v>
      </c>
      <c r="M445" s="14">
        <f t="shared" si="54"/>
        <v>1.0813954469734011</v>
      </c>
      <c r="N445" s="14">
        <f t="shared" si="58"/>
        <v>1.0814082213172536</v>
      </c>
      <c r="O445" s="14">
        <f t="shared" si="59"/>
        <v>1.0828911030533965</v>
      </c>
      <c r="P445" s="14">
        <f t="shared" si="52"/>
        <v>1.0802148481491864</v>
      </c>
      <c r="Q445" s="4" t="str">
        <f t="shared" si="57"/>
        <v>OVER</v>
      </c>
      <c r="R445" s="4" t="str">
        <f t="shared" si="57"/>
        <v>OVER</v>
      </c>
      <c r="S445" s="4" t="str">
        <f t="shared" si="55"/>
        <v>OVER</v>
      </c>
      <c r="T445" s="4" t="str">
        <f t="shared" si="55"/>
        <v>OVER</v>
      </c>
      <c r="U445" s="2">
        <f>IF(Q445="OVER",$J445,$K445)</f>
        <v>-68.29420810574949</v>
      </c>
      <c r="V445" s="2">
        <f>IF(R445="OVER",$J445,$K445)</f>
        <v>-68.29420810574949</v>
      </c>
      <c r="W445" s="2">
        <f>IF(S445="OVER",$J445,$K445)</f>
        <v>-68.29420810574949</v>
      </c>
      <c r="X445" s="2">
        <f>IF(T445="OVER",$J445,$K445)</f>
        <v>-68.29420810574949</v>
      </c>
      <c r="Y445" s="9">
        <f t="shared" si="56"/>
        <v>-13974.208565106777</v>
      </c>
      <c r="Z445" s="9">
        <f t="shared" si="56"/>
        <v>-14063.53645584778</v>
      </c>
      <c r="AA445" s="9">
        <f t="shared" si="56"/>
        <v>25155.401196554918</v>
      </c>
      <c r="AB445" s="9">
        <f t="shared" si="53"/>
        <v>6497.0350602307262</v>
      </c>
    </row>
    <row r="446" spans="1:28" x14ac:dyDescent="0.3">
      <c r="A446" s="1">
        <v>45058</v>
      </c>
      <c r="B446" s="2">
        <v>66.31</v>
      </c>
      <c r="C446" s="2">
        <v>71.819999999999993</v>
      </c>
      <c r="D446" s="9">
        <f>B446-B445</f>
        <v>-1.9999999999996021E-2</v>
      </c>
      <c r="E446" s="9">
        <f>C446-C445</f>
        <v>-9.0000000000003411E-2</v>
      </c>
      <c r="F446" s="3">
        <f>F$1/B446</f>
        <v>1508.0681646810435</v>
      </c>
      <c r="G446" s="3">
        <f>F$1/C446</f>
        <v>1392.3698134224451</v>
      </c>
      <c r="H446" s="2">
        <f>D446*F445</f>
        <v>-30.152268958233112</v>
      </c>
      <c r="I446" s="2">
        <f>E446*G445</f>
        <v>-125.15644555695094</v>
      </c>
      <c r="J446" s="2">
        <f>I446-H446</f>
        <v>-95.004176598717834</v>
      </c>
      <c r="K446" s="2">
        <f t="shared" si="51"/>
        <v>95.004176598717834</v>
      </c>
      <c r="L446" s="14">
        <f>C446/B446</f>
        <v>1.0830945558739253</v>
      </c>
      <c r="M446" s="14">
        <f t="shared" si="54"/>
        <v>1.0816176694849191</v>
      </c>
      <c r="N446" s="14">
        <f t="shared" si="58"/>
        <v>1.0815551728286108</v>
      </c>
      <c r="O446" s="14">
        <f t="shared" si="59"/>
        <v>1.0827807669927605</v>
      </c>
      <c r="P446" s="14">
        <f t="shared" si="52"/>
        <v>1.0802710439641101</v>
      </c>
      <c r="Q446" s="4" t="str">
        <f t="shared" si="57"/>
        <v>OVER</v>
      </c>
      <c r="R446" s="4" t="str">
        <f t="shared" si="57"/>
        <v>OVER</v>
      </c>
      <c r="S446" s="4" t="str">
        <f t="shared" si="55"/>
        <v>OVER</v>
      </c>
      <c r="T446" s="4" t="str">
        <f t="shared" si="55"/>
        <v>OVER</v>
      </c>
      <c r="U446" s="2">
        <f>IF(Q446="OVER",$J446,$K446)</f>
        <v>-95.004176598717834</v>
      </c>
      <c r="V446" s="2">
        <f>IF(R446="OVER",$J446,$K446)</f>
        <v>-95.004176598717834</v>
      </c>
      <c r="W446" s="2">
        <f>IF(S446="OVER",$J446,$K446)</f>
        <v>-95.004176598717834</v>
      </c>
      <c r="X446" s="2">
        <f>IF(T446="OVER",$J446,$K446)</f>
        <v>-95.004176598717834</v>
      </c>
      <c r="Y446" s="9">
        <f t="shared" si="56"/>
        <v>-14069.212741705494</v>
      </c>
      <c r="Z446" s="9">
        <f t="shared" si="56"/>
        <v>-14158.540632446497</v>
      </c>
      <c r="AA446" s="9">
        <f t="shared" si="56"/>
        <v>25060.397019956199</v>
      </c>
      <c r="AB446" s="9">
        <f t="shared" si="53"/>
        <v>6402.0308836320082</v>
      </c>
    </row>
    <row r="447" spans="1:28" x14ac:dyDescent="0.3">
      <c r="A447" s="1">
        <v>45061</v>
      </c>
      <c r="B447" s="2">
        <v>66.58</v>
      </c>
      <c r="C447" s="2">
        <v>72.11</v>
      </c>
      <c r="D447" s="9">
        <f>B447-B446</f>
        <v>0.26999999999999602</v>
      </c>
      <c r="E447" s="9">
        <f>C447-C446</f>
        <v>0.29000000000000625</v>
      </c>
      <c r="F447" s="3">
        <f>F$1/B447</f>
        <v>1501.9525382997897</v>
      </c>
      <c r="G447" s="3">
        <f>F$1/C447</f>
        <v>1386.7702121758425</v>
      </c>
      <c r="H447" s="2">
        <f>D447*F446</f>
        <v>407.17840446387578</v>
      </c>
      <c r="I447" s="2">
        <f>E447*G446</f>
        <v>403.78724589251777</v>
      </c>
      <c r="J447" s="2">
        <f>I447-H447</f>
        <v>-3.3911585713580052</v>
      </c>
      <c r="K447" s="2">
        <f t="shared" si="51"/>
        <v>3.3911585713580052</v>
      </c>
      <c r="L447" s="14">
        <f>C447/B447</f>
        <v>1.0830579753679783</v>
      </c>
      <c r="M447" s="14">
        <f t="shared" si="54"/>
        <v>1.0819143829944649</v>
      </c>
      <c r="N447" s="14">
        <f t="shared" si="58"/>
        <v>1.0816338871787172</v>
      </c>
      <c r="O447" s="14">
        <f t="shared" si="59"/>
        <v>1.0826830361356521</v>
      </c>
      <c r="P447" s="14">
        <f t="shared" si="52"/>
        <v>1.0803579314740861</v>
      </c>
      <c r="Q447" s="4" t="str">
        <f t="shared" si="57"/>
        <v>OVER</v>
      </c>
      <c r="R447" s="4" t="str">
        <f t="shared" si="57"/>
        <v>OVER</v>
      </c>
      <c r="S447" s="4" t="str">
        <f t="shared" si="55"/>
        <v>OVER</v>
      </c>
      <c r="T447" s="4" t="str">
        <f t="shared" si="55"/>
        <v>OVER</v>
      </c>
      <c r="U447" s="2">
        <f>IF(Q447="OVER",$J447,$K447)</f>
        <v>-3.3911585713580052</v>
      </c>
      <c r="V447" s="2">
        <f>IF(R447="OVER",$J447,$K447)</f>
        <v>-3.3911585713580052</v>
      </c>
      <c r="W447" s="2">
        <f>IF(S447="OVER",$J447,$K447)</f>
        <v>-3.3911585713580052</v>
      </c>
      <c r="X447" s="2">
        <f>IF(T447="OVER",$J447,$K447)</f>
        <v>-3.3911585713580052</v>
      </c>
      <c r="Y447" s="9">
        <f t="shared" si="56"/>
        <v>-14072.603900276852</v>
      </c>
      <c r="Z447" s="9">
        <f t="shared" si="56"/>
        <v>-14161.931791017854</v>
      </c>
      <c r="AA447" s="9">
        <f t="shared" si="56"/>
        <v>25057.005861384841</v>
      </c>
      <c r="AB447" s="9">
        <f t="shared" si="53"/>
        <v>6398.6397250606506</v>
      </c>
    </row>
    <row r="448" spans="1:28" x14ac:dyDescent="0.3">
      <c r="A448" s="1">
        <v>45062</v>
      </c>
      <c r="B448" s="2">
        <v>66.180000000000007</v>
      </c>
      <c r="C448" s="2">
        <v>71.760000000000005</v>
      </c>
      <c r="D448" s="9">
        <f>B448-B447</f>
        <v>-0.39999999999999147</v>
      </c>
      <c r="E448" s="9">
        <f>C448-C447</f>
        <v>-0.34999999999999432</v>
      </c>
      <c r="F448" s="3">
        <f>F$1/B448</f>
        <v>1511.0305228165607</v>
      </c>
      <c r="G448" s="3">
        <f>F$1/C448</f>
        <v>1393.5340022296543</v>
      </c>
      <c r="H448" s="2">
        <f>D448*F447</f>
        <v>-600.78101531990308</v>
      </c>
      <c r="I448" s="2">
        <f>E448*G447</f>
        <v>-485.36957426153702</v>
      </c>
      <c r="J448" s="2">
        <f>I448-H448</f>
        <v>115.41144105836605</v>
      </c>
      <c r="K448" s="2">
        <f t="shared" si="51"/>
        <v>-115.41144105836605</v>
      </c>
      <c r="L448" s="14">
        <f>C448/B448</f>
        <v>1.0843155031731642</v>
      </c>
      <c r="M448" s="14">
        <f t="shared" si="54"/>
        <v>1.0823459333117813</v>
      </c>
      <c r="N448" s="14">
        <f t="shared" si="58"/>
        <v>1.0817165677387481</v>
      </c>
      <c r="O448" s="14">
        <f t="shared" si="59"/>
        <v>1.0826450042884381</v>
      </c>
      <c r="P448" s="14">
        <f t="shared" si="52"/>
        <v>1.0804462737391061</v>
      </c>
      <c r="Q448" s="4" t="str">
        <f t="shared" si="57"/>
        <v>OVER</v>
      </c>
      <c r="R448" s="4" t="str">
        <f t="shared" si="57"/>
        <v>OVER</v>
      </c>
      <c r="S448" s="4" t="str">
        <f t="shared" si="55"/>
        <v>OVER</v>
      </c>
      <c r="T448" s="4" t="str">
        <f t="shared" si="55"/>
        <v>OVER</v>
      </c>
      <c r="U448" s="2">
        <f>IF(Q448="OVER",$J448,$K448)</f>
        <v>115.41144105836605</v>
      </c>
      <c r="V448" s="2">
        <f>IF(R448="OVER",$J448,$K448)</f>
        <v>115.41144105836605</v>
      </c>
      <c r="W448" s="2">
        <f>IF(S448="OVER",$J448,$K448)</f>
        <v>115.41144105836605</v>
      </c>
      <c r="X448" s="2">
        <f>IF(T448="OVER",$J448,$K448)</f>
        <v>115.41144105836605</v>
      </c>
      <c r="Y448" s="9">
        <f t="shared" si="56"/>
        <v>-13957.192459218486</v>
      </c>
      <c r="Z448" s="9">
        <f t="shared" si="56"/>
        <v>-14046.520349959488</v>
      </c>
      <c r="AA448" s="9">
        <f t="shared" si="56"/>
        <v>25172.417302443206</v>
      </c>
      <c r="AB448" s="9">
        <f t="shared" si="53"/>
        <v>6514.0511661190167</v>
      </c>
    </row>
    <row r="449" spans="1:28" x14ac:dyDescent="0.3">
      <c r="A449" s="1">
        <v>45063</v>
      </c>
      <c r="B449" s="2">
        <v>66.42</v>
      </c>
      <c r="C449" s="2">
        <v>72.17</v>
      </c>
      <c r="D449" s="9">
        <f>B449-B448</f>
        <v>0.23999999999999488</v>
      </c>
      <c r="E449" s="9">
        <f>C449-C448</f>
        <v>0.40999999999999659</v>
      </c>
      <c r="F449" s="3">
        <f>F$1/B449</f>
        <v>1505.5706112616681</v>
      </c>
      <c r="G449" s="3">
        <f>F$1/C449</f>
        <v>1385.6172925038104</v>
      </c>
      <c r="H449" s="2">
        <f>D449*F448</f>
        <v>362.64732547596685</v>
      </c>
      <c r="I449" s="2">
        <f>E449*G448</f>
        <v>571.34894091415356</v>
      </c>
      <c r="J449" s="2">
        <f>I449-H449</f>
        <v>208.70161543818671</v>
      </c>
      <c r="K449" s="2">
        <f t="shared" si="51"/>
        <v>-208.70161543818671</v>
      </c>
      <c r="L449" s="14">
        <f>C449/B449</f>
        <v>1.0865703101475459</v>
      </c>
      <c r="M449" s="14">
        <f t="shared" si="54"/>
        <v>1.0830640330288257</v>
      </c>
      <c r="N449" s="14">
        <f t="shared" si="58"/>
        <v>1.0818933776805957</v>
      </c>
      <c r="O449" s="14">
        <f t="shared" si="59"/>
        <v>1.0826259283670749</v>
      </c>
      <c r="P449" s="14">
        <f t="shared" si="52"/>
        <v>1.0805338907073709</v>
      </c>
      <c r="Q449" s="4" t="str">
        <f t="shared" si="57"/>
        <v>OVER</v>
      </c>
      <c r="R449" s="4" t="str">
        <f t="shared" si="57"/>
        <v>OVER</v>
      </c>
      <c r="S449" s="4" t="str">
        <f t="shared" si="55"/>
        <v>OVER</v>
      </c>
      <c r="T449" s="4" t="str">
        <f t="shared" si="55"/>
        <v>OVER</v>
      </c>
      <c r="U449" s="2">
        <f>IF(Q449="OVER",$J449,$K449)</f>
        <v>208.70161543818671</v>
      </c>
      <c r="V449" s="2">
        <f>IF(R449="OVER",$J449,$K449)</f>
        <v>208.70161543818671</v>
      </c>
      <c r="W449" s="2">
        <f>IF(S449="OVER",$J449,$K449)</f>
        <v>208.70161543818671</v>
      </c>
      <c r="X449" s="2">
        <f>IF(T449="OVER",$J449,$K449)</f>
        <v>208.70161543818671</v>
      </c>
      <c r="Y449" s="9">
        <f t="shared" si="56"/>
        <v>-13748.490843780299</v>
      </c>
      <c r="Z449" s="9">
        <f t="shared" si="56"/>
        <v>-13837.818734521301</v>
      </c>
      <c r="AA449" s="9">
        <f t="shared" si="56"/>
        <v>25381.118917881391</v>
      </c>
      <c r="AB449" s="9">
        <f t="shared" si="53"/>
        <v>6722.752781557203</v>
      </c>
    </row>
    <row r="450" spans="1:28" x14ac:dyDescent="0.3">
      <c r="A450" s="1">
        <v>45064</v>
      </c>
      <c r="B450" s="2">
        <v>66.58</v>
      </c>
      <c r="C450" s="2">
        <v>72.319999999999993</v>
      </c>
      <c r="D450" s="9">
        <f>B450-B449</f>
        <v>0.15999999999999659</v>
      </c>
      <c r="E450" s="9">
        <f>C450-C449</f>
        <v>0.14999999999999147</v>
      </c>
      <c r="F450" s="3">
        <f>F$1/B450</f>
        <v>1501.9525382997897</v>
      </c>
      <c r="G450" s="3">
        <f>F$1/C450</f>
        <v>1382.7433628318586</v>
      </c>
      <c r="H450" s="2">
        <f>D450*F449</f>
        <v>240.89129780186175</v>
      </c>
      <c r="I450" s="2">
        <f>E450*G449</f>
        <v>207.84259387555974</v>
      </c>
      <c r="J450" s="2">
        <f>I450-H450</f>
        <v>-33.048703926302011</v>
      </c>
      <c r="K450" s="2">
        <f t="shared" si="51"/>
        <v>33.048703926302011</v>
      </c>
      <c r="L450" s="14">
        <f>C450/B450</f>
        <v>1.0862120756984079</v>
      </c>
      <c r="M450" s="14">
        <f t="shared" si="54"/>
        <v>1.0838672531196623</v>
      </c>
      <c r="N450" s="14">
        <f t="shared" si="58"/>
        <v>1.0821772868044484</v>
      </c>
      <c r="O450" s="14">
        <f t="shared" si="59"/>
        <v>1.0826619930526793</v>
      </c>
      <c r="P450" s="14">
        <f t="shared" si="52"/>
        <v>1.080604186941851</v>
      </c>
      <c r="Q450" s="4" t="str">
        <f t="shared" si="57"/>
        <v>OVER</v>
      </c>
      <c r="R450" s="4" t="str">
        <f t="shared" si="57"/>
        <v>OVER</v>
      </c>
      <c r="S450" s="4" t="str">
        <f t="shared" si="55"/>
        <v>OVER</v>
      </c>
      <c r="T450" s="4" t="str">
        <f t="shared" si="55"/>
        <v>OVER</v>
      </c>
      <c r="U450" s="2">
        <f>IF(Q450="OVER",$J450,$K450)</f>
        <v>-33.048703926302011</v>
      </c>
      <c r="V450" s="2">
        <f>IF(R450="OVER",$J450,$K450)</f>
        <v>-33.048703926302011</v>
      </c>
      <c r="W450" s="2">
        <f>IF(S450="OVER",$J450,$K450)</f>
        <v>-33.048703926302011</v>
      </c>
      <c r="X450" s="2">
        <f>IF(T450="OVER",$J450,$K450)</f>
        <v>-33.048703926302011</v>
      </c>
      <c r="Y450" s="9">
        <f t="shared" si="56"/>
        <v>-13781.539547706601</v>
      </c>
      <c r="Z450" s="9">
        <f t="shared" si="56"/>
        <v>-13870.867438447603</v>
      </c>
      <c r="AA450" s="9">
        <f t="shared" si="56"/>
        <v>25348.070213955089</v>
      </c>
      <c r="AB450" s="9">
        <f t="shared" si="53"/>
        <v>6689.7040776309013</v>
      </c>
    </row>
    <row r="451" spans="1:28" x14ac:dyDescent="0.3">
      <c r="A451" s="1">
        <v>45065</v>
      </c>
      <c r="B451" s="2">
        <v>66.53</v>
      </c>
      <c r="C451" s="2">
        <v>72.260000000000005</v>
      </c>
      <c r="D451" s="9">
        <f>B451-B450</f>
        <v>-4.9999999999997158E-2</v>
      </c>
      <c r="E451" s="9">
        <f>C451-C450</f>
        <v>-5.9999999999988063E-2</v>
      </c>
      <c r="F451" s="3">
        <f>F$1/B451</f>
        <v>1503.0813166992334</v>
      </c>
      <c r="G451" s="3">
        <f>F$1/C451</f>
        <v>1383.891502906172</v>
      </c>
      <c r="H451" s="2">
        <f>D451*F450</f>
        <v>-75.097626914985213</v>
      </c>
      <c r="I451" s="2">
        <f>E451*G450</f>
        <v>-82.964601769895012</v>
      </c>
      <c r="J451" s="2">
        <f>I451-H451</f>
        <v>-7.8669748549097989</v>
      </c>
      <c r="K451" s="2">
        <f t="shared" si="51"/>
        <v>7.8669748549097989</v>
      </c>
      <c r="L451" s="14">
        <f>C451/B451</f>
        <v>1.0861265594468661</v>
      </c>
      <c r="M451" s="14">
        <f t="shared" si="54"/>
        <v>1.0844429785361211</v>
      </c>
      <c r="N451" s="14">
        <f t="shared" si="58"/>
        <v>1.0824007567761913</v>
      </c>
      <c r="O451" s="14">
        <f t="shared" si="59"/>
        <v>1.0826562405025124</v>
      </c>
      <c r="P451" s="14">
        <f t="shared" si="52"/>
        <v>1.0806734873712363</v>
      </c>
      <c r="Q451" s="4" t="str">
        <f t="shared" si="57"/>
        <v>OVER</v>
      </c>
      <c r="R451" s="4" t="str">
        <f t="shared" si="57"/>
        <v>OVER</v>
      </c>
      <c r="S451" s="4" t="str">
        <f t="shared" si="55"/>
        <v>OVER</v>
      </c>
      <c r="T451" s="4" t="str">
        <f t="shared" si="55"/>
        <v>OVER</v>
      </c>
      <c r="U451" s="2">
        <f>IF(Q451="OVER",$J451,$K451)</f>
        <v>-7.8669748549097989</v>
      </c>
      <c r="V451" s="2">
        <f>IF(R451="OVER",$J451,$K451)</f>
        <v>-7.8669748549097989</v>
      </c>
      <c r="W451" s="2">
        <f>IF(S451="OVER",$J451,$K451)</f>
        <v>-7.8669748549097989</v>
      </c>
      <c r="X451" s="2">
        <f>IF(T451="OVER",$J451,$K451)</f>
        <v>-7.8669748549097989</v>
      </c>
      <c r="Y451" s="9">
        <f t="shared" si="56"/>
        <v>-13789.40652256151</v>
      </c>
      <c r="Z451" s="9">
        <f t="shared" si="56"/>
        <v>-13878.734413302513</v>
      </c>
      <c r="AA451" s="9">
        <f t="shared" si="56"/>
        <v>25340.203239100178</v>
      </c>
      <c r="AB451" s="9">
        <f t="shared" si="53"/>
        <v>6681.8371027759913</v>
      </c>
    </row>
    <row r="452" spans="1:28" x14ac:dyDescent="0.3">
      <c r="A452" s="1">
        <v>45068</v>
      </c>
      <c r="B452" s="2">
        <v>66.73</v>
      </c>
      <c r="C452" s="2">
        <v>72.53</v>
      </c>
      <c r="D452" s="9">
        <f>B452-B451</f>
        <v>0.20000000000000284</v>
      </c>
      <c r="E452" s="9">
        <f>C452-C451</f>
        <v>0.26999999999999602</v>
      </c>
      <c r="F452" s="3">
        <f>F$1/B452</f>
        <v>1498.5763524651579</v>
      </c>
      <c r="G452" s="3">
        <f>F$1/C452</f>
        <v>1378.7398317937404</v>
      </c>
      <c r="H452" s="2">
        <f>D452*F451</f>
        <v>300.61626333985095</v>
      </c>
      <c r="I452" s="2">
        <f>E452*G451</f>
        <v>373.65070578466094</v>
      </c>
      <c r="J452" s="2">
        <f>I452-H452</f>
        <v>73.034442444809997</v>
      </c>
      <c r="K452" s="2">
        <f t="shared" si="51"/>
        <v>-73.034442444809997</v>
      </c>
      <c r="L452" s="14">
        <f>C452/B452</f>
        <v>1.0869174284429792</v>
      </c>
      <c r="M452" s="14">
        <f t="shared" si="54"/>
        <v>1.08481145854054</v>
      </c>
      <c r="N452" s="14">
        <f t="shared" si="58"/>
        <v>1.0827984711710703</v>
      </c>
      <c r="O452" s="14">
        <f t="shared" si="59"/>
        <v>1.0827198022260613</v>
      </c>
      <c r="P452" s="14">
        <f t="shared" si="52"/>
        <v>1.080745398966904</v>
      </c>
      <c r="Q452" s="4" t="str">
        <f t="shared" si="57"/>
        <v>OVER</v>
      </c>
      <c r="R452" s="4" t="str">
        <f t="shared" si="57"/>
        <v>OVER</v>
      </c>
      <c r="S452" s="4" t="str">
        <f t="shared" si="55"/>
        <v>OVER</v>
      </c>
      <c r="T452" s="4" t="str">
        <f t="shared" si="55"/>
        <v>OVER</v>
      </c>
      <c r="U452" s="2">
        <f>IF(Q452="OVER",$J452,$K452)</f>
        <v>73.034442444809997</v>
      </c>
      <c r="V452" s="2">
        <f>IF(R452="OVER",$J452,$K452)</f>
        <v>73.034442444809997</v>
      </c>
      <c r="W452" s="2">
        <f>IF(S452="OVER",$J452,$K452)</f>
        <v>73.034442444809997</v>
      </c>
      <c r="X452" s="2">
        <f>IF(T452="OVER",$J452,$K452)</f>
        <v>73.034442444809997</v>
      </c>
      <c r="Y452" s="9">
        <f t="shared" si="56"/>
        <v>-13716.3720801167</v>
      </c>
      <c r="Z452" s="9">
        <f t="shared" si="56"/>
        <v>-13805.699970857702</v>
      </c>
      <c r="AA452" s="9">
        <f t="shared" si="56"/>
        <v>25413.237681544986</v>
      </c>
      <c r="AB452" s="9">
        <f t="shared" si="53"/>
        <v>6754.8715452208016</v>
      </c>
    </row>
    <row r="453" spans="1:28" x14ac:dyDescent="0.3">
      <c r="A453" s="1">
        <v>45069</v>
      </c>
      <c r="B453" s="2">
        <v>66.48</v>
      </c>
      <c r="C453" s="2">
        <v>72.19</v>
      </c>
      <c r="D453" s="9">
        <f>B453-B452</f>
        <v>-0.25</v>
      </c>
      <c r="E453" s="9">
        <f>C453-C452</f>
        <v>-0.34000000000000341</v>
      </c>
      <c r="F453" s="3">
        <f>F$1/B453</f>
        <v>1504.2117930204572</v>
      </c>
      <c r="G453" s="3">
        <f>F$1/C453</f>
        <v>1385.2334118298934</v>
      </c>
      <c r="H453" s="2">
        <f>D453*F452</f>
        <v>-374.64408811628948</v>
      </c>
      <c r="I453" s="2">
        <f>E453*G452</f>
        <v>-468.77154280987645</v>
      </c>
      <c r="J453" s="2">
        <f>I453-H453</f>
        <v>-94.127454693586969</v>
      </c>
      <c r="K453" s="2">
        <f t="shared" ref="K453:K516" si="60">H453-I453</f>
        <v>94.127454693586969</v>
      </c>
      <c r="L453" s="14">
        <f>C453/B453</f>
        <v>1.0858904933814679</v>
      </c>
      <c r="M453" s="14">
        <f t="shared" si="54"/>
        <v>1.0851175574554703</v>
      </c>
      <c r="N453" s="14">
        <f t="shared" si="58"/>
        <v>1.0830617173706629</v>
      </c>
      <c r="O453" s="14">
        <f t="shared" si="59"/>
        <v>1.082780170519275</v>
      </c>
      <c r="P453" s="14">
        <f t="shared" si="52"/>
        <v>1.0808159512890936</v>
      </c>
      <c r="Q453" s="4" t="str">
        <f t="shared" si="57"/>
        <v>OVER</v>
      </c>
      <c r="R453" s="4" t="str">
        <f t="shared" si="57"/>
        <v>OVER</v>
      </c>
      <c r="S453" s="4" t="str">
        <f t="shared" si="55"/>
        <v>OVER</v>
      </c>
      <c r="T453" s="4" t="str">
        <f t="shared" si="55"/>
        <v>OVER</v>
      </c>
      <c r="U453" s="2">
        <f>IF(Q453="OVER",$J453,$K453)</f>
        <v>-94.127454693586969</v>
      </c>
      <c r="V453" s="2">
        <f>IF(R453="OVER",$J453,$K453)</f>
        <v>-94.127454693586969</v>
      </c>
      <c r="W453" s="2">
        <f>IF(S453="OVER",$J453,$K453)</f>
        <v>-94.127454693586969</v>
      </c>
      <c r="X453" s="2">
        <f>IF(T453="OVER",$J453,$K453)</f>
        <v>-94.127454693586969</v>
      </c>
      <c r="Y453" s="9">
        <f t="shared" si="56"/>
        <v>-13810.499534810288</v>
      </c>
      <c r="Z453" s="9">
        <f t="shared" si="56"/>
        <v>-13899.82742555129</v>
      </c>
      <c r="AA453" s="9">
        <f t="shared" si="56"/>
        <v>25319.110226851401</v>
      </c>
      <c r="AB453" s="9">
        <f t="shared" si="53"/>
        <v>6660.7440905272142</v>
      </c>
    </row>
    <row r="454" spans="1:28" x14ac:dyDescent="0.3">
      <c r="A454" s="1">
        <v>45070</v>
      </c>
      <c r="B454" s="2">
        <v>66.39</v>
      </c>
      <c r="C454" s="2">
        <v>72.05</v>
      </c>
      <c r="D454" s="9">
        <f>B454-B453</f>
        <v>-9.0000000000003411E-2</v>
      </c>
      <c r="E454" s="9">
        <f>C454-C453</f>
        <v>-0.14000000000000057</v>
      </c>
      <c r="F454" s="3">
        <f>F$1/B454</f>
        <v>1506.2509414068384</v>
      </c>
      <c r="G454" s="3">
        <f>F$1/C454</f>
        <v>1387.9250520471894</v>
      </c>
      <c r="H454" s="2">
        <f>D454*F453</f>
        <v>-135.37906137184629</v>
      </c>
      <c r="I454" s="2">
        <f>E454*G453</f>
        <v>-193.93267765618586</v>
      </c>
      <c r="J454" s="2">
        <f>I454-H454</f>
        <v>-58.553616284339569</v>
      </c>
      <c r="K454" s="2">
        <f t="shared" si="60"/>
        <v>58.553616284339569</v>
      </c>
      <c r="L454" s="14">
        <f>C454/B454</f>
        <v>1.085253803283627</v>
      </c>
      <c r="M454" s="14">
        <f t="shared" si="54"/>
        <v>1.0851563535209447</v>
      </c>
      <c r="N454" s="14">
        <f t="shared" si="58"/>
        <v>1.0832407573447302</v>
      </c>
      <c r="O454" s="14">
        <f t="shared" si="59"/>
        <v>1.0828734348347169</v>
      </c>
      <c r="P454" s="14">
        <f t="shared" si="52"/>
        <v>1.0808770154169423</v>
      </c>
      <c r="Q454" s="4" t="str">
        <f t="shared" si="57"/>
        <v>OVER</v>
      </c>
      <c r="R454" s="4" t="str">
        <f t="shared" si="57"/>
        <v>OVER</v>
      </c>
      <c r="S454" s="4" t="str">
        <f t="shared" si="55"/>
        <v>OVER</v>
      </c>
      <c r="T454" s="4" t="str">
        <f t="shared" si="55"/>
        <v>OVER</v>
      </c>
      <c r="U454" s="2">
        <f>IF(Q454="OVER",$J454,$K454)</f>
        <v>-58.553616284339569</v>
      </c>
      <c r="V454" s="2">
        <f>IF(R454="OVER",$J454,$K454)</f>
        <v>-58.553616284339569</v>
      </c>
      <c r="W454" s="2">
        <f>IF(S454="OVER",$J454,$K454)</f>
        <v>-58.553616284339569</v>
      </c>
      <c r="X454" s="2">
        <f>IF(T454="OVER",$J454,$K454)</f>
        <v>-58.553616284339569</v>
      </c>
      <c r="Y454" s="9">
        <f t="shared" si="56"/>
        <v>-13869.053151094628</v>
      </c>
      <c r="Z454" s="9">
        <f t="shared" si="56"/>
        <v>-13958.38104183563</v>
      </c>
      <c r="AA454" s="9">
        <f t="shared" si="56"/>
        <v>25260.556610567062</v>
      </c>
      <c r="AB454" s="9">
        <f t="shared" si="53"/>
        <v>6602.1904742428742</v>
      </c>
    </row>
    <row r="455" spans="1:28" x14ac:dyDescent="0.3">
      <c r="A455" s="1">
        <v>45071</v>
      </c>
      <c r="B455" s="2">
        <v>66.33</v>
      </c>
      <c r="C455" s="2">
        <v>71.989999999999995</v>
      </c>
      <c r="D455" s="9">
        <f>B455-B454</f>
        <v>-6.0000000000002274E-2</v>
      </c>
      <c r="E455" s="9">
        <f>C455-C454</f>
        <v>-6.0000000000002274E-2</v>
      </c>
      <c r="F455" s="3">
        <f>F$1/B455</f>
        <v>1507.6134479119555</v>
      </c>
      <c r="G455" s="3">
        <f>F$1/C455</f>
        <v>1389.0818169190165</v>
      </c>
      <c r="H455" s="2">
        <f>D455*F454</f>
        <v>-90.375056484413733</v>
      </c>
      <c r="I455" s="2">
        <f>E455*G454</f>
        <v>-83.275503122834522</v>
      </c>
      <c r="J455" s="2">
        <f>I455-H455</f>
        <v>7.0995533615792112</v>
      </c>
      <c r="K455" s="2">
        <f t="shared" si="60"/>
        <v>-7.0995533615792112</v>
      </c>
      <c r="L455" s="14">
        <f>C455/B455</f>
        <v>1.0853309211518167</v>
      </c>
      <c r="M455" s="14">
        <f t="shared" si="54"/>
        <v>1.085276962596778</v>
      </c>
      <c r="N455" s="14">
        <f t="shared" si="58"/>
        <v>1.0833362047850896</v>
      </c>
      <c r="O455" s="14">
        <f t="shared" si="59"/>
        <v>1.0829490990416286</v>
      </c>
      <c r="P455" s="14">
        <f t="shared" si="52"/>
        <v>1.0809338904403345</v>
      </c>
      <c r="Q455" s="4" t="str">
        <f t="shared" si="57"/>
        <v>OVER</v>
      </c>
      <c r="R455" s="4" t="str">
        <f t="shared" si="57"/>
        <v>OVER</v>
      </c>
      <c r="S455" s="4" t="str">
        <f t="shared" si="55"/>
        <v>OVER</v>
      </c>
      <c r="T455" s="4" t="str">
        <f t="shared" si="55"/>
        <v>OVER</v>
      </c>
      <c r="U455" s="2">
        <f>IF(Q455="OVER",$J455,$K455)</f>
        <v>7.0995533615792112</v>
      </c>
      <c r="V455" s="2">
        <f>IF(R455="OVER",$J455,$K455)</f>
        <v>7.0995533615792112</v>
      </c>
      <c r="W455" s="2">
        <f>IF(S455="OVER",$J455,$K455)</f>
        <v>7.0995533615792112</v>
      </c>
      <c r="X455" s="2">
        <f>IF(T455="OVER",$J455,$K455)</f>
        <v>7.0995533615792112</v>
      </c>
      <c r="Y455" s="9">
        <f t="shared" si="56"/>
        <v>-13861.953597733049</v>
      </c>
      <c r="Z455" s="9">
        <f t="shared" si="56"/>
        <v>-13951.281488474051</v>
      </c>
      <c r="AA455" s="9">
        <f t="shared" si="56"/>
        <v>25267.656163928641</v>
      </c>
      <c r="AB455" s="9">
        <f t="shared" si="53"/>
        <v>6609.2900276044538</v>
      </c>
    </row>
    <row r="456" spans="1:28" x14ac:dyDescent="0.3">
      <c r="A456" s="1">
        <v>45072</v>
      </c>
      <c r="B456" s="2">
        <v>66.64</v>
      </c>
      <c r="C456" s="2">
        <v>72.349999999999994</v>
      </c>
      <c r="D456" s="9">
        <f>B456-B455</f>
        <v>0.31000000000000227</v>
      </c>
      <c r="E456" s="9">
        <f>C456-C455</f>
        <v>0.35999999999999943</v>
      </c>
      <c r="F456" s="3">
        <f>F$1/B456</f>
        <v>1500.6002400960383</v>
      </c>
      <c r="G456" s="3">
        <f>F$1/C456</f>
        <v>1382.1700069108501</v>
      </c>
      <c r="H456" s="2">
        <f>D456*F455</f>
        <v>467.36016885270965</v>
      </c>
      <c r="I456" s="2">
        <f>E456*G455</f>
        <v>500.06945409084517</v>
      </c>
      <c r="J456" s="2">
        <f>I456-H456</f>
        <v>32.709285238135521</v>
      </c>
      <c r="K456" s="2">
        <f t="shared" si="60"/>
        <v>-32.709285238135521</v>
      </c>
      <c r="L456" s="14">
        <f>C456/B456</f>
        <v>1.0856842737094836</v>
      </c>
      <c r="M456" s="14">
        <f t="shared" si="54"/>
        <v>1.0855359343803337</v>
      </c>
      <c r="N456" s="14">
        <f t="shared" si="58"/>
        <v>1.0835768019326264</v>
      </c>
      <c r="O456" s="14">
        <f t="shared" si="59"/>
        <v>1.0829490224874083</v>
      </c>
      <c r="P456" s="14">
        <f t="shared" si="52"/>
        <v>1.0809605388606407</v>
      </c>
      <c r="Q456" s="4" t="str">
        <f t="shared" si="57"/>
        <v>OVER</v>
      </c>
      <c r="R456" s="4" t="str">
        <f t="shared" si="57"/>
        <v>OVER</v>
      </c>
      <c r="S456" s="4" t="str">
        <f t="shared" si="55"/>
        <v>OVER</v>
      </c>
      <c r="T456" s="4" t="str">
        <f t="shared" si="55"/>
        <v>OVER</v>
      </c>
      <c r="U456" s="2">
        <f>IF(Q456="OVER",$J456,$K456)</f>
        <v>32.709285238135521</v>
      </c>
      <c r="V456" s="2">
        <f>IF(R456="OVER",$J456,$K456)</f>
        <v>32.709285238135521</v>
      </c>
      <c r="W456" s="2">
        <f>IF(S456="OVER",$J456,$K456)</f>
        <v>32.709285238135521</v>
      </c>
      <c r="X456" s="2">
        <f>IF(T456="OVER",$J456,$K456)</f>
        <v>32.709285238135521</v>
      </c>
      <c r="Y456" s="9">
        <f t="shared" si="56"/>
        <v>-13829.244312494913</v>
      </c>
      <c r="Z456" s="9">
        <f t="shared" si="56"/>
        <v>-13918.572203235915</v>
      </c>
      <c r="AA456" s="9">
        <f t="shared" si="56"/>
        <v>25300.365449166777</v>
      </c>
      <c r="AB456" s="9">
        <f t="shared" si="53"/>
        <v>6641.9993128425895</v>
      </c>
    </row>
    <row r="457" spans="1:28" x14ac:dyDescent="0.3">
      <c r="A457" s="1">
        <v>45076</v>
      </c>
      <c r="B457" s="2">
        <v>66.900000000000006</v>
      </c>
      <c r="C457" s="2">
        <v>72.400000000000006</v>
      </c>
      <c r="D457" s="9">
        <f>B457-B456</f>
        <v>0.26000000000000512</v>
      </c>
      <c r="E457" s="9">
        <f>C457-C456</f>
        <v>5.0000000000011369E-2</v>
      </c>
      <c r="F457" s="3">
        <f>F$1/B457</f>
        <v>1494.7683109118086</v>
      </c>
      <c r="G457" s="3">
        <f>F$1/C457</f>
        <v>1381.2154696132595</v>
      </c>
      <c r="H457" s="2">
        <f>D457*F456</f>
        <v>390.15606242497762</v>
      </c>
      <c r="I457" s="2">
        <f>E457*G456</f>
        <v>69.108500345558227</v>
      </c>
      <c r="J457" s="2">
        <f>I457-H457</f>
        <v>-321.04756207941938</v>
      </c>
      <c r="K457" s="2">
        <f t="shared" si="60"/>
        <v>321.04756207941938</v>
      </c>
      <c r="L457" s="14">
        <f>C457/B457</f>
        <v>1.0822122571001496</v>
      </c>
      <c r="M457" s="14">
        <f t="shared" si="54"/>
        <v>1.0854513625535509</v>
      </c>
      <c r="N457" s="14">
        <f t="shared" si="58"/>
        <v>1.0836828727740078</v>
      </c>
      <c r="O457" s="14">
        <f t="shared" si="59"/>
        <v>1.0828606933872202</v>
      </c>
      <c r="P457" s="14">
        <f t="shared" si="52"/>
        <v>1.0809928554956421</v>
      </c>
      <c r="Q457" s="4" t="str">
        <f t="shared" si="57"/>
        <v>OVER</v>
      </c>
      <c r="R457" s="4" t="str">
        <f t="shared" si="57"/>
        <v>OVER</v>
      </c>
      <c r="S457" s="4" t="str">
        <f t="shared" si="55"/>
        <v>UNDER</v>
      </c>
      <c r="T457" s="4" t="str">
        <f t="shared" si="55"/>
        <v>OVER</v>
      </c>
      <c r="U457" s="2">
        <f>IF(Q457="OVER",$J457,$K457)</f>
        <v>-321.04756207941938</v>
      </c>
      <c r="V457" s="2">
        <f>IF(R457="OVER",$J457,$K457)</f>
        <v>-321.04756207941938</v>
      </c>
      <c r="W457" s="2">
        <f>IF(S457="OVER",$J457,$K457)</f>
        <v>321.04756207941938</v>
      </c>
      <c r="X457" s="2">
        <f>IF(T457="OVER",$J457,$K457)</f>
        <v>-321.04756207941938</v>
      </c>
      <c r="Y457" s="9">
        <f t="shared" si="56"/>
        <v>-14150.291874574332</v>
      </c>
      <c r="Z457" s="9">
        <f t="shared" si="56"/>
        <v>-14239.619765315334</v>
      </c>
      <c r="AA457" s="9">
        <f t="shared" si="56"/>
        <v>25621.413011246197</v>
      </c>
      <c r="AB457" s="9">
        <f t="shared" si="53"/>
        <v>6320.9517507631699</v>
      </c>
    </row>
    <row r="458" spans="1:28" x14ac:dyDescent="0.3">
      <c r="A458" s="1">
        <v>45077</v>
      </c>
      <c r="B458" s="2">
        <v>66.86</v>
      </c>
      <c r="C458" s="2">
        <v>72.41</v>
      </c>
      <c r="D458" s="9">
        <f>B458-B457</f>
        <v>-4.0000000000006253E-2</v>
      </c>
      <c r="E458" s="9">
        <f>C458-C457</f>
        <v>9.9999999999909051E-3</v>
      </c>
      <c r="F458" s="3">
        <f>F$1/B458</f>
        <v>1495.6625785222855</v>
      </c>
      <c r="G458" s="3">
        <f>F$1/C458</f>
        <v>1381.0247203424942</v>
      </c>
      <c r="H458" s="2">
        <f>D458*F457</f>
        <v>-59.79073243648169</v>
      </c>
      <c r="I458" s="2">
        <f>E458*G457</f>
        <v>13.812154696120032</v>
      </c>
      <c r="J458" s="2">
        <f>I458-H458</f>
        <v>73.602887132601722</v>
      </c>
      <c r="K458" s="2">
        <f t="shared" si="60"/>
        <v>-73.602887132601722</v>
      </c>
      <c r="L458" s="14">
        <f>C458/B458</f>
        <v>1.0830092731079868</v>
      </c>
      <c r="M458" s="14">
        <f t="shared" si="54"/>
        <v>1.0853207395470332</v>
      </c>
      <c r="N458" s="14">
        <f t="shared" si="58"/>
        <v>1.0838333364294068</v>
      </c>
      <c r="O458" s="14">
        <f t="shared" si="59"/>
        <v>1.0828168567431475</v>
      </c>
      <c r="P458" s="14">
        <f t="shared" si="52"/>
        <v>1.0810183924592309</v>
      </c>
      <c r="Q458" s="4" t="str">
        <f t="shared" si="57"/>
        <v>UNDER</v>
      </c>
      <c r="R458" s="4" t="str">
        <f t="shared" si="57"/>
        <v>UNDER</v>
      </c>
      <c r="S458" s="4" t="str">
        <f t="shared" si="55"/>
        <v>OVER</v>
      </c>
      <c r="T458" s="4" t="str">
        <f t="shared" si="55"/>
        <v>OVER</v>
      </c>
      <c r="U458" s="2">
        <f>IF(Q458="OVER",$J458,$K458)</f>
        <v>-73.602887132601722</v>
      </c>
      <c r="V458" s="2">
        <f>IF(R458="OVER",$J458,$K458)</f>
        <v>-73.602887132601722</v>
      </c>
      <c r="W458" s="2">
        <f>IF(S458="OVER",$J458,$K458)</f>
        <v>73.602887132601722</v>
      </c>
      <c r="X458" s="2">
        <f>IF(T458="OVER",$J458,$K458)</f>
        <v>73.602887132601722</v>
      </c>
      <c r="Y458" s="9">
        <f t="shared" si="56"/>
        <v>-14223.894761706933</v>
      </c>
      <c r="Z458" s="9">
        <f t="shared" si="56"/>
        <v>-14313.222652447936</v>
      </c>
      <c r="AA458" s="9">
        <f t="shared" si="56"/>
        <v>25695.015898378799</v>
      </c>
      <c r="AB458" s="9">
        <f t="shared" si="53"/>
        <v>6394.5546378957715</v>
      </c>
    </row>
    <row r="459" spans="1:28" x14ac:dyDescent="0.3">
      <c r="A459" s="1">
        <v>45078</v>
      </c>
      <c r="B459" s="2">
        <v>67.03</v>
      </c>
      <c r="C459" s="2">
        <v>72.77</v>
      </c>
      <c r="D459" s="9">
        <f>B459-B458</f>
        <v>0.17000000000000171</v>
      </c>
      <c r="E459" s="9">
        <f>C459-C458</f>
        <v>0.35999999999999943</v>
      </c>
      <c r="F459" s="3">
        <f>F$1/B459</f>
        <v>1491.8693122482471</v>
      </c>
      <c r="G459" s="3">
        <f>F$1/C459</f>
        <v>1374.1926618111861</v>
      </c>
      <c r="H459" s="2">
        <f>D459*F458</f>
        <v>254.26263834879109</v>
      </c>
      <c r="I459" s="2">
        <f>E459*G458</f>
        <v>497.16889932329713</v>
      </c>
      <c r="J459" s="2">
        <f>I459-H459</f>
        <v>242.90626097450604</v>
      </c>
      <c r="K459" s="2">
        <f t="shared" si="60"/>
        <v>-242.90626097450604</v>
      </c>
      <c r="L459" s="14">
        <f>C459/B459</f>
        <v>1.0856332985230492</v>
      </c>
      <c r="M459" s="14">
        <f t="shared" si="54"/>
        <v>1.0852270383845835</v>
      </c>
      <c r="N459" s="14">
        <f t="shared" si="58"/>
        <v>1.0841455357067045</v>
      </c>
      <c r="O459" s="14">
        <f t="shared" si="59"/>
        <v>1.082896250096729</v>
      </c>
      <c r="P459" s="14">
        <f t="shared" ref="P459:P522" si="61">AVERAGE(L260:L459)</f>
        <v>1.08106405297519</v>
      </c>
      <c r="Q459" s="4" t="str">
        <f t="shared" si="57"/>
        <v>UNDER</v>
      </c>
      <c r="R459" s="4" t="str">
        <f t="shared" si="57"/>
        <v>UNDER</v>
      </c>
      <c r="S459" s="4" t="str">
        <f t="shared" si="55"/>
        <v>OVER</v>
      </c>
      <c r="T459" s="4" t="str">
        <f t="shared" si="55"/>
        <v>OVER</v>
      </c>
      <c r="U459" s="2">
        <f>IF(Q459="OVER",$J459,$K459)</f>
        <v>-242.90626097450604</v>
      </c>
      <c r="V459" s="2">
        <f>IF(R459="OVER",$J459,$K459)</f>
        <v>-242.90626097450604</v>
      </c>
      <c r="W459" s="2">
        <f>IF(S459="OVER",$J459,$K459)</f>
        <v>242.90626097450604</v>
      </c>
      <c r="X459" s="2">
        <f>IF(T459="OVER",$J459,$K459)</f>
        <v>242.90626097450604</v>
      </c>
      <c r="Y459" s="9">
        <f t="shared" si="56"/>
        <v>-14466.80102268144</v>
      </c>
      <c r="Z459" s="9">
        <f t="shared" si="56"/>
        <v>-14556.128913422443</v>
      </c>
      <c r="AA459" s="9">
        <f t="shared" si="56"/>
        <v>25937.922159353304</v>
      </c>
      <c r="AB459" s="9">
        <f t="shared" si="53"/>
        <v>6637.4608988702776</v>
      </c>
    </row>
    <row r="460" spans="1:28" x14ac:dyDescent="0.3">
      <c r="A460" s="1">
        <v>45079</v>
      </c>
      <c r="B460" s="2">
        <v>67.599999999999994</v>
      </c>
      <c r="C460" s="2">
        <v>73.52</v>
      </c>
      <c r="D460" s="9">
        <f>B460-B459</f>
        <v>0.56999999999999318</v>
      </c>
      <c r="E460" s="9">
        <f>C460-C459</f>
        <v>0.75</v>
      </c>
      <c r="F460" s="3">
        <f>F$1/B460</f>
        <v>1479.2899408284025</v>
      </c>
      <c r="G460" s="3">
        <f>F$1/C460</f>
        <v>1360.1741022850927</v>
      </c>
      <c r="H460" s="2">
        <f>D460*F459</f>
        <v>850.36550798149062</v>
      </c>
      <c r="I460" s="2">
        <f>E460*G459</f>
        <v>1030.6444963583895</v>
      </c>
      <c r="J460" s="2">
        <f>I460-H460</f>
        <v>180.27898837689884</v>
      </c>
      <c r="K460" s="2">
        <f t="shared" si="60"/>
        <v>-180.27898837689884</v>
      </c>
      <c r="L460" s="14">
        <f>C460/B460</f>
        <v>1.0875739644970415</v>
      </c>
      <c r="M460" s="14">
        <f t="shared" si="54"/>
        <v>1.0853632272644469</v>
      </c>
      <c r="N460" s="14">
        <f t="shared" si="58"/>
        <v>1.0846152401920546</v>
      </c>
      <c r="O460" s="14">
        <f t="shared" si="59"/>
        <v>1.0830352694691252</v>
      </c>
      <c r="P460" s="14">
        <f t="shared" si="61"/>
        <v>1.08111974821017</v>
      </c>
      <c r="Q460" s="4" t="str">
        <f t="shared" si="57"/>
        <v>OVER</v>
      </c>
      <c r="R460" s="4" t="str">
        <f t="shared" si="57"/>
        <v>OVER</v>
      </c>
      <c r="S460" s="4" t="str">
        <f t="shared" si="55"/>
        <v>OVER</v>
      </c>
      <c r="T460" s="4" t="str">
        <f t="shared" si="55"/>
        <v>OVER</v>
      </c>
      <c r="U460" s="2">
        <f>IF(Q460="OVER",$J460,$K460)</f>
        <v>180.27898837689884</v>
      </c>
      <c r="V460" s="2">
        <f>IF(R460="OVER",$J460,$K460)</f>
        <v>180.27898837689884</v>
      </c>
      <c r="W460" s="2">
        <f>IF(S460="OVER",$J460,$K460)</f>
        <v>180.27898837689884</v>
      </c>
      <c r="X460" s="2">
        <f>IF(T460="OVER",$J460,$K460)</f>
        <v>180.27898837689884</v>
      </c>
      <c r="Y460" s="9">
        <f t="shared" si="56"/>
        <v>-14286.522034304542</v>
      </c>
      <c r="Z460" s="9">
        <f t="shared" si="56"/>
        <v>-14375.849925045544</v>
      </c>
      <c r="AA460" s="9">
        <f t="shared" si="56"/>
        <v>26118.201147730204</v>
      </c>
      <c r="AB460" s="9">
        <f t="shared" si="56"/>
        <v>6817.7398872471767</v>
      </c>
    </row>
    <row r="461" spans="1:28" x14ac:dyDescent="0.3">
      <c r="A461" s="1">
        <v>45082</v>
      </c>
      <c r="B461" s="2">
        <v>67.94</v>
      </c>
      <c r="C461" s="2">
        <v>73.89</v>
      </c>
      <c r="D461" s="9">
        <f>B461-B460</f>
        <v>0.34000000000000341</v>
      </c>
      <c r="E461" s="9">
        <f>C461-C460</f>
        <v>0.37000000000000455</v>
      </c>
      <c r="F461" s="3">
        <f>F$1/B461</f>
        <v>1471.8869590815425</v>
      </c>
      <c r="G461" s="3">
        <f>F$1/C461</f>
        <v>1353.3631073216943</v>
      </c>
      <c r="H461" s="2">
        <f>D461*F460</f>
        <v>502.95857988166188</v>
      </c>
      <c r="I461" s="2">
        <f>E461*G460</f>
        <v>503.26441784549047</v>
      </c>
      <c r="J461" s="2">
        <f>I461-H461</f>
        <v>0.30583796382859418</v>
      </c>
      <c r="K461" s="2">
        <f t="shared" si="60"/>
        <v>-0.30583796382859418</v>
      </c>
      <c r="L461" s="14">
        <f>C461/B461</f>
        <v>1.0875772740653518</v>
      </c>
      <c r="M461" s="14">
        <f t="shared" ref="M461:M524" si="62">AVERAGE(L452:L461)</f>
        <v>1.0855082987262952</v>
      </c>
      <c r="N461" s="14">
        <f t="shared" si="58"/>
        <v>1.0849756386312084</v>
      </c>
      <c r="O461" s="14">
        <f t="shared" si="59"/>
        <v>1.0831079382715558</v>
      </c>
      <c r="P461" s="14">
        <f t="shared" si="61"/>
        <v>1.0811879237954847</v>
      </c>
      <c r="Q461" s="4" t="str">
        <f t="shared" si="57"/>
        <v>OVER</v>
      </c>
      <c r="R461" s="4" t="str">
        <f t="shared" si="57"/>
        <v>OVER</v>
      </c>
      <c r="S461" s="4" t="str">
        <f t="shared" ref="S461:T524" si="63">IF($L461&gt;O461,"OVER","UNDER")</f>
        <v>OVER</v>
      </c>
      <c r="T461" s="4" t="str">
        <f t="shared" si="63"/>
        <v>OVER</v>
      </c>
      <c r="U461" s="2">
        <f>IF(Q461="OVER",$J461,$K461)</f>
        <v>0.30583796382859418</v>
      </c>
      <c r="V461" s="2">
        <f>IF(R461="OVER",$J461,$K461)</f>
        <v>0.30583796382859418</v>
      </c>
      <c r="W461" s="2">
        <f>IF(S461="OVER",$J461,$K461)</f>
        <v>0.30583796382859418</v>
      </c>
      <c r="X461" s="2">
        <f>IF(T461="OVER",$J461,$K461)</f>
        <v>0.30583796382859418</v>
      </c>
      <c r="Y461" s="9">
        <f t="shared" ref="Y461:AB524" si="64">Y460+U461</f>
        <v>-14286.216196340714</v>
      </c>
      <c r="Z461" s="9">
        <f t="shared" si="64"/>
        <v>-14375.544087081716</v>
      </c>
      <c r="AA461" s="9">
        <f t="shared" si="64"/>
        <v>26118.506985694032</v>
      </c>
      <c r="AB461" s="9">
        <f t="shared" si="64"/>
        <v>6818.0457252110054</v>
      </c>
    </row>
    <row r="462" spans="1:28" x14ac:dyDescent="0.3">
      <c r="A462" s="1">
        <v>45083</v>
      </c>
      <c r="B462" s="2">
        <v>68.3</v>
      </c>
      <c r="C462" s="2">
        <v>74.31</v>
      </c>
      <c r="D462" s="9">
        <f>B462-B461</f>
        <v>0.35999999999999943</v>
      </c>
      <c r="E462" s="9">
        <f>C462-C461</f>
        <v>0.42000000000000171</v>
      </c>
      <c r="F462" s="3">
        <f>F$1/B462</f>
        <v>1464.1288433382138</v>
      </c>
      <c r="G462" s="3">
        <f>F$1/C462</f>
        <v>1345.7139012245996</v>
      </c>
      <c r="H462" s="2">
        <f>D462*F461</f>
        <v>529.87930526935452</v>
      </c>
      <c r="I462" s="2">
        <f>E462*G461</f>
        <v>568.41250507511393</v>
      </c>
      <c r="J462" s="2">
        <f>I462-H462</f>
        <v>38.533199805759409</v>
      </c>
      <c r="K462" s="2">
        <f t="shared" si="60"/>
        <v>-38.533199805759409</v>
      </c>
      <c r="L462" s="14">
        <f>C462/B462</f>
        <v>1.0879941434846268</v>
      </c>
      <c r="M462" s="14">
        <f t="shared" si="62"/>
        <v>1.08561597023046</v>
      </c>
      <c r="N462" s="14">
        <f t="shared" si="58"/>
        <v>1.0852137143855001</v>
      </c>
      <c r="O462" s="14">
        <f t="shared" si="59"/>
        <v>1.0831672553054936</v>
      </c>
      <c r="P462" s="14">
        <f t="shared" si="61"/>
        <v>1.0812621794156205</v>
      </c>
      <c r="Q462" s="4" t="str">
        <f t="shared" ref="Q462:R525" si="65">IF($L461&gt;M461,"OVER","UNDER")</f>
        <v>OVER</v>
      </c>
      <c r="R462" s="4" t="str">
        <f t="shared" si="65"/>
        <v>OVER</v>
      </c>
      <c r="S462" s="4" t="str">
        <f t="shared" si="63"/>
        <v>OVER</v>
      </c>
      <c r="T462" s="4" t="str">
        <f t="shared" si="63"/>
        <v>OVER</v>
      </c>
      <c r="U462" s="2">
        <f>IF(Q462="OVER",$J462,$K462)</f>
        <v>38.533199805759409</v>
      </c>
      <c r="V462" s="2">
        <f>IF(R462="OVER",$J462,$K462)</f>
        <v>38.533199805759409</v>
      </c>
      <c r="W462" s="2">
        <f>IF(S462="OVER",$J462,$K462)</f>
        <v>38.533199805759409</v>
      </c>
      <c r="X462" s="2">
        <f>IF(T462="OVER",$J462,$K462)</f>
        <v>38.533199805759409</v>
      </c>
      <c r="Y462" s="9">
        <f t="shared" si="64"/>
        <v>-14247.682996534955</v>
      </c>
      <c r="Z462" s="9">
        <f t="shared" si="64"/>
        <v>-14337.010887275957</v>
      </c>
      <c r="AA462" s="9">
        <f t="shared" si="64"/>
        <v>26157.040185499791</v>
      </c>
      <c r="AB462" s="9">
        <f t="shared" si="64"/>
        <v>6856.5789250167645</v>
      </c>
    </row>
    <row r="463" spans="1:28" x14ac:dyDescent="0.3">
      <c r="A463" s="1">
        <v>45084</v>
      </c>
      <c r="B463" s="2">
        <v>68.16</v>
      </c>
      <c r="C463" s="2">
        <v>74.239999999999995</v>
      </c>
      <c r="D463" s="9">
        <f>B463-B462</f>
        <v>-0.14000000000000057</v>
      </c>
      <c r="E463" s="9">
        <f>C463-C462</f>
        <v>-7.000000000000739E-2</v>
      </c>
      <c r="F463" s="3">
        <f>F$1/B463</f>
        <v>1467.1361502347418</v>
      </c>
      <c r="G463" s="3">
        <f>F$1/C463</f>
        <v>1346.9827586206898</v>
      </c>
      <c r="H463" s="2">
        <f>D463*F462</f>
        <v>-204.97803806735075</v>
      </c>
      <c r="I463" s="2">
        <f>E463*G462</f>
        <v>-94.199973085731912</v>
      </c>
      <c r="J463" s="2">
        <f>I463-H463</f>
        <v>110.77806498161884</v>
      </c>
      <c r="K463" s="2">
        <f t="shared" si="60"/>
        <v>-110.77806498161884</v>
      </c>
      <c r="L463" s="14">
        <f>C463/B463</f>
        <v>1.0892018779342723</v>
      </c>
      <c r="M463" s="14">
        <f t="shared" si="62"/>
        <v>1.0859471086857406</v>
      </c>
      <c r="N463" s="14">
        <f t="shared" si="58"/>
        <v>1.0855323330706055</v>
      </c>
      <c r="O463" s="14">
        <f t="shared" si="59"/>
        <v>1.0832706462269974</v>
      </c>
      <c r="P463" s="14">
        <f t="shared" si="61"/>
        <v>1.0813252865064411</v>
      </c>
      <c r="Q463" s="4" t="str">
        <f t="shared" si="65"/>
        <v>OVER</v>
      </c>
      <c r="R463" s="4" t="str">
        <f t="shared" si="65"/>
        <v>OVER</v>
      </c>
      <c r="S463" s="4" t="str">
        <f t="shared" si="63"/>
        <v>OVER</v>
      </c>
      <c r="T463" s="4" t="str">
        <f t="shared" si="63"/>
        <v>OVER</v>
      </c>
      <c r="U463" s="2">
        <f>IF(Q463="OVER",$J463,$K463)</f>
        <v>110.77806498161884</v>
      </c>
      <c r="V463" s="2">
        <f>IF(R463="OVER",$J463,$K463)</f>
        <v>110.77806498161884</v>
      </c>
      <c r="W463" s="2">
        <f>IF(S463="OVER",$J463,$K463)</f>
        <v>110.77806498161884</v>
      </c>
      <c r="X463" s="2">
        <f>IF(T463="OVER",$J463,$K463)</f>
        <v>110.77806498161884</v>
      </c>
      <c r="Y463" s="9">
        <f t="shared" si="64"/>
        <v>-14136.904931553336</v>
      </c>
      <c r="Z463" s="9">
        <f t="shared" si="64"/>
        <v>-14226.232822294338</v>
      </c>
      <c r="AA463" s="9">
        <f t="shared" si="64"/>
        <v>26267.81825048141</v>
      </c>
      <c r="AB463" s="9">
        <f t="shared" si="64"/>
        <v>6967.3569899983831</v>
      </c>
    </row>
    <row r="464" spans="1:28" x14ac:dyDescent="0.3">
      <c r="A464" s="1">
        <v>45085</v>
      </c>
      <c r="B464" s="2">
        <v>68.42</v>
      </c>
      <c r="C464" s="2">
        <v>74.290000000000006</v>
      </c>
      <c r="D464" s="9">
        <f>B464-B463</f>
        <v>0.26000000000000512</v>
      </c>
      <c r="E464" s="9">
        <f>C464-C463</f>
        <v>5.0000000000011369E-2</v>
      </c>
      <c r="F464" s="3">
        <f>F$1/B464</f>
        <v>1461.5609470914937</v>
      </c>
      <c r="G464" s="3">
        <f>F$1/C464</f>
        <v>1346.0761879122358</v>
      </c>
      <c r="H464" s="2">
        <f>D464*F463</f>
        <v>381.45539906104034</v>
      </c>
      <c r="I464" s="2">
        <f>E464*G463</f>
        <v>67.349137931049796</v>
      </c>
      <c r="J464" s="2">
        <f>I464-H464</f>
        <v>-314.10626112999057</v>
      </c>
      <c r="K464" s="2">
        <f t="shared" si="60"/>
        <v>314.10626112999057</v>
      </c>
      <c r="L464" s="14">
        <f>C464/B464</f>
        <v>1.0857936275942708</v>
      </c>
      <c r="M464" s="14">
        <f t="shared" si="62"/>
        <v>1.0860010911168048</v>
      </c>
      <c r="N464" s="14">
        <f t="shared" si="58"/>
        <v>1.0855787223188749</v>
      </c>
      <c r="O464" s="14">
        <f t="shared" si="59"/>
        <v>1.0832288135606953</v>
      </c>
      <c r="P464" s="14">
        <f t="shared" si="61"/>
        <v>1.0813655517764551</v>
      </c>
      <c r="Q464" s="4" t="str">
        <f t="shared" si="65"/>
        <v>OVER</v>
      </c>
      <c r="R464" s="4" t="str">
        <f t="shared" si="65"/>
        <v>OVER</v>
      </c>
      <c r="S464" s="4" t="str">
        <f t="shared" si="63"/>
        <v>OVER</v>
      </c>
      <c r="T464" s="4" t="str">
        <f t="shared" si="63"/>
        <v>OVER</v>
      </c>
      <c r="U464" s="2">
        <f>IF(Q464="OVER",$J464,$K464)</f>
        <v>-314.10626112999057</v>
      </c>
      <c r="V464" s="2">
        <f>IF(R464="OVER",$J464,$K464)</f>
        <v>-314.10626112999057</v>
      </c>
      <c r="W464" s="2">
        <f>IF(S464="OVER",$J464,$K464)</f>
        <v>-314.10626112999057</v>
      </c>
      <c r="X464" s="2">
        <f>IF(T464="OVER",$J464,$K464)</f>
        <v>-314.10626112999057</v>
      </c>
      <c r="Y464" s="9">
        <f t="shared" si="64"/>
        <v>-14451.011192683327</v>
      </c>
      <c r="Z464" s="9">
        <f t="shared" si="64"/>
        <v>-14540.339083424329</v>
      </c>
      <c r="AA464" s="9">
        <f t="shared" si="64"/>
        <v>25953.711989351421</v>
      </c>
      <c r="AB464" s="9">
        <f t="shared" si="64"/>
        <v>6653.2507288683928</v>
      </c>
    </row>
    <row r="465" spans="1:28" x14ac:dyDescent="0.3">
      <c r="A465" s="1">
        <v>45086</v>
      </c>
      <c r="B465" s="2">
        <v>68.31</v>
      </c>
      <c r="C465" s="2">
        <v>74.19</v>
      </c>
      <c r="D465" s="9">
        <f>B465-B464</f>
        <v>-0.10999999999999943</v>
      </c>
      <c r="E465" s="9">
        <f>C465-C464</f>
        <v>-0.10000000000000853</v>
      </c>
      <c r="F465" s="3">
        <f>F$1/B465</f>
        <v>1463.9145073927682</v>
      </c>
      <c r="G465" s="3">
        <f>F$1/C465</f>
        <v>1347.8905512872354</v>
      </c>
      <c r="H465" s="2">
        <f>D465*F464</f>
        <v>-160.77170418006349</v>
      </c>
      <c r="I465" s="2">
        <f>E465*G464</f>
        <v>-134.60761879123507</v>
      </c>
      <c r="J465" s="2">
        <f>I465-H465</f>
        <v>26.164085388828425</v>
      </c>
      <c r="K465" s="2">
        <f t="shared" si="60"/>
        <v>-26.164085388828425</v>
      </c>
      <c r="L465" s="14">
        <f>C465/B465</f>
        <v>1.0860781730346947</v>
      </c>
      <c r="M465" s="14">
        <f t="shared" si="62"/>
        <v>1.0860758163050925</v>
      </c>
      <c r="N465" s="14">
        <f t="shared" si="58"/>
        <v>1.0856763894509354</v>
      </c>
      <c r="O465" s="14">
        <f t="shared" si="59"/>
        <v>1.0832665490383488</v>
      </c>
      <c r="P465" s="14">
        <f t="shared" si="61"/>
        <v>1.0813984955862181</v>
      </c>
      <c r="Q465" s="4" t="str">
        <f t="shared" si="65"/>
        <v>UNDER</v>
      </c>
      <c r="R465" s="4" t="str">
        <f t="shared" si="65"/>
        <v>OVER</v>
      </c>
      <c r="S465" s="4" t="str">
        <f t="shared" si="63"/>
        <v>OVER</v>
      </c>
      <c r="T465" s="4" t="str">
        <f t="shared" si="63"/>
        <v>OVER</v>
      </c>
      <c r="U465" s="2">
        <f>IF(Q465="OVER",$J465,$K465)</f>
        <v>-26.164085388828425</v>
      </c>
      <c r="V465" s="2">
        <f>IF(R465="OVER",$J465,$K465)</f>
        <v>26.164085388828425</v>
      </c>
      <c r="W465" s="2">
        <f>IF(S465="OVER",$J465,$K465)</f>
        <v>26.164085388828425</v>
      </c>
      <c r="X465" s="2">
        <f>IF(T465="OVER",$J465,$K465)</f>
        <v>26.164085388828425</v>
      </c>
      <c r="Y465" s="9">
        <f t="shared" si="64"/>
        <v>-14477.175278072154</v>
      </c>
      <c r="Z465" s="9">
        <f t="shared" si="64"/>
        <v>-14514.174998035502</v>
      </c>
      <c r="AA465" s="9">
        <f t="shared" si="64"/>
        <v>25979.876074740248</v>
      </c>
      <c r="AB465" s="9">
        <f t="shared" si="64"/>
        <v>6679.4148142572212</v>
      </c>
    </row>
    <row r="466" spans="1:28" x14ac:dyDescent="0.3">
      <c r="A466" s="1">
        <v>45089</v>
      </c>
      <c r="B466" s="2">
        <v>68.680000000000007</v>
      </c>
      <c r="C466" s="2">
        <v>74.63</v>
      </c>
      <c r="D466" s="9">
        <f>B466-B465</f>
        <v>0.37000000000000455</v>
      </c>
      <c r="E466" s="9">
        <f>C466-C465</f>
        <v>0.43999999999999773</v>
      </c>
      <c r="F466" s="3">
        <f>F$1/B466</f>
        <v>1456.0279557367501</v>
      </c>
      <c r="G466" s="3">
        <f>F$1/C466</f>
        <v>1339.9437223636608</v>
      </c>
      <c r="H466" s="2">
        <f>D466*F465</f>
        <v>541.64836773533091</v>
      </c>
      <c r="I466" s="2">
        <f>E466*G465</f>
        <v>593.0718425663805</v>
      </c>
      <c r="J466" s="2">
        <f>I466-H466</f>
        <v>51.423474831049589</v>
      </c>
      <c r="K466" s="2">
        <f t="shared" si="60"/>
        <v>-51.423474831049589</v>
      </c>
      <c r="L466" s="14">
        <f>C466/B466</f>
        <v>1.0866336633663365</v>
      </c>
      <c r="M466" s="14">
        <f t="shared" si="62"/>
        <v>1.086170755270778</v>
      </c>
      <c r="N466" s="14">
        <f t="shared" si="58"/>
        <v>1.0858533448255556</v>
      </c>
      <c r="O466" s="14">
        <f t="shared" si="59"/>
        <v>1.0833328067564818</v>
      </c>
      <c r="P466" s="14">
        <f t="shared" si="61"/>
        <v>1.0814412083715965</v>
      </c>
      <c r="Q466" s="4" t="str">
        <f t="shared" si="65"/>
        <v>OVER</v>
      </c>
      <c r="R466" s="4" t="str">
        <f t="shared" si="65"/>
        <v>OVER</v>
      </c>
      <c r="S466" s="4" t="str">
        <f t="shared" si="63"/>
        <v>OVER</v>
      </c>
      <c r="T466" s="4" t="str">
        <f t="shared" si="63"/>
        <v>OVER</v>
      </c>
      <c r="U466" s="2">
        <f>IF(Q466="OVER",$J466,$K466)</f>
        <v>51.423474831049589</v>
      </c>
      <c r="V466" s="2">
        <f>IF(R466="OVER",$J466,$K466)</f>
        <v>51.423474831049589</v>
      </c>
      <c r="W466" s="2">
        <f>IF(S466="OVER",$J466,$K466)</f>
        <v>51.423474831049589</v>
      </c>
      <c r="X466" s="2">
        <f>IF(T466="OVER",$J466,$K466)</f>
        <v>51.423474831049589</v>
      </c>
      <c r="Y466" s="9">
        <f t="shared" si="64"/>
        <v>-14425.751803241104</v>
      </c>
      <c r="Z466" s="9">
        <f t="shared" si="64"/>
        <v>-14462.751523204452</v>
      </c>
      <c r="AA466" s="9">
        <f t="shared" si="64"/>
        <v>26031.299549571297</v>
      </c>
      <c r="AB466" s="9">
        <f t="shared" si="64"/>
        <v>6730.8382890882713</v>
      </c>
    </row>
    <row r="467" spans="1:28" x14ac:dyDescent="0.3">
      <c r="A467" s="1">
        <v>45090</v>
      </c>
      <c r="B467" s="2">
        <v>69.099999999999994</v>
      </c>
      <c r="C467" s="2">
        <v>75.14</v>
      </c>
      <c r="D467" s="9">
        <f>B467-B466</f>
        <v>0.41999999999998749</v>
      </c>
      <c r="E467" s="9">
        <f>C467-C466</f>
        <v>0.51000000000000512</v>
      </c>
      <c r="F467" s="3">
        <f>F$1/B467</f>
        <v>1447.178002894356</v>
      </c>
      <c r="G467" s="3">
        <f>F$1/C467</f>
        <v>1330.8490817141337</v>
      </c>
      <c r="H467" s="2">
        <f>D467*F466</f>
        <v>611.53174140941678</v>
      </c>
      <c r="I467" s="2">
        <f>E467*G466</f>
        <v>683.37129840547379</v>
      </c>
      <c r="J467" s="2">
        <f>I467-H467</f>
        <v>71.839556996057013</v>
      </c>
      <c r="K467" s="2">
        <f t="shared" si="60"/>
        <v>-71.839556996057013</v>
      </c>
      <c r="L467" s="14">
        <f>C467/B467</f>
        <v>1.0874095513748192</v>
      </c>
      <c r="M467" s="14">
        <f t="shared" si="62"/>
        <v>1.0866904846982448</v>
      </c>
      <c r="N467" s="14">
        <f t="shared" si="58"/>
        <v>1.0860709236258976</v>
      </c>
      <c r="O467" s="14">
        <f t="shared" si="59"/>
        <v>1.0834260104573046</v>
      </c>
      <c r="P467" s="14">
        <f t="shared" si="61"/>
        <v>1.0814959494255982</v>
      </c>
      <c r="Q467" s="4" t="str">
        <f t="shared" si="65"/>
        <v>OVER</v>
      </c>
      <c r="R467" s="4" t="str">
        <f t="shared" si="65"/>
        <v>OVER</v>
      </c>
      <c r="S467" s="4" t="str">
        <f t="shared" si="63"/>
        <v>OVER</v>
      </c>
      <c r="T467" s="4" t="str">
        <f t="shared" si="63"/>
        <v>OVER</v>
      </c>
      <c r="U467" s="2">
        <f>IF(Q467="OVER",$J467,$K467)</f>
        <v>71.839556996057013</v>
      </c>
      <c r="V467" s="2">
        <f>IF(R467="OVER",$J467,$K467)</f>
        <v>71.839556996057013</v>
      </c>
      <c r="W467" s="2">
        <f>IF(S467="OVER",$J467,$K467)</f>
        <v>71.839556996057013</v>
      </c>
      <c r="X467" s="2">
        <f>IF(T467="OVER",$J467,$K467)</f>
        <v>71.839556996057013</v>
      </c>
      <c r="Y467" s="9">
        <f t="shared" si="64"/>
        <v>-14353.912246245047</v>
      </c>
      <c r="Z467" s="9">
        <f t="shared" si="64"/>
        <v>-14390.911966208394</v>
      </c>
      <c r="AA467" s="9">
        <f t="shared" si="64"/>
        <v>26103.139106567352</v>
      </c>
      <c r="AB467" s="9">
        <f t="shared" si="64"/>
        <v>6802.6778460843279</v>
      </c>
    </row>
    <row r="468" spans="1:28" x14ac:dyDescent="0.3">
      <c r="A468" s="1">
        <v>45091</v>
      </c>
      <c r="B468" s="2">
        <v>69.05</v>
      </c>
      <c r="C468" s="2">
        <v>75.180000000000007</v>
      </c>
      <c r="D468" s="9">
        <f>B468-B467</f>
        <v>-4.9999999999997158E-2</v>
      </c>
      <c r="E468" s="9">
        <f>C468-C467</f>
        <v>4.0000000000006253E-2</v>
      </c>
      <c r="F468" s="3">
        <f>F$1/B468</f>
        <v>1448.225923244026</v>
      </c>
      <c r="G468" s="3">
        <f>F$1/C468</f>
        <v>1330.1409949454642</v>
      </c>
      <c r="H468" s="2">
        <f>D468*F467</f>
        <v>-72.358900144713687</v>
      </c>
      <c r="I468" s="2">
        <f>E468*G467</f>
        <v>53.233963268573667</v>
      </c>
      <c r="J468" s="2">
        <f>I468-H468</f>
        <v>125.59286341328735</v>
      </c>
      <c r="K468" s="2">
        <f t="shared" si="60"/>
        <v>-125.59286341328735</v>
      </c>
      <c r="L468" s="14">
        <f>C468/B468</f>
        <v>1.0887762490948589</v>
      </c>
      <c r="M468" s="14">
        <f t="shared" si="62"/>
        <v>1.0872671822969322</v>
      </c>
      <c r="N468" s="14">
        <f t="shared" si="58"/>
        <v>1.0862939609219828</v>
      </c>
      <c r="O468" s="14">
        <f t="shared" si="59"/>
        <v>1.0835682719034552</v>
      </c>
      <c r="P468" s="14">
        <f t="shared" si="61"/>
        <v>1.0815463928081224</v>
      </c>
      <c r="Q468" s="4" t="str">
        <f t="shared" si="65"/>
        <v>OVER</v>
      </c>
      <c r="R468" s="4" t="str">
        <f t="shared" si="65"/>
        <v>OVER</v>
      </c>
      <c r="S468" s="4" t="str">
        <f t="shared" si="63"/>
        <v>OVER</v>
      </c>
      <c r="T468" s="4" t="str">
        <f t="shared" si="63"/>
        <v>OVER</v>
      </c>
      <c r="U468" s="2">
        <f>IF(Q468="OVER",$J468,$K468)</f>
        <v>125.59286341328735</v>
      </c>
      <c r="V468" s="2">
        <f>IF(R468="OVER",$J468,$K468)</f>
        <v>125.59286341328735</v>
      </c>
      <c r="W468" s="2">
        <f>IF(S468="OVER",$J468,$K468)</f>
        <v>125.59286341328735</v>
      </c>
      <c r="X468" s="2">
        <f>IF(T468="OVER",$J468,$K468)</f>
        <v>125.59286341328735</v>
      </c>
      <c r="Y468" s="9">
        <f t="shared" si="64"/>
        <v>-14228.31938283176</v>
      </c>
      <c r="Z468" s="9">
        <f t="shared" si="64"/>
        <v>-14265.319102795107</v>
      </c>
      <c r="AA468" s="9">
        <f t="shared" si="64"/>
        <v>26228.731969980639</v>
      </c>
      <c r="AB468" s="9">
        <f t="shared" si="64"/>
        <v>6928.2707094976149</v>
      </c>
    </row>
    <row r="469" spans="1:28" x14ac:dyDescent="0.3">
      <c r="A469" s="1">
        <v>45092</v>
      </c>
      <c r="B469" s="2">
        <v>69.44</v>
      </c>
      <c r="C469" s="2">
        <v>75.48</v>
      </c>
      <c r="D469" s="9">
        <f>B469-B468</f>
        <v>0.39000000000000057</v>
      </c>
      <c r="E469" s="9">
        <f>C469-C468</f>
        <v>0.29999999999999716</v>
      </c>
      <c r="F469" s="3">
        <f>F$1/B469</f>
        <v>1440.0921658986176</v>
      </c>
      <c r="G469" s="3">
        <f>F$1/C469</f>
        <v>1324.8542660307367</v>
      </c>
      <c r="H469" s="2">
        <f>D469*F468</f>
        <v>564.80811006517092</v>
      </c>
      <c r="I469" s="2">
        <f>E469*G468</f>
        <v>399.04229848363548</v>
      </c>
      <c r="J469" s="2">
        <f>I469-H469</f>
        <v>-165.76581158153544</v>
      </c>
      <c r="K469" s="2">
        <f t="shared" si="60"/>
        <v>165.76581158153544</v>
      </c>
      <c r="L469" s="14">
        <f>C469/B469</f>
        <v>1.0869815668202767</v>
      </c>
      <c r="M469" s="14">
        <f t="shared" si="62"/>
        <v>1.0874020091266547</v>
      </c>
      <c r="N469" s="14">
        <f t="shared" si="58"/>
        <v>1.0863145237556191</v>
      </c>
      <c r="O469" s="14">
        <f t="shared" si="59"/>
        <v>1.0836635322793919</v>
      </c>
      <c r="P469" s="14">
        <f t="shared" si="61"/>
        <v>1.0815991536177199</v>
      </c>
      <c r="Q469" s="4" t="str">
        <f t="shared" si="65"/>
        <v>OVER</v>
      </c>
      <c r="R469" s="4" t="str">
        <f t="shared" si="65"/>
        <v>OVER</v>
      </c>
      <c r="S469" s="4" t="str">
        <f t="shared" si="63"/>
        <v>OVER</v>
      </c>
      <c r="T469" s="4" t="str">
        <f t="shared" si="63"/>
        <v>OVER</v>
      </c>
      <c r="U469" s="2">
        <f>IF(Q469="OVER",$J469,$K469)</f>
        <v>-165.76581158153544</v>
      </c>
      <c r="V469" s="2">
        <f>IF(R469="OVER",$J469,$K469)</f>
        <v>-165.76581158153544</v>
      </c>
      <c r="W469" s="2">
        <f>IF(S469="OVER",$J469,$K469)</f>
        <v>-165.76581158153544</v>
      </c>
      <c r="X469" s="2">
        <f>IF(T469="OVER",$J469,$K469)</f>
        <v>-165.76581158153544</v>
      </c>
      <c r="Y469" s="9">
        <f t="shared" si="64"/>
        <v>-14394.085194413296</v>
      </c>
      <c r="Z469" s="9">
        <f t="shared" si="64"/>
        <v>-14431.084914376643</v>
      </c>
      <c r="AA469" s="9">
        <f t="shared" si="64"/>
        <v>26062.966158399104</v>
      </c>
      <c r="AB469" s="9">
        <f t="shared" si="64"/>
        <v>6762.5048979160792</v>
      </c>
    </row>
    <row r="470" spans="1:28" x14ac:dyDescent="0.3">
      <c r="A470" s="1">
        <v>45093</v>
      </c>
      <c r="B470" s="2">
        <v>69.430000000000007</v>
      </c>
      <c r="C470" s="2">
        <v>75.45</v>
      </c>
      <c r="D470" s="9">
        <f>B470-B469</f>
        <v>-9.9999999999909051E-3</v>
      </c>
      <c r="E470" s="9">
        <f>C470-C469</f>
        <v>-3.0000000000001137E-2</v>
      </c>
      <c r="F470" s="3">
        <f>F$1/B470</f>
        <v>1440.2995823131209</v>
      </c>
      <c r="G470" s="3">
        <f>F$1/C470</f>
        <v>1325.3810470510271</v>
      </c>
      <c r="H470" s="2">
        <f>D470*F469</f>
        <v>-14.400921658973079</v>
      </c>
      <c r="I470" s="2">
        <f>E470*G469</f>
        <v>-39.745627980923608</v>
      </c>
      <c r="J470" s="2">
        <f>I470-H470</f>
        <v>-25.344706321950529</v>
      </c>
      <c r="K470" s="2">
        <f t="shared" si="60"/>
        <v>25.344706321950529</v>
      </c>
      <c r="L470" s="14">
        <f>C470/B470</f>
        <v>1.0867060348552497</v>
      </c>
      <c r="M470" s="14">
        <f t="shared" si="62"/>
        <v>1.087315216162476</v>
      </c>
      <c r="N470" s="14">
        <f t="shared" si="58"/>
        <v>1.0863392217134613</v>
      </c>
      <c r="O470" s="14">
        <f t="shared" si="59"/>
        <v>1.0837282190142326</v>
      </c>
      <c r="P470" s="14">
        <f t="shared" si="61"/>
        <v>1.0816455870178026</v>
      </c>
      <c r="Q470" s="4" t="str">
        <f t="shared" si="65"/>
        <v>UNDER</v>
      </c>
      <c r="R470" s="4" t="str">
        <f t="shared" si="65"/>
        <v>OVER</v>
      </c>
      <c r="S470" s="4" t="str">
        <f t="shared" si="63"/>
        <v>OVER</v>
      </c>
      <c r="T470" s="4" t="str">
        <f t="shared" si="63"/>
        <v>OVER</v>
      </c>
      <c r="U470" s="2">
        <f>IF(Q470="OVER",$J470,$K470)</f>
        <v>25.344706321950529</v>
      </c>
      <c r="V470" s="2">
        <f>IF(R470="OVER",$J470,$K470)</f>
        <v>-25.344706321950529</v>
      </c>
      <c r="W470" s="2">
        <f>IF(S470="OVER",$J470,$K470)</f>
        <v>-25.344706321950529</v>
      </c>
      <c r="X470" s="2">
        <f>IF(T470="OVER",$J470,$K470)</f>
        <v>-25.344706321950529</v>
      </c>
      <c r="Y470" s="9">
        <f t="shared" si="64"/>
        <v>-14368.740488091345</v>
      </c>
      <c r="Z470" s="9">
        <f t="shared" si="64"/>
        <v>-14456.429620698593</v>
      </c>
      <c r="AA470" s="9">
        <f t="shared" si="64"/>
        <v>26037.621452077154</v>
      </c>
      <c r="AB470" s="9">
        <f t="shared" si="64"/>
        <v>6737.1601915941283</v>
      </c>
    </row>
    <row r="471" spans="1:28" x14ac:dyDescent="0.3">
      <c r="A471" s="1">
        <v>45097</v>
      </c>
      <c r="B471" s="2">
        <v>69.39</v>
      </c>
      <c r="C471" s="2">
        <v>75.2</v>
      </c>
      <c r="D471" s="9">
        <f>B471-B470</f>
        <v>-4.0000000000006253E-2</v>
      </c>
      <c r="E471" s="9">
        <f>C471-C470</f>
        <v>-0.25</v>
      </c>
      <c r="F471" s="3">
        <f>F$1/B471</f>
        <v>1441.1298457991065</v>
      </c>
      <c r="G471" s="3">
        <f>F$1/C471</f>
        <v>1329.7872340425531</v>
      </c>
      <c r="H471" s="2">
        <f>D471*F470</f>
        <v>-57.611983292533843</v>
      </c>
      <c r="I471" s="2">
        <f>E471*G470</f>
        <v>-331.34526176275676</v>
      </c>
      <c r="J471" s="2">
        <f>I471-H471</f>
        <v>-273.7332784702229</v>
      </c>
      <c r="K471" s="2">
        <f t="shared" si="60"/>
        <v>273.7332784702229</v>
      </c>
      <c r="L471" s="14">
        <f>C471/B471</f>
        <v>1.0837296440409281</v>
      </c>
      <c r="M471" s="14">
        <f t="shared" si="62"/>
        <v>1.0869304531600334</v>
      </c>
      <c r="N471" s="14">
        <f t="shared" ref="N471:N534" si="66">AVERAGE(L452:L471)</f>
        <v>1.0862193759431644</v>
      </c>
      <c r="O471" s="14">
        <f t="shared" si="59"/>
        <v>1.083749719889018</v>
      </c>
      <c r="P471" s="14">
        <f t="shared" si="61"/>
        <v>1.0816768491750841</v>
      </c>
      <c r="Q471" s="4" t="str">
        <f t="shared" si="65"/>
        <v>UNDER</v>
      </c>
      <c r="R471" s="4" t="str">
        <f t="shared" si="65"/>
        <v>OVER</v>
      </c>
      <c r="S471" s="4" t="str">
        <f t="shared" si="63"/>
        <v>UNDER</v>
      </c>
      <c r="T471" s="4" t="str">
        <f t="shared" si="63"/>
        <v>OVER</v>
      </c>
      <c r="U471" s="2">
        <f>IF(Q471="OVER",$J471,$K471)</f>
        <v>273.7332784702229</v>
      </c>
      <c r="V471" s="2">
        <f>IF(R471="OVER",$J471,$K471)</f>
        <v>-273.7332784702229</v>
      </c>
      <c r="W471" s="2">
        <f>IF(S471="OVER",$J471,$K471)</f>
        <v>273.7332784702229</v>
      </c>
      <c r="X471" s="2">
        <f>IF(T471="OVER",$J471,$K471)</f>
        <v>-273.7332784702229</v>
      </c>
      <c r="Y471" s="9">
        <f t="shared" si="64"/>
        <v>-14095.007209621122</v>
      </c>
      <c r="Z471" s="9">
        <f t="shared" si="64"/>
        <v>-14730.162899168816</v>
      </c>
      <c r="AA471" s="9">
        <f t="shared" si="64"/>
        <v>26311.354730547377</v>
      </c>
      <c r="AB471" s="9">
        <f t="shared" si="64"/>
        <v>6463.4269131239053</v>
      </c>
    </row>
    <row r="472" spans="1:28" x14ac:dyDescent="0.3">
      <c r="A472" s="1">
        <v>45098</v>
      </c>
      <c r="B472" s="2">
        <v>69.400000000000006</v>
      </c>
      <c r="C472" s="2">
        <v>75.37</v>
      </c>
      <c r="D472" s="9">
        <f>B472-B471</f>
        <v>1.0000000000005116E-2</v>
      </c>
      <c r="E472" s="9">
        <f>C472-C471</f>
        <v>0.17000000000000171</v>
      </c>
      <c r="F472" s="3">
        <f>F$1/B472</f>
        <v>1440.9221902017289</v>
      </c>
      <c r="G472" s="3">
        <f>F$1/C472</f>
        <v>1326.7878466233249</v>
      </c>
      <c r="H472" s="2">
        <f>D472*F471</f>
        <v>14.411298457998438</v>
      </c>
      <c r="I472" s="2">
        <f>E472*G471</f>
        <v>226.0638297872363</v>
      </c>
      <c r="J472" s="2">
        <f>I472-H472</f>
        <v>211.65253132923786</v>
      </c>
      <c r="K472" s="2">
        <f t="shared" si="60"/>
        <v>-211.65253132923786</v>
      </c>
      <c r="L472" s="14">
        <f>C472/B472</f>
        <v>1.0860230547550431</v>
      </c>
      <c r="M472" s="14">
        <f t="shared" si="62"/>
        <v>1.0867333442870748</v>
      </c>
      <c r="N472" s="14">
        <f t="shared" si="66"/>
        <v>1.0861746572587676</v>
      </c>
      <c r="O472" s="14">
        <f t="shared" si="59"/>
        <v>1.0838345826678231</v>
      </c>
      <c r="P472" s="14">
        <f t="shared" si="61"/>
        <v>1.0817070534828408</v>
      </c>
      <c r="Q472" s="4" t="str">
        <f t="shared" si="65"/>
        <v>UNDER</v>
      </c>
      <c r="R472" s="4" t="str">
        <f t="shared" si="65"/>
        <v>UNDER</v>
      </c>
      <c r="S472" s="4" t="str">
        <f t="shared" si="63"/>
        <v>OVER</v>
      </c>
      <c r="T472" s="4" t="str">
        <f t="shared" si="63"/>
        <v>OVER</v>
      </c>
      <c r="U472" s="2">
        <f>IF(Q472="OVER",$J472,$K472)</f>
        <v>-211.65253132923786</v>
      </c>
      <c r="V472" s="2">
        <f>IF(R472="OVER",$J472,$K472)</f>
        <v>-211.65253132923786</v>
      </c>
      <c r="W472" s="2">
        <f>IF(S472="OVER",$J472,$K472)</f>
        <v>211.65253132923786</v>
      </c>
      <c r="X472" s="2">
        <f>IF(T472="OVER",$J472,$K472)</f>
        <v>211.65253132923786</v>
      </c>
      <c r="Y472" s="9">
        <f t="shared" si="64"/>
        <v>-14306.659740950361</v>
      </c>
      <c r="Z472" s="9">
        <f t="shared" si="64"/>
        <v>-14941.815430498054</v>
      </c>
      <c r="AA472" s="9">
        <f t="shared" si="64"/>
        <v>26523.007261876613</v>
      </c>
      <c r="AB472" s="9">
        <f t="shared" si="64"/>
        <v>6675.079444453143</v>
      </c>
    </row>
    <row r="473" spans="1:28" x14ac:dyDescent="0.3">
      <c r="A473" s="1">
        <v>45099</v>
      </c>
      <c r="B473" s="2">
        <v>69.27</v>
      </c>
      <c r="C473" s="2">
        <v>75.400000000000006</v>
      </c>
      <c r="D473" s="9">
        <f>B473-B472</f>
        <v>-0.13000000000000966</v>
      </c>
      <c r="E473" s="9">
        <f>C473-C472</f>
        <v>3.0000000000001137E-2</v>
      </c>
      <c r="F473" s="3">
        <f>F$1/B473</f>
        <v>1443.6263894904</v>
      </c>
      <c r="G473" s="3">
        <f>F$1/C473</f>
        <v>1326.259946949602</v>
      </c>
      <c r="H473" s="2">
        <f>D473*F472</f>
        <v>-187.31988472623868</v>
      </c>
      <c r="I473" s="2">
        <f>E473*G472</f>
        <v>39.803635398701253</v>
      </c>
      <c r="J473" s="2">
        <f>I473-H473</f>
        <v>227.12352012493994</v>
      </c>
      <c r="K473" s="2">
        <f t="shared" si="60"/>
        <v>-227.12352012493994</v>
      </c>
      <c r="L473" s="14">
        <f>C473/B473</f>
        <v>1.0884942976757617</v>
      </c>
      <c r="M473" s="14">
        <f t="shared" si="62"/>
        <v>1.0866625862612238</v>
      </c>
      <c r="N473" s="14">
        <f t="shared" si="66"/>
        <v>1.0863048474734822</v>
      </c>
      <c r="O473" s="14">
        <f t="shared" si="59"/>
        <v>1.0839899710925081</v>
      </c>
      <c r="P473" s="14">
        <f t="shared" si="61"/>
        <v>1.0817505094580933</v>
      </c>
      <c r="Q473" s="4" t="str">
        <f t="shared" si="65"/>
        <v>UNDER</v>
      </c>
      <c r="R473" s="4" t="str">
        <f t="shared" si="65"/>
        <v>UNDER</v>
      </c>
      <c r="S473" s="4" t="str">
        <f t="shared" si="63"/>
        <v>OVER</v>
      </c>
      <c r="T473" s="4" t="str">
        <f t="shared" si="63"/>
        <v>OVER</v>
      </c>
      <c r="U473" s="2">
        <f>IF(Q473="OVER",$J473,$K473)</f>
        <v>-227.12352012493994</v>
      </c>
      <c r="V473" s="2">
        <f>IF(R473="OVER",$J473,$K473)</f>
        <v>-227.12352012493994</v>
      </c>
      <c r="W473" s="2">
        <f>IF(S473="OVER",$J473,$K473)</f>
        <v>227.12352012493994</v>
      </c>
      <c r="X473" s="2">
        <f>IF(T473="OVER",$J473,$K473)</f>
        <v>227.12352012493994</v>
      </c>
      <c r="Y473" s="9">
        <f t="shared" si="64"/>
        <v>-14533.783261075301</v>
      </c>
      <c r="Z473" s="9">
        <f t="shared" si="64"/>
        <v>-15168.938950622995</v>
      </c>
      <c r="AA473" s="9">
        <f t="shared" si="64"/>
        <v>26750.130782001554</v>
      </c>
      <c r="AB473" s="9">
        <f t="shared" si="64"/>
        <v>6902.2029645780831</v>
      </c>
    </row>
    <row r="474" spans="1:28" x14ac:dyDescent="0.3">
      <c r="A474" s="1">
        <v>45100</v>
      </c>
      <c r="B474" s="2">
        <v>68.790000000000006</v>
      </c>
      <c r="C474" s="2">
        <v>74.849999999999994</v>
      </c>
      <c r="D474" s="9">
        <f>B474-B473</f>
        <v>-0.47999999999998977</v>
      </c>
      <c r="E474" s="9">
        <f>C474-C473</f>
        <v>-0.55000000000001137</v>
      </c>
      <c r="F474" s="3">
        <f>F$1/B474</f>
        <v>1453.6996656490767</v>
      </c>
      <c r="G474" s="3">
        <f>F$1/C474</f>
        <v>1336.0053440213762</v>
      </c>
      <c r="H474" s="2">
        <f>D474*F473</f>
        <v>-692.9406669553772</v>
      </c>
      <c r="I474" s="2">
        <f>E474*G473</f>
        <v>-729.44297082229616</v>
      </c>
      <c r="J474" s="2">
        <f>I474-H474</f>
        <v>-36.502303866918965</v>
      </c>
      <c r="K474" s="2">
        <f t="shared" si="60"/>
        <v>36.502303866918965</v>
      </c>
      <c r="L474" s="14">
        <f>C474/B474</f>
        <v>1.088094199738334</v>
      </c>
      <c r="M474" s="14">
        <f t="shared" si="62"/>
        <v>1.0868926434756303</v>
      </c>
      <c r="N474" s="14">
        <f t="shared" si="66"/>
        <v>1.0864468672962175</v>
      </c>
      <c r="O474" s="14">
        <f t="shared" si="59"/>
        <v>1.0841192020260502</v>
      </c>
      <c r="P474" s="14">
        <f t="shared" si="61"/>
        <v>1.0817932617114749</v>
      </c>
      <c r="Q474" s="4" t="str">
        <f t="shared" si="65"/>
        <v>OVER</v>
      </c>
      <c r="R474" s="4" t="str">
        <f t="shared" si="65"/>
        <v>OVER</v>
      </c>
      <c r="S474" s="4" t="str">
        <f t="shared" si="63"/>
        <v>OVER</v>
      </c>
      <c r="T474" s="4" t="str">
        <f t="shared" si="63"/>
        <v>OVER</v>
      </c>
      <c r="U474" s="2">
        <f>IF(Q474="OVER",$J474,$K474)</f>
        <v>-36.502303866918965</v>
      </c>
      <c r="V474" s="2">
        <f>IF(R474="OVER",$J474,$K474)</f>
        <v>-36.502303866918965</v>
      </c>
      <c r="W474" s="2">
        <f>IF(S474="OVER",$J474,$K474)</f>
        <v>-36.502303866918965</v>
      </c>
      <c r="X474" s="2">
        <f>IF(T474="OVER",$J474,$K474)</f>
        <v>-36.502303866918965</v>
      </c>
      <c r="Y474" s="9">
        <f t="shared" si="64"/>
        <v>-14570.28556494222</v>
      </c>
      <c r="Z474" s="9">
        <f t="shared" si="64"/>
        <v>-15205.441254489913</v>
      </c>
      <c r="AA474" s="9">
        <f t="shared" si="64"/>
        <v>26713.628478134633</v>
      </c>
      <c r="AB474" s="9">
        <f t="shared" si="64"/>
        <v>6865.7006607111643</v>
      </c>
    </row>
    <row r="475" spans="1:28" x14ac:dyDescent="0.3">
      <c r="A475" s="1">
        <v>45103</v>
      </c>
      <c r="B475" s="2">
        <v>68.790000000000006</v>
      </c>
      <c r="C475" s="2">
        <v>74.95</v>
      </c>
      <c r="D475" s="9">
        <f>B475-B474</f>
        <v>0</v>
      </c>
      <c r="E475" s="9">
        <f>C475-C474</f>
        <v>0.10000000000000853</v>
      </c>
      <c r="F475" s="3">
        <f>F$1/B475</f>
        <v>1453.6996656490767</v>
      </c>
      <c r="G475" s="3">
        <f>F$1/C475</f>
        <v>1334.22281521014</v>
      </c>
      <c r="H475" s="2">
        <f>D475*F474</f>
        <v>0</v>
      </c>
      <c r="I475" s="2">
        <f>E475*G474</f>
        <v>133.60053440214901</v>
      </c>
      <c r="J475" s="2">
        <f>I475-H475</f>
        <v>133.60053440214901</v>
      </c>
      <c r="K475" s="2">
        <f t="shared" si="60"/>
        <v>-133.60053440214901</v>
      </c>
      <c r="L475" s="14">
        <f>C475/B475</f>
        <v>1.0895478994039831</v>
      </c>
      <c r="M475" s="14">
        <f t="shared" si="62"/>
        <v>1.087239616112559</v>
      </c>
      <c r="N475" s="14">
        <f t="shared" si="66"/>
        <v>1.0866577162088258</v>
      </c>
      <c r="O475" s="14">
        <f t="shared" si="59"/>
        <v>1.0842817675297873</v>
      </c>
      <c r="P475" s="14">
        <f t="shared" si="61"/>
        <v>1.0818489751228271</v>
      </c>
      <c r="Q475" s="4" t="str">
        <f t="shared" si="65"/>
        <v>OVER</v>
      </c>
      <c r="R475" s="4" t="str">
        <f t="shared" si="65"/>
        <v>OVER</v>
      </c>
      <c r="S475" s="4" t="str">
        <f t="shared" si="63"/>
        <v>OVER</v>
      </c>
      <c r="T475" s="4" t="str">
        <f t="shared" si="63"/>
        <v>OVER</v>
      </c>
      <c r="U475" s="2">
        <f>IF(Q475="OVER",$J475,$K475)</f>
        <v>133.60053440214901</v>
      </c>
      <c r="V475" s="2">
        <f>IF(R475="OVER",$J475,$K475)</f>
        <v>133.60053440214901</v>
      </c>
      <c r="W475" s="2">
        <f>IF(S475="OVER",$J475,$K475)</f>
        <v>133.60053440214901</v>
      </c>
      <c r="X475" s="2">
        <f>IF(T475="OVER",$J475,$K475)</f>
        <v>133.60053440214901</v>
      </c>
      <c r="Y475" s="9">
        <f t="shared" si="64"/>
        <v>-14436.685030540071</v>
      </c>
      <c r="Z475" s="9">
        <f t="shared" si="64"/>
        <v>-15071.840720087765</v>
      </c>
      <c r="AA475" s="9">
        <f t="shared" si="64"/>
        <v>26847.229012536784</v>
      </c>
      <c r="AB475" s="9">
        <f t="shared" si="64"/>
        <v>6999.301195113313</v>
      </c>
    </row>
    <row r="476" spans="1:28" x14ac:dyDescent="0.3">
      <c r="A476" s="1">
        <v>45104</v>
      </c>
      <c r="B476" s="2">
        <v>69.2</v>
      </c>
      <c r="C476" s="2">
        <v>75.38</v>
      </c>
      <c r="D476" s="9">
        <f>B476-B475</f>
        <v>0.40999999999999659</v>
      </c>
      <c r="E476" s="9">
        <f>C476-C475</f>
        <v>0.42999999999999261</v>
      </c>
      <c r="F476" s="3">
        <f>F$1/B476</f>
        <v>1445.086705202312</v>
      </c>
      <c r="G476" s="3">
        <f>F$1/C476</f>
        <v>1326.6118333775539</v>
      </c>
      <c r="H476" s="2">
        <f>D476*F475</f>
        <v>596.01686291611645</v>
      </c>
      <c r="I476" s="2">
        <f>E476*G475</f>
        <v>573.71581054035028</v>
      </c>
      <c r="J476" s="2">
        <f>I476-H476</f>
        <v>-22.301052375766176</v>
      </c>
      <c r="K476" s="2">
        <f t="shared" si="60"/>
        <v>22.301052375766176</v>
      </c>
      <c r="L476" s="14">
        <f>C476/B476</f>
        <v>1.0893063583815028</v>
      </c>
      <c r="M476" s="14">
        <f t="shared" si="62"/>
        <v>1.0875068856140759</v>
      </c>
      <c r="N476" s="14">
        <f t="shared" si="66"/>
        <v>1.0868388204424266</v>
      </c>
      <c r="O476" s="14">
        <f t="shared" si="59"/>
        <v>1.0844647841844819</v>
      </c>
      <c r="P476" s="14">
        <f t="shared" si="61"/>
        <v>1.0819086284210599</v>
      </c>
      <c r="Q476" s="4" t="str">
        <f t="shared" si="65"/>
        <v>OVER</v>
      </c>
      <c r="R476" s="4" t="str">
        <f t="shared" si="65"/>
        <v>OVER</v>
      </c>
      <c r="S476" s="4" t="str">
        <f t="shared" si="63"/>
        <v>OVER</v>
      </c>
      <c r="T476" s="4" t="str">
        <f t="shared" si="63"/>
        <v>OVER</v>
      </c>
      <c r="U476" s="2">
        <f>IF(Q476="OVER",$J476,$K476)</f>
        <v>-22.301052375766176</v>
      </c>
      <c r="V476" s="2">
        <f>IF(R476="OVER",$J476,$K476)</f>
        <v>-22.301052375766176</v>
      </c>
      <c r="W476" s="2">
        <f>IF(S476="OVER",$J476,$K476)</f>
        <v>-22.301052375766176</v>
      </c>
      <c r="X476" s="2">
        <f>IF(T476="OVER",$J476,$K476)</f>
        <v>-22.301052375766176</v>
      </c>
      <c r="Y476" s="9">
        <f t="shared" si="64"/>
        <v>-14458.986082915837</v>
      </c>
      <c r="Z476" s="9">
        <f t="shared" si="64"/>
        <v>-15094.14177246353</v>
      </c>
      <c r="AA476" s="9">
        <f t="shared" si="64"/>
        <v>26824.927960161018</v>
      </c>
      <c r="AB476" s="9">
        <f t="shared" si="64"/>
        <v>6977.0001427375464</v>
      </c>
    </row>
    <row r="477" spans="1:28" x14ac:dyDescent="0.3">
      <c r="A477" s="1">
        <v>45105</v>
      </c>
      <c r="B477" s="2">
        <v>69.489999999999995</v>
      </c>
      <c r="C477" s="2">
        <v>75.650000000000006</v>
      </c>
      <c r="D477" s="9">
        <f>B477-B476</f>
        <v>0.28999999999999204</v>
      </c>
      <c r="E477" s="9">
        <f>C477-C476</f>
        <v>0.27000000000001023</v>
      </c>
      <c r="F477" s="3">
        <f>F$1/B477</f>
        <v>1439.0559792775939</v>
      </c>
      <c r="G477" s="3">
        <f>F$1/C477</f>
        <v>1321.8770654329146</v>
      </c>
      <c r="H477" s="2">
        <f>D477*F476</f>
        <v>419.07514450865898</v>
      </c>
      <c r="I477" s="2">
        <f>E477*G476</f>
        <v>358.18519501195311</v>
      </c>
      <c r="J477" s="2">
        <f>I477-H477</f>
        <v>-60.889949496705867</v>
      </c>
      <c r="K477" s="2">
        <f t="shared" si="60"/>
        <v>60.889949496705867</v>
      </c>
      <c r="L477" s="14">
        <f>C477/B477</f>
        <v>1.0886458483235</v>
      </c>
      <c r="M477" s="14">
        <f t="shared" si="62"/>
        <v>1.0876305153089438</v>
      </c>
      <c r="N477" s="14">
        <f t="shared" si="66"/>
        <v>1.0871605000035942</v>
      </c>
      <c r="O477" s="14">
        <f t="shared" si="59"/>
        <v>1.0846080273836349</v>
      </c>
      <c r="P477" s="14">
        <f t="shared" si="61"/>
        <v>1.0819472586232362</v>
      </c>
      <c r="Q477" s="4" t="str">
        <f t="shared" si="65"/>
        <v>OVER</v>
      </c>
      <c r="R477" s="4" t="str">
        <f t="shared" si="65"/>
        <v>OVER</v>
      </c>
      <c r="S477" s="4" t="str">
        <f t="shared" si="63"/>
        <v>OVER</v>
      </c>
      <c r="T477" s="4" t="str">
        <f t="shared" si="63"/>
        <v>OVER</v>
      </c>
      <c r="U477" s="2">
        <f>IF(Q477="OVER",$J477,$K477)</f>
        <v>-60.889949496705867</v>
      </c>
      <c r="V477" s="2">
        <f>IF(R477="OVER",$J477,$K477)</f>
        <v>-60.889949496705867</v>
      </c>
      <c r="W477" s="2">
        <f>IF(S477="OVER",$J477,$K477)</f>
        <v>-60.889949496705867</v>
      </c>
      <c r="X477" s="2">
        <f>IF(T477="OVER",$J477,$K477)</f>
        <v>-60.889949496705867</v>
      </c>
      <c r="Y477" s="9">
        <f t="shared" si="64"/>
        <v>-14519.876032412543</v>
      </c>
      <c r="Z477" s="9">
        <f t="shared" si="64"/>
        <v>-15155.031721960237</v>
      </c>
      <c r="AA477" s="9">
        <f t="shared" si="64"/>
        <v>26764.038010664313</v>
      </c>
      <c r="AB477" s="9">
        <f t="shared" si="64"/>
        <v>6916.1101932408401</v>
      </c>
    </row>
    <row r="478" spans="1:28" x14ac:dyDescent="0.3">
      <c r="A478" s="1">
        <v>45106</v>
      </c>
      <c r="B478" s="2">
        <v>69.64</v>
      </c>
      <c r="C478" s="2">
        <v>75.87</v>
      </c>
      <c r="D478" s="9">
        <f>B478-B477</f>
        <v>0.15000000000000568</v>
      </c>
      <c r="E478" s="9">
        <f>C478-C477</f>
        <v>0.21999999999999886</v>
      </c>
      <c r="F478" s="3">
        <f>F$1/B478</f>
        <v>1435.9563469270533</v>
      </c>
      <c r="G478" s="3">
        <f>F$1/C478</f>
        <v>1318.0440226703572</v>
      </c>
      <c r="H478" s="2">
        <f>D478*F477</f>
        <v>215.85839689164726</v>
      </c>
      <c r="I478" s="2">
        <f>E478*G477</f>
        <v>290.81295439523973</v>
      </c>
      <c r="J478" s="2">
        <f>I478-H478</f>
        <v>74.954557503592468</v>
      </c>
      <c r="K478" s="2">
        <f t="shared" si="60"/>
        <v>-74.954557503592468</v>
      </c>
      <c r="L478" s="14">
        <f>C478/B478</f>
        <v>1.0894600804135555</v>
      </c>
      <c r="M478" s="14">
        <f t="shared" si="62"/>
        <v>1.0876988984408134</v>
      </c>
      <c r="N478" s="14">
        <f t="shared" si="66"/>
        <v>1.0874830403688729</v>
      </c>
      <c r="O478" s="14">
        <f t="shared" si="59"/>
        <v>1.0847439911524548</v>
      </c>
      <c r="P478" s="14">
        <f t="shared" si="61"/>
        <v>1.082004667328553</v>
      </c>
      <c r="Q478" s="4" t="str">
        <f t="shared" si="65"/>
        <v>OVER</v>
      </c>
      <c r="R478" s="4" t="str">
        <f t="shared" si="65"/>
        <v>OVER</v>
      </c>
      <c r="S478" s="4" t="str">
        <f t="shared" si="63"/>
        <v>OVER</v>
      </c>
      <c r="T478" s="4" t="str">
        <f t="shared" si="63"/>
        <v>OVER</v>
      </c>
      <c r="U478" s="2">
        <f>IF(Q478="OVER",$J478,$K478)</f>
        <v>74.954557503592468</v>
      </c>
      <c r="V478" s="2">
        <f>IF(R478="OVER",$J478,$K478)</f>
        <v>74.954557503592468</v>
      </c>
      <c r="W478" s="2">
        <f>IF(S478="OVER",$J478,$K478)</f>
        <v>74.954557503592468</v>
      </c>
      <c r="X478" s="2">
        <f>IF(T478="OVER",$J478,$K478)</f>
        <v>74.954557503592468</v>
      </c>
      <c r="Y478" s="9">
        <f t="shared" si="64"/>
        <v>-14444.921474908951</v>
      </c>
      <c r="Z478" s="9">
        <f t="shared" si="64"/>
        <v>-15080.077164456645</v>
      </c>
      <c r="AA478" s="9">
        <f t="shared" si="64"/>
        <v>26838.992568167905</v>
      </c>
      <c r="AB478" s="9">
        <f t="shared" si="64"/>
        <v>6991.0647507444328</v>
      </c>
    </row>
    <row r="479" spans="1:28" x14ac:dyDescent="0.3">
      <c r="A479" s="1">
        <v>45107</v>
      </c>
      <c r="B479" s="2">
        <v>69.95</v>
      </c>
      <c r="C479" s="2">
        <v>76.36</v>
      </c>
      <c r="D479" s="9">
        <f>B479-B478</f>
        <v>0.31000000000000227</v>
      </c>
      <c r="E479" s="9">
        <f>C479-C478</f>
        <v>0.48999999999999488</v>
      </c>
      <c r="F479" s="3">
        <f>F$1/B479</f>
        <v>1429.5925661186561</v>
      </c>
      <c r="G479" s="3">
        <f>F$1/C479</f>
        <v>1309.5861707700367</v>
      </c>
      <c r="H479" s="2">
        <f>D479*F478</f>
        <v>445.14646754738982</v>
      </c>
      <c r="I479" s="2">
        <f>E479*G478</f>
        <v>645.84157110846832</v>
      </c>
      <c r="J479" s="2">
        <f>I479-H479</f>
        <v>200.6951035610785</v>
      </c>
      <c r="K479" s="2">
        <f t="shared" si="60"/>
        <v>-200.6951035610785</v>
      </c>
      <c r="L479" s="14">
        <f>C479/B479</f>
        <v>1.0916368834882058</v>
      </c>
      <c r="M479" s="14">
        <f t="shared" si="62"/>
        <v>1.0881644301076066</v>
      </c>
      <c r="N479" s="14">
        <f t="shared" si="66"/>
        <v>1.0877832196171306</v>
      </c>
      <c r="O479" s="14">
        <f t="shared" si="59"/>
        <v>1.084916046596007</v>
      </c>
      <c r="P479" s="14">
        <f t="shared" si="61"/>
        <v>1.0820786892496737</v>
      </c>
      <c r="Q479" s="4" t="str">
        <f t="shared" si="65"/>
        <v>OVER</v>
      </c>
      <c r="R479" s="4" t="str">
        <f t="shared" si="65"/>
        <v>OVER</v>
      </c>
      <c r="S479" s="4" t="str">
        <f t="shared" si="63"/>
        <v>OVER</v>
      </c>
      <c r="T479" s="4" t="str">
        <f t="shared" si="63"/>
        <v>OVER</v>
      </c>
      <c r="U479" s="2">
        <f>IF(Q479="OVER",$J479,$K479)</f>
        <v>200.6951035610785</v>
      </c>
      <c r="V479" s="2">
        <f>IF(R479="OVER",$J479,$K479)</f>
        <v>200.6951035610785</v>
      </c>
      <c r="W479" s="2">
        <f>IF(S479="OVER",$J479,$K479)</f>
        <v>200.6951035610785</v>
      </c>
      <c r="X479" s="2">
        <f>IF(T479="OVER",$J479,$K479)</f>
        <v>200.6951035610785</v>
      </c>
      <c r="Y479" s="9">
        <f t="shared" si="64"/>
        <v>-14244.226371347873</v>
      </c>
      <c r="Z479" s="9">
        <f t="shared" si="64"/>
        <v>-14879.382060895567</v>
      </c>
      <c r="AA479" s="9">
        <f t="shared" si="64"/>
        <v>27039.687671728985</v>
      </c>
      <c r="AB479" s="9">
        <f t="shared" si="64"/>
        <v>7191.759854305511</v>
      </c>
    </row>
    <row r="480" spans="1:28" x14ac:dyDescent="0.3">
      <c r="A480" s="1">
        <v>45110</v>
      </c>
      <c r="B480" s="2">
        <v>70.349999999999994</v>
      </c>
      <c r="C480" s="2">
        <v>76.69</v>
      </c>
      <c r="D480" s="9">
        <f>B480-B479</f>
        <v>0.39999999999999147</v>
      </c>
      <c r="E480" s="9">
        <f>C480-C479</f>
        <v>0.32999999999999829</v>
      </c>
      <c r="F480" s="3">
        <f>F$1/B480</f>
        <v>1421.4641080312724</v>
      </c>
      <c r="G480" s="3">
        <f>F$1/C480</f>
        <v>1303.9509714434737</v>
      </c>
      <c r="H480" s="2">
        <f>D480*F479</f>
        <v>571.83702644745028</v>
      </c>
      <c r="I480" s="2">
        <f>E480*G479</f>
        <v>432.16343635410988</v>
      </c>
      <c r="J480" s="2">
        <f>I480-H480</f>
        <v>-139.67359009334041</v>
      </c>
      <c r="K480" s="2">
        <f t="shared" si="60"/>
        <v>139.67359009334041</v>
      </c>
      <c r="L480" s="14">
        <f>C480/B480</f>
        <v>1.0901208244491827</v>
      </c>
      <c r="M480" s="14">
        <f t="shared" si="62"/>
        <v>1.0885059090669997</v>
      </c>
      <c r="N480" s="14">
        <f t="shared" si="66"/>
        <v>1.0879105626147378</v>
      </c>
      <c r="O480" s="14">
        <f t="shared" si="59"/>
        <v>1.0851077852205635</v>
      </c>
      <c r="P480" s="14">
        <f t="shared" si="61"/>
        <v>1.0821334355575836</v>
      </c>
      <c r="Q480" s="4" t="str">
        <f t="shared" si="65"/>
        <v>OVER</v>
      </c>
      <c r="R480" s="4" t="str">
        <f t="shared" si="65"/>
        <v>OVER</v>
      </c>
      <c r="S480" s="4" t="str">
        <f t="shared" si="63"/>
        <v>OVER</v>
      </c>
      <c r="T480" s="4" t="str">
        <f t="shared" si="63"/>
        <v>OVER</v>
      </c>
      <c r="U480" s="2">
        <f>IF(Q480="OVER",$J480,$K480)</f>
        <v>-139.67359009334041</v>
      </c>
      <c r="V480" s="2">
        <f>IF(R480="OVER",$J480,$K480)</f>
        <v>-139.67359009334041</v>
      </c>
      <c r="W480" s="2">
        <f>IF(S480="OVER",$J480,$K480)</f>
        <v>-139.67359009334041</v>
      </c>
      <c r="X480" s="2">
        <f>IF(T480="OVER",$J480,$K480)</f>
        <v>-139.67359009334041</v>
      </c>
      <c r="Y480" s="9">
        <f t="shared" si="64"/>
        <v>-14383.899961441213</v>
      </c>
      <c r="Z480" s="9">
        <f t="shared" si="64"/>
        <v>-15019.055650988907</v>
      </c>
      <c r="AA480" s="9">
        <f t="shared" si="64"/>
        <v>26900.014081635643</v>
      </c>
      <c r="AB480" s="9">
        <f t="shared" si="64"/>
        <v>7052.0862642121701</v>
      </c>
    </row>
    <row r="481" spans="1:28" x14ac:dyDescent="0.3">
      <c r="A481" s="1">
        <v>45112</v>
      </c>
      <c r="B481" s="2">
        <v>70.38</v>
      </c>
      <c r="C481" s="2">
        <v>76.819999999999993</v>
      </c>
      <c r="D481" s="9">
        <f>B481-B480</f>
        <v>3.0000000000001137E-2</v>
      </c>
      <c r="E481" s="9">
        <f>C481-C480</f>
        <v>0.12999999999999545</v>
      </c>
      <c r="F481" s="3">
        <f>F$1/B481</f>
        <v>1420.8581983518045</v>
      </c>
      <c r="G481" s="3">
        <f>F$1/C481</f>
        <v>1301.7443374121324</v>
      </c>
      <c r="H481" s="2">
        <f>D481*F480</f>
        <v>42.643923240939792</v>
      </c>
      <c r="I481" s="2">
        <f>E481*G480</f>
        <v>169.51362628764565</v>
      </c>
      <c r="J481" s="2">
        <f>I481-H481</f>
        <v>126.86970304670587</v>
      </c>
      <c r="K481" s="2">
        <f t="shared" si="60"/>
        <v>-126.86970304670587</v>
      </c>
      <c r="L481" s="14">
        <f>C481/B481</f>
        <v>1.0915032679738561</v>
      </c>
      <c r="M481" s="14">
        <f t="shared" si="62"/>
        <v>1.0892832714602925</v>
      </c>
      <c r="N481" s="14">
        <f t="shared" si="66"/>
        <v>1.0881068623101631</v>
      </c>
      <c r="O481" s="14">
        <f t="shared" si="59"/>
        <v>1.0853047073798008</v>
      </c>
      <c r="P481" s="14">
        <f t="shared" si="61"/>
        <v>1.082187702266729</v>
      </c>
      <c r="Q481" s="4" t="str">
        <f t="shared" si="65"/>
        <v>OVER</v>
      </c>
      <c r="R481" s="4" t="str">
        <f t="shared" si="65"/>
        <v>OVER</v>
      </c>
      <c r="S481" s="4" t="str">
        <f t="shared" si="63"/>
        <v>OVER</v>
      </c>
      <c r="T481" s="4" t="str">
        <f t="shared" si="63"/>
        <v>OVER</v>
      </c>
      <c r="U481" s="2">
        <f>IF(Q481="OVER",$J481,$K481)</f>
        <v>126.86970304670587</v>
      </c>
      <c r="V481" s="2">
        <f>IF(R481="OVER",$J481,$K481)</f>
        <v>126.86970304670587</v>
      </c>
      <c r="W481" s="2">
        <f>IF(S481="OVER",$J481,$K481)</f>
        <v>126.86970304670587</v>
      </c>
      <c r="X481" s="2">
        <f>IF(T481="OVER",$J481,$K481)</f>
        <v>126.86970304670587</v>
      </c>
      <c r="Y481" s="9">
        <f t="shared" si="64"/>
        <v>-14257.030258394507</v>
      </c>
      <c r="Z481" s="9">
        <f t="shared" si="64"/>
        <v>-14892.1859479422</v>
      </c>
      <c r="AA481" s="9">
        <f t="shared" si="64"/>
        <v>27026.883784682348</v>
      </c>
      <c r="AB481" s="9">
        <f t="shared" si="64"/>
        <v>7178.9559672588757</v>
      </c>
    </row>
    <row r="482" spans="1:28" x14ac:dyDescent="0.3">
      <c r="A482" s="1">
        <v>45113</v>
      </c>
      <c r="B482" s="2">
        <v>69.59</v>
      </c>
      <c r="C482" s="2">
        <v>75.66</v>
      </c>
      <c r="D482" s="9">
        <f>B482-B481</f>
        <v>-0.78999999999999204</v>
      </c>
      <c r="E482" s="9">
        <f>C482-C481</f>
        <v>-1.1599999999999966</v>
      </c>
      <c r="F482" s="3">
        <f>F$1/B482</f>
        <v>1436.9880729989941</v>
      </c>
      <c r="G482" s="3">
        <f>F$1/C482</f>
        <v>1321.7023526301878</v>
      </c>
      <c r="H482" s="2">
        <f>D482*F481</f>
        <v>-1122.4779766979143</v>
      </c>
      <c r="I482" s="2">
        <f>E482*G481</f>
        <v>-1510.0234313980691</v>
      </c>
      <c r="J482" s="2">
        <f>I482-H482</f>
        <v>-387.54545470015478</v>
      </c>
      <c r="K482" s="2">
        <f t="shared" si="60"/>
        <v>387.54545470015478</v>
      </c>
      <c r="L482" s="14">
        <f>C482/B482</f>
        <v>1.0872251760310387</v>
      </c>
      <c r="M482" s="14">
        <f t="shared" si="62"/>
        <v>1.0894034835878919</v>
      </c>
      <c r="N482" s="14">
        <f t="shared" si="66"/>
        <v>1.0880684139374837</v>
      </c>
      <c r="O482" s="14">
        <f t="shared" si="59"/>
        <v>1.0854699480895134</v>
      </c>
      <c r="P482" s="14">
        <f t="shared" si="61"/>
        <v>1.082214187794698</v>
      </c>
      <c r="Q482" s="4" t="str">
        <f t="shared" si="65"/>
        <v>OVER</v>
      </c>
      <c r="R482" s="4" t="str">
        <f t="shared" si="65"/>
        <v>OVER</v>
      </c>
      <c r="S482" s="4" t="str">
        <f t="shared" si="63"/>
        <v>OVER</v>
      </c>
      <c r="T482" s="4" t="str">
        <f t="shared" si="63"/>
        <v>OVER</v>
      </c>
      <c r="U482" s="2">
        <f>IF(Q482="OVER",$J482,$K482)</f>
        <v>-387.54545470015478</v>
      </c>
      <c r="V482" s="2">
        <f>IF(R482="OVER",$J482,$K482)</f>
        <v>-387.54545470015478</v>
      </c>
      <c r="W482" s="2">
        <f>IF(S482="OVER",$J482,$K482)</f>
        <v>-387.54545470015478</v>
      </c>
      <c r="X482" s="2">
        <f>IF(T482="OVER",$J482,$K482)</f>
        <v>-387.54545470015478</v>
      </c>
      <c r="Y482" s="9">
        <f t="shared" si="64"/>
        <v>-14644.575713094662</v>
      </c>
      <c r="Z482" s="9">
        <f t="shared" si="64"/>
        <v>-15279.731402642356</v>
      </c>
      <c r="AA482" s="9">
        <f t="shared" si="64"/>
        <v>26639.338329982194</v>
      </c>
      <c r="AB482" s="9">
        <f t="shared" si="64"/>
        <v>6791.4105125587212</v>
      </c>
    </row>
    <row r="483" spans="1:28" x14ac:dyDescent="0.3">
      <c r="A483" s="1">
        <v>45114</v>
      </c>
      <c r="B483" s="2">
        <v>69.72</v>
      </c>
      <c r="C483" s="2">
        <v>76.069999999999993</v>
      </c>
      <c r="D483" s="9">
        <f>B483-B482</f>
        <v>0.12999999999999545</v>
      </c>
      <c r="E483" s="9">
        <f>C483-C482</f>
        <v>0.40999999999999659</v>
      </c>
      <c r="F483" s="3">
        <f>F$1/B483</f>
        <v>1434.308663224326</v>
      </c>
      <c r="G483" s="3">
        <f>F$1/C483</f>
        <v>1314.5786775338506</v>
      </c>
      <c r="H483" s="2">
        <f>D483*F482</f>
        <v>186.80844948986271</v>
      </c>
      <c r="I483" s="2">
        <f>E483*G482</f>
        <v>541.89796457837247</v>
      </c>
      <c r="J483" s="2">
        <f>I483-H483</f>
        <v>355.08951508850976</v>
      </c>
      <c r="K483" s="2">
        <f t="shared" si="60"/>
        <v>-355.08951508850976</v>
      </c>
      <c r="L483" s="14">
        <f>C483/B483</f>
        <v>1.0910786001147446</v>
      </c>
      <c r="M483" s="14">
        <f t="shared" si="62"/>
        <v>1.0896619138317905</v>
      </c>
      <c r="N483" s="14">
        <f t="shared" si="66"/>
        <v>1.0881622500465071</v>
      </c>
      <c r="O483" s="14">
        <f t="shared" si="59"/>
        <v>1.0856790087040158</v>
      </c>
      <c r="P483" s="14">
        <f t="shared" si="61"/>
        <v>1.0822591942857955</v>
      </c>
      <c r="Q483" s="4" t="str">
        <f t="shared" si="65"/>
        <v>UNDER</v>
      </c>
      <c r="R483" s="4" t="str">
        <f t="shared" si="65"/>
        <v>UNDER</v>
      </c>
      <c r="S483" s="4" t="str">
        <f t="shared" si="63"/>
        <v>OVER</v>
      </c>
      <c r="T483" s="4" t="str">
        <f t="shared" si="63"/>
        <v>OVER</v>
      </c>
      <c r="U483" s="2">
        <f>IF(Q483="OVER",$J483,$K483)</f>
        <v>-355.08951508850976</v>
      </c>
      <c r="V483" s="2">
        <f>IF(R483="OVER",$J483,$K483)</f>
        <v>-355.08951508850976</v>
      </c>
      <c r="W483" s="2">
        <f>IF(S483="OVER",$J483,$K483)</f>
        <v>355.08951508850976</v>
      </c>
      <c r="X483" s="2">
        <f>IF(T483="OVER",$J483,$K483)</f>
        <v>355.08951508850976</v>
      </c>
      <c r="Y483" s="9">
        <f t="shared" si="64"/>
        <v>-14999.665228183172</v>
      </c>
      <c r="Z483" s="9">
        <f t="shared" si="64"/>
        <v>-15634.820917730865</v>
      </c>
      <c r="AA483" s="9">
        <f t="shared" si="64"/>
        <v>26994.427845070702</v>
      </c>
      <c r="AB483" s="9">
        <f t="shared" si="64"/>
        <v>7146.500027647231</v>
      </c>
    </row>
    <row r="484" spans="1:28" x14ac:dyDescent="0.3">
      <c r="A484" s="1">
        <v>45117</v>
      </c>
      <c r="B484" s="2">
        <v>70.319999999999993</v>
      </c>
      <c r="C484" s="2">
        <v>76.709999999999994</v>
      </c>
      <c r="D484" s="9">
        <f>B484-B483</f>
        <v>0.59999999999999432</v>
      </c>
      <c r="E484" s="9">
        <f>C484-C483</f>
        <v>0.64000000000000057</v>
      </c>
      <c r="F484" s="3">
        <f>F$1/B484</f>
        <v>1422.0705346985212</v>
      </c>
      <c r="G484" s="3">
        <f>F$1/C484</f>
        <v>1303.6110024768609</v>
      </c>
      <c r="H484" s="2">
        <f>D484*F483</f>
        <v>860.58519793458743</v>
      </c>
      <c r="I484" s="2">
        <f>E484*G483</f>
        <v>841.33035362166515</v>
      </c>
      <c r="J484" s="2">
        <f>I484-H484</f>
        <v>-19.254844312922273</v>
      </c>
      <c r="K484" s="2">
        <f t="shared" si="60"/>
        <v>19.254844312922273</v>
      </c>
      <c r="L484" s="14">
        <f>C484/B484</f>
        <v>1.0908703071672354</v>
      </c>
      <c r="M484" s="14">
        <f t="shared" si="62"/>
        <v>1.0899395245746806</v>
      </c>
      <c r="N484" s="14">
        <f t="shared" si="66"/>
        <v>1.0884160840251556</v>
      </c>
      <c r="O484" s="14">
        <f t="shared" si="59"/>
        <v>1.085862954771315</v>
      </c>
      <c r="P484" s="14">
        <f t="shared" si="61"/>
        <v>1.0822931118252481</v>
      </c>
      <c r="Q484" s="4" t="str">
        <f t="shared" si="65"/>
        <v>OVER</v>
      </c>
      <c r="R484" s="4" t="str">
        <f t="shared" si="65"/>
        <v>OVER</v>
      </c>
      <c r="S484" s="4" t="str">
        <f t="shared" si="63"/>
        <v>OVER</v>
      </c>
      <c r="T484" s="4" t="str">
        <f t="shared" si="63"/>
        <v>OVER</v>
      </c>
      <c r="U484" s="2">
        <f>IF(Q484="OVER",$J484,$K484)</f>
        <v>-19.254844312922273</v>
      </c>
      <c r="V484" s="2">
        <f>IF(R484="OVER",$J484,$K484)</f>
        <v>-19.254844312922273</v>
      </c>
      <c r="W484" s="2">
        <f>IF(S484="OVER",$J484,$K484)</f>
        <v>-19.254844312922273</v>
      </c>
      <c r="X484" s="2">
        <f>IF(T484="OVER",$J484,$K484)</f>
        <v>-19.254844312922273</v>
      </c>
      <c r="Y484" s="9">
        <f t="shared" si="64"/>
        <v>-15018.920072496094</v>
      </c>
      <c r="Z484" s="9">
        <f t="shared" si="64"/>
        <v>-15654.075762043787</v>
      </c>
      <c r="AA484" s="9">
        <f t="shared" si="64"/>
        <v>26975.173000757779</v>
      </c>
      <c r="AB484" s="9">
        <f t="shared" si="64"/>
        <v>7127.2451833343084</v>
      </c>
    </row>
    <row r="485" spans="1:28" x14ac:dyDescent="0.3">
      <c r="A485" s="1">
        <v>45118</v>
      </c>
      <c r="B485" s="2">
        <v>70.66</v>
      </c>
      <c r="C485" s="2">
        <v>77.069999999999993</v>
      </c>
      <c r="D485" s="9">
        <f>B485-B484</f>
        <v>0.34000000000000341</v>
      </c>
      <c r="E485" s="9">
        <f>C485-C484</f>
        <v>0.35999999999999943</v>
      </c>
      <c r="F485" s="3">
        <f>F$1/B485</f>
        <v>1415.2278516841211</v>
      </c>
      <c r="G485" s="3">
        <f>F$1/C485</f>
        <v>1297.521733489036</v>
      </c>
      <c r="H485" s="2">
        <f>D485*F484</f>
        <v>483.50398179750204</v>
      </c>
      <c r="I485" s="2">
        <f>E485*G484</f>
        <v>469.29996089166917</v>
      </c>
      <c r="J485" s="2">
        <f>I485-H485</f>
        <v>-14.204020905832863</v>
      </c>
      <c r="K485" s="2">
        <f t="shared" si="60"/>
        <v>14.204020905832863</v>
      </c>
      <c r="L485" s="14">
        <f>C485/B485</f>
        <v>1.0907161052929522</v>
      </c>
      <c r="M485" s="14">
        <f t="shared" si="62"/>
        <v>1.0900563451635772</v>
      </c>
      <c r="N485" s="14">
        <f t="shared" si="66"/>
        <v>1.0886479806380684</v>
      </c>
      <c r="O485" s="14">
        <f t="shared" si="59"/>
        <v>1.0860088374302816</v>
      </c>
      <c r="P485" s="14">
        <f t="shared" si="61"/>
        <v>1.0823396625282193</v>
      </c>
      <c r="Q485" s="4" t="str">
        <f t="shared" si="65"/>
        <v>OVER</v>
      </c>
      <c r="R485" s="4" t="str">
        <f t="shared" si="65"/>
        <v>OVER</v>
      </c>
      <c r="S485" s="4" t="str">
        <f t="shared" si="63"/>
        <v>OVER</v>
      </c>
      <c r="T485" s="4" t="str">
        <f t="shared" si="63"/>
        <v>OVER</v>
      </c>
      <c r="U485" s="2">
        <f>IF(Q485="OVER",$J485,$K485)</f>
        <v>-14.204020905832863</v>
      </c>
      <c r="V485" s="2">
        <f>IF(R485="OVER",$J485,$K485)</f>
        <v>-14.204020905832863</v>
      </c>
      <c r="W485" s="2">
        <f>IF(S485="OVER",$J485,$K485)</f>
        <v>-14.204020905832863</v>
      </c>
      <c r="X485" s="2">
        <f>IF(T485="OVER",$J485,$K485)</f>
        <v>-14.204020905832863</v>
      </c>
      <c r="Y485" s="9">
        <f t="shared" si="64"/>
        <v>-15033.124093401926</v>
      </c>
      <c r="Z485" s="9">
        <f t="shared" si="64"/>
        <v>-15668.279782949619</v>
      </c>
      <c r="AA485" s="9">
        <f t="shared" si="64"/>
        <v>26960.968979851947</v>
      </c>
      <c r="AB485" s="9">
        <f t="shared" si="64"/>
        <v>7113.0411624284752</v>
      </c>
    </row>
    <row r="486" spans="1:28" x14ac:dyDescent="0.3">
      <c r="A486" s="1">
        <v>45119</v>
      </c>
      <c r="B486" s="2">
        <v>70.819999999999993</v>
      </c>
      <c r="C486" s="2">
        <v>77.23</v>
      </c>
      <c r="D486" s="9">
        <f>B486-B485</f>
        <v>0.15999999999999659</v>
      </c>
      <c r="E486" s="9">
        <f>C486-C485</f>
        <v>0.1600000000000108</v>
      </c>
      <c r="F486" s="3">
        <f>F$1/B486</f>
        <v>1412.0304998587972</v>
      </c>
      <c r="G486" s="3">
        <f>F$1/C486</f>
        <v>1294.8336138806162</v>
      </c>
      <c r="H486" s="2">
        <f>D486*F485</f>
        <v>226.43645626945454</v>
      </c>
      <c r="I486" s="2">
        <f>E486*G485</f>
        <v>207.60347735825977</v>
      </c>
      <c r="J486" s="2">
        <f>I486-H486</f>
        <v>-18.832978911194772</v>
      </c>
      <c r="K486" s="2">
        <f t="shared" si="60"/>
        <v>18.832978911194772</v>
      </c>
      <c r="L486" s="14">
        <f>C486/B486</f>
        <v>1.090511155040949</v>
      </c>
      <c r="M486" s="14">
        <f t="shared" si="62"/>
        <v>1.0901768248295218</v>
      </c>
      <c r="N486" s="14">
        <f t="shared" si="66"/>
        <v>1.0888418552217991</v>
      </c>
      <c r="O486" s="14">
        <f t="shared" si="59"/>
        <v>1.0862016139159256</v>
      </c>
      <c r="P486" s="14">
        <f t="shared" si="61"/>
        <v>1.0823788931954661</v>
      </c>
      <c r="Q486" s="4" t="str">
        <f t="shared" si="65"/>
        <v>OVER</v>
      </c>
      <c r="R486" s="4" t="str">
        <f t="shared" si="65"/>
        <v>OVER</v>
      </c>
      <c r="S486" s="4" t="str">
        <f t="shared" si="63"/>
        <v>OVER</v>
      </c>
      <c r="T486" s="4" t="str">
        <f t="shared" si="63"/>
        <v>OVER</v>
      </c>
      <c r="U486" s="2">
        <f>IF(Q486="OVER",$J486,$K486)</f>
        <v>-18.832978911194772</v>
      </c>
      <c r="V486" s="2">
        <f>IF(R486="OVER",$J486,$K486)</f>
        <v>-18.832978911194772</v>
      </c>
      <c r="W486" s="2">
        <f>IF(S486="OVER",$J486,$K486)</f>
        <v>-18.832978911194772</v>
      </c>
      <c r="X486" s="2">
        <f>IF(T486="OVER",$J486,$K486)</f>
        <v>-18.832978911194772</v>
      </c>
      <c r="Y486" s="9">
        <f t="shared" si="64"/>
        <v>-15051.95707231312</v>
      </c>
      <c r="Z486" s="9">
        <f t="shared" si="64"/>
        <v>-15687.112761860813</v>
      </c>
      <c r="AA486" s="9">
        <f t="shared" si="64"/>
        <v>26942.136000940751</v>
      </c>
      <c r="AB486" s="9">
        <f t="shared" si="64"/>
        <v>7094.2081835172803</v>
      </c>
    </row>
    <row r="487" spans="1:28" x14ac:dyDescent="0.3">
      <c r="A487" s="1">
        <v>45120</v>
      </c>
      <c r="B487" s="2">
        <v>71.31</v>
      </c>
      <c r="C487" s="2">
        <v>77.73</v>
      </c>
      <c r="D487" s="9">
        <f>B487-B486</f>
        <v>0.49000000000000909</v>
      </c>
      <c r="E487" s="9">
        <f>C487-C486</f>
        <v>0.5</v>
      </c>
      <c r="F487" s="3">
        <f>F$1/B487</f>
        <v>1402.3278642546627</v>
      </c>
      <c r="G487" s="3">
        <f>F$1/C487</f>
        <v>1286.5045670912132</v>
      </c>
      <c r="H487" s="2">
        <f>D487*F486</f>
        <v>691.8949449308235</v>
      </c>
      <c r="I487" s="2">
        <f>E487*G486</f>
        <v>647.41680694030811</v>
      </c>
      <c r="J487" s="2">
        <f>I487-H487</f>
        <v>-44.478137990515393</v>
      </c>
      <c r="K487" s="2">
        <f t="shared" si="60"/>
        <v>44.478137990515393</v>
      </c>
      <c r="L487" s="14">
        <f>C487/B487</f>
        <v>1.0900294488851494</v>
      </c>
      <c r="M487" s="14">
        <f t="shared" si="62"/>
        <v>1.0903151848856869</v>
      </c>
      <c r="N487" s="14">
        <f t="shared" si="66"/>
        <v>1.0889728500973157</v>
      </c>
      <c r="O487" s="14">
        <f t="shared" si="59"/>
        <v>1.0864003860881781</v>
      </c>
      <c r="P487" s="14">
        <f t="shared" si="61"/>
        <v>1.0824379133039772</v>
      </c>
      <c r="Q487" s="4" t="str">
        <f t="shared" si="65"/>
        <v>OVER</v>
      </c>
      <c r="R487" s="4" t="str">
        <f t="shared" si="65"/>
        <v>OVER</v>
      </c>
      <c r="S487" s="4" t="str">
        <f t="shared" si="63"/>
        <v>OVER</v>
      </c>
      <c r="T487" s="4" t="str">
        <f t="shared" si="63"/>
        <v>OVER</v>
      </c>
      <c r="U487" s="2">
        <f>IF(Q487="OVER",$J487,$K487)</f>
        <v>-44.478137990515393</v>
      </c>
      <c r="V487" s="2">
        <f>IF(R487="OVER",$J487,$K487)</f>
        <v>-44.478137990515393</v>
      </c>
      <c r="W487" s="2">
        <f>IF(S487="OVER",$J487,$K487)</f>
        <v>-44.478137990515393</v>
      </c>
      <c r="X487" s="2">
        <f>IF(T487="OVER",$J487,$K487)</f>
        <v>-44.478137990515393</v>
      </c>
      <c r="Y487" s="9">
        <f t="shared" si="64"/>
        <v>-15096.435210303636</v>
      </c>
      <c r="Z487" s="9">
        <f t="shared" si="64"/>
        <v>-15731.59089985133</v>
      </c>
      <c r="AA487" s="9">
        <f t="shared" si="64"/>
        <v>26897.657862950236</v>
      </c>
      <c r="AB487" s="9">
        <f t="shared" si="64"/>
        <v>7049.730045526765</v>
      </c>
    </row>
    <row r="488" spans="1:28" x14ac:dyDescent="0.3">
      <c r="A488" s="1">
        <v>45121</v>
      </c>
      <c r="B488" s="2">
        <v>70.95</v>
      </c>
      <c r="C488" s="2">
        <v>77.42</v>
      </c>
      <c r="D488" s="9">
        <f>B488-B487</f>
        <v>-0.35999999999999943</v>
      </c>
      <c r="E488" s="9">
        <f>C488-C487</f>
        <v>-0.31000000000000227</v>
      </c>
      <c r="F488" s="3">
        <f>F$1/B488</f>
        <v>1409.4432699083861</v>
      </c>
      <c r="G488" s="3">
        <f>F$1/C488</f>
        <v>1291.655902867476</v>
      </c>
      <c r="H488" s="2">
        <f>D488*F487</f>
        <v>-504.83803113167778</v>
      </c>
      <c r="I488" s="2">
        <f>E488*G487</f>
        <v>-398.81641579827902</v>
      </c>
      <c r="J488" s="2">
        <f>I488-H488</f>
        <v>106.02161533339876</v>
      </c>
      <c r="K488" s="2">
        <f t="shared" si="60"/>
        <v>-106.02161533339876</v>
      </c>
      <c r="L488" s="14">
        <f>C488/B488</f>
        <v>1.0911909795630725</v>
      </c>
      <c r="M488" s="14">
        <f t="shared" si="62"/>
        <v>1.0904882748006386</v>
      </c>
      <c r="N488" s="14">
        <f t="shared" si="66"/>
        <v>1.0890935866207263</v>
      </c>
      <c r="O488" s="14">
        <f t="shared" si="59"/>
        <v>1.0866242056794393</v>
      </c>
      <c r="P488" s="14">
        <f t="shared" si="61"/>
        <v>1.0824908455317674</v>
      </c>
      <c r="Q488" s="4" t="str">
        <f t="shared" si="65"/>
        <v>UNDER</v>
      </c>
      <c r="R488" s="4" t="str">
        <f t="shared" si="65"/>
        <v>OVER</v>
      </c>
      <c r="S488" s="4" t="str">
        <f t="shared" si="63"/>
        <v>OVER</v>
      </c>
      <c r="T488" s="4" t="str">
        <f t="shared" si="63"/>
        <v>OVER</v>
      </c>
      <c r="U488" s="2">
        <f>IF(Q488="OVER",$J488,$K488)</f>
        <v>-106.02161533339876</v>
      </c>
      <c r="V488" s="2">
        <f>IF(R488="OVER",$J488,$K488)</f>
        <v>106.02161533339876</v>
      </c>
      <c r="W488" s="2">
        <f>IF(S488="OVER",$J488,$K488)</f>
        <v>106.02161533339876</v>
      </c>
      <c r="X488" s="2">
        <f>IF(T488="OVER",$J488,$K488)</f>
        <v>106.02161533339876</v>
      </c>
      <c r="Y488" s="9">
        <f t="shared" si="64"/>
        <v>-15202.456825637035</v>
      </c>
      <c r="Z488" s="9">
        <f t="shared" si="64"/>
        <v>-15625.569284517931</v>
      </c>
      <c r="AA488" s="9">
        <f t="shared" si="64"/>
        <v>27003.679478283637</v>
      </c>
      <c r="AB488" s="9">
        <f t="shared" si="64"/>
        <v>7155.7516608601636</v>
      </c>
    </row>
    <row r="489" spans="1:28" x14ac:dyDescent="0.3">
      <c r="A489" s="1">
        <v>45124</v>
      </c>
      <c r="B489" s="2">
        <v>71.5</v>
      </c>
      <c r="C489" s="2">
        <v>77.87</v>
      </c>
      <c r="D489" s="9">
        <f>B489-B488</f>
        <v>0.54999999999999716</v>
      </c>
      <c r="E489" s="9">
        <f>C489-C488</f>
        <v>0.45000000000000284</v>
      </c>
      <c r="F489" s="3">
        <f>F$1/B489</f>
        <v>1398.6013986013986</v>
      </c>
      <c r="G489" s="3">
        <f>F$1/C489</f>
        <v>1284.1916013869268</v>
      </c>
      <c r="H489" s="2">
        <f>D489*F488</f>
        <v>775.19379844960838</v>
      </c>
      <c r="I489" s="2">
        <f>E489*G488</f>
        <v>581.24515629036785</v>
      </c>
      <c r="J489" s="2">
        <f>I489-H489</f>
        <v>-193.94864215924053</v>
      </c>
      <c r="K489" s="2">
        <f t="shared" si="60"/>
        <v>193.94864215924053</v>
      </c>
      <c r="L489" s="14">
        <f>C489/B489</f>
        <v>1.0890909090909091</v>
      </c>
      <c r="M489" s="14">
        <f t="shared" si="62"/>
        <v>1.0902336773609089</v>
      </c>
      <c r="N489" s="14">
        <f t="shared" si="66"/>
        <v>1.089199053734258</v>
      </c>
      <c r="O489" s="14">
        <f t="shared" si="59"/>
        <v>1.0868182376017155</v>
      </c>
      <c r="P489" s="14">
        <f t="shared" si="61"/>
        <v>1.0825018596553739</v>
      </c>
      <c r="Q489" s="4" t="str">
        <f t="shared" si="65"/>
        <v>OVER</v>
      </c>
      <c r="R489" s="4" t="str">
        <f t="shared" si="65"/>
        <v>OVER</v>
      </c>
      <c r="S489" s="4" t="str">
        <f t="shared" si="63"/>
        <v>OVER</v>
      </c>
      <c r="T489" s="4" t="str">
        <f t="shared" si="63"/>
        <v>OVER</v>
      </c>
      <c r="U489" s="2">
        <f>IF(Q489="OVER",$J489,$K489)</f>
        <v>-193.94864215924053</v>
      </c>
      <c r="V489" s="2">
        <f>IF(R489="OVER",$J489,$K489)</f>
        <v>-193.94864215924053</v>
      </c>
      <c r="W489" s="2">
        <f>IF(S489="OVER",$J489,$K489)</f>
        <v>-193.94864215924053</v>
      </c>
      <c r="X489" s="2">
        <f>IF(T489="OVER",$J489,$K489)</f>
        <v>-193.94864215924053</v>
      </c>
      <c r="Y489" s="9">
        <f t="shared" si="64"/>
        <v>-15396.405467796276</v>
      </c>
      <c r="Z489" s="9">
        <f t="shared" si="64"/>
        <v>-15819.517926677172</v>
      </c>
      <c r="AA489" s="9">
        <f t="shared" si="64"/>
        <v>26809.730836124396</v>
      </c>
      <c r="AB489" s="9">
        <f t="shared" si="64"/>
        <v>6961.8030187009226</v>
      </c>
    </row>
    <row r="490" spans="1:28" x14ac:dyDescent="0.3">
      <c r="A490" s="1">
        <v>45125</v>
      </c>
      <c r="B490" s="2">
        <v>71.61</v>
      </c>
      <c r="C490" s="2">
        <v>78.06</v>
      </c>
      <c r="D490" s="9">
        <f>B490-B489</f>
        <v>0.10999999999999943</v>
      </c>
      <c r="E490" s="9">
        <f>C490-C489</f>
        <v>0.18999999999999773</v>
      </c>
      <c r="F490" s="3">
        <f>F$1/B490</f>
        <v>1396.4530093562353</v>
      </c>
      <c r="G490" s="3">
        <f>F$1/C490</f>
        <v>1281.0658467845246</v>
      </c>
      <c r="H490" s="2">
        <f>D490*F489</f>
        <v>153.84615384615304</v>
      </c>
      <c r="I490" s="2">
        <f>E490*G489</f>
        <v>243.99640426351317</v>
      </c>
      <c r="J490" s="2">
        <f>I490-H490</f>
        <v>90.150250417360127</v>
      </c>
      <c r="K490" s="2">
        <f t="shared" si="60"/>
        <v>-90.150250417360127</v>
      </c>
      <c r="L490" s="14">
        <f>C490/B490</f>
        <v>1.0900712191034772</v>
      </c>
      <c r="M490" s="14">
        <f t="shared" si="62"/>
        <v>1.0902287168263383</v>
      </c>
      <c r="N490" s="14">
        <f t="shared" si="66"/>
        <v>1.0893673129466692</v>
      </c>
      <c r="O490" s="14">
        <f t="shared" si="59"/>
        <v>1.0870560644879845</v>
      </c>
      <c r="P490" s="14">
        <f t="shared" si="61"/>
        <v>1.0825287503274259</v>
      </c>
      <c r="Q490" s="4" t="str">
        <f t="shared" si="65"/>
        <v>UNDER</v>
      </c>
      <c r="R490" s="4" t="str">
        <f t="shared" si="65"/>
        <v>UNDER</v>
      </c>
      <c r="S490" s="4" t="str">
        <f t="shared" si="63"/>
        <v>OVER</v>
      </c>
      <c r="T490" s="4" t="str">
        <f t="shared" si="63"/>
        <v>OVER</v>
      </c>
      <c r="U490" s="2">
        <f>IF(Q490="OVER",$J490,$K490)</f>
        <v>-90.150250417360127</v>
      </c>
      <c r="V490" s="2">
        <f>IF(R490="OVER",$J490,$K490)</f>
        <v>-90.150250417360127</v>
      </c>
      <c r="W490" s="2">
        <f>IF(S490="OVER",$J490,$K490)</f>
        <v>90.150250417360127</v>
      </c>
      <c r="X490" s="2">
        <f>IF(T490="OVER",$J490,$K490)</f>
        <v>90.150250417360127</v>
      </c>
      <c r="Y490" s="9">
        <f t="shared" si="64"/>
        <v>-15486.555718213636</v>
      </c>
      <c r="Z490" s="9">
        <f t="shared" si="64"/>
        <v>-15909.668177094532</v>
      </c>
      <c r="AA490" s="9">
        <f t="shared" si="64"/>
        <v>26899.881086541754</v>
      </c>
      <c r="AB490" s="9">
        <f t="shared" si="64"/>
        <v>7051.9532691182831</v>
      </c>
    </row>
    <row r="491" spans="1:28" x14ac:dyDescent="0.3">
      <c r="A491" s="1">
        <v>45126</v>
      </c>
      <c r="B491" s="2">
        <v>71.66</v>
      </c>
      <c r="C491" s="2">
        <v>78.180000000000007</v>
      </c>
      <c r="D491" s="9">
        <f>B491-B490</f>
        <v>4.9999999999997158E-2</v>
      </c>
      <c r="E491" s="9">
        <f>C491-C490</f>
        <v>0.12000000000000455</v>
      </c>
      <c r="F491" s="3">
        <f>F$1/B491</f>
        <v>1395.4786491766677</v>
      </c>
      <c r="G491" s="3">
        <f>F$1/C491</f>
        <v>1279.0995139421846</v>
      </c>
      <c r="H491" s="2">
        <f>D491*F490</f>
        <v>69.82265046780779</v>
      </c>
      <c r="I491" s="2">
        <f>E491*G490</f>
        <v>153.72790161414878</v>
      </c>
      <c r="J491" s="2">
        <f>I491-H491</f>
        <v>83.905251146340987</v>
      </c>
      <c r="K491" s="2">
        <f t="shared" si="60"/>
        <v>-83.905251146340987</v>
      </c>
      <c r="L491" s="14">
        <f>C491/B491</f>
        <v>1.0909852079263189</v>
      </c>
      <c r="M491" s="14">
        <f t="shared" si="62"/>
        <v>1.0901769108215846</v>
      </c>
      <c r="N491" s="14">
        <f t="shared" si="66"/>
        <v>1.0897300911409389</v>
      </c>
      <c r="O491" s="14">
        <f t="shared" si="59"/>
        <v>1.0872683825408656</v>
      </c>
      <c r="P491" s="14">
        <f t="shared" si="61"/>
        <v>1.0825348475665542</v>
      </c>
      <c r="Q491" s="4" t="str">
        <f t="shared" si="65"/>
        <v>UNDER</v>
      </c>
      <c r="R491" s="4" t="str">
        <f t="shared" si="65"/>
        <v>OVER</v>
      </c>
      <c r="S491" s="4" t="str">
        <f t="shared" si="63"/>
        <v>OVER</v>
      </c>
      <c r="T491" s="4" t="str">
        <f t="shared" si="63"/>
        <v>OVER</v>
      </c>
      <c r="U491" s="2">
        <f>IF(Q491="OVER",$J491,$K491)</f>
        <v>-83.905251146340987</v>
      </c>
      <c r="V491" s="2">
        <f>IF(R491="OVER",$J491,$K491)</f>
        <v>83.905251146340987</v>
      </c>
      <c r="W491" s="2">
        <f>IF(S491="OVER",$J491,$K491)</f>
        <v>83.905251146340987</v>
      </c>
      <c r="X491" s="2">
        <f>IF(T491="OVER",$J491,$K491)</f>
        <v>83.905251146340987</v>
      </c>
      <c r="Y491" s="9">
        <f t="shared" si="64"/>
        <v>-15570.460969359978</v>
      </c>
      <c r="Z491" s="9">
        <f t="shared" si="64"/>
        <v>-15825.762925948191</v>
      </c>
      <c r="AA491" s="9">
        <f t="shared" si="64"/>
        <v>26983.786337688096</v>
      </c>
      <c r="AB491" s="9">
        <f t="shared" si="64"/>
        <v>7135.8585202646236</v>
      </c>
    </row>
    <row r="492" spans="1:28" x14ac:dyDescent="0.3">
      <c r="A492" s="1">
        <v>45127</v>
      </c>
      <c r="B492" s="2">
        <v>71.09</v>
      </c>
      <c r="C492" s="2">
        <v>77.41</v>
      </c>
      <c r="D492" s="9">
        <f>B492-B491</f>
        <v>-0.56999999999999318</v>
      </c>
      <c r="E492" s="9">
        <f>C492-C491</f>
        <v>-0.77000000000001023</v>
      </c>
      <c r="F492" s="3">
        <f>F$1/B492</f>
        <v>1406.6676044450696</v>
      </c>
      <c r="G492" s="3">
        <f>F$1/C492</f>
        <v>1291.822761917065</v>
      </c>
      <c r="H492" s="2">
        <f>D492*F491</f>
        <v>-795.4228300306911</v>
      </c>
      <c r="I492" s="2">
        <f>E492*G491</f>
        <v>-984.90662573549514</v>
      </c>
      <c r="J492" s="2">
        <f>I492-H492</f>
        <v>-189.48379570480404</v>
      </c>
      <c r="K492" s="2">
        <f t="shared" si="60"/>
        <v>189.48379570480404</v>
      </c>
      <c r="L492" s="14">
        <f>C492/B492</f>
        <v>1.0889013926009283</v>
      </c>
      <c r="M492" s="14">
        <f t="shared" si="62"/>
        <v>1.0903445324785737</v>
      </c>
      <c r="N492" s="14">
        <f t="shared" si="66"/>
        <v>1.089874008033233</v>
      </c>
      <c r="O492" s="14">
        <f t="shared" si="59"/>
        <v>1.0873817578249083</v>
      </c>
      <c r="P492" s="14">
        <f t="shared" si="61"/>
        <v>1.082537016456889</v>
      </c>
      <c r="Q492" s="4" t="str">
        <f t="shared" si="65"/>
        <v>OVER</v>
      </c>
      <c r="R492" s="4" t="str">
        <f t="shared" si="65"/>
        <v>OVER</v>
      </c>
      <c r="S492" s="4" t="str">
        <f t="shared" si="63"/>
        <v>OVER</v>
      </c>
      <c r="T492" s="4" t="str">
        <f t="shared" si="63"/>
        <v>OVER</v>
      </c>
      <c r="U492" s="2">
        <f>IF(Q492="OVER",$J492,$K492)</f>
        <v>-189.48379570480404</v>
      </c>
      <c r="V492" s="2">
        <f>IF(R492="OVER",$J492,$K492)</f>
        <v>-189.48379570480404</v>
      </c>
      <c r="W492" s="2">
        <f>IF(S492="OVER",$J492,$K492)</f>
        <v>-189.48379570480404</v>
      </c>
      <c r="X492" s="2">
        <f>IF(T492="OVER",$J492,$K492)</f>
        <v>-189.48379570480404</v>
      </c>
      <c r="Y492" s="9">
        <f t="shared" si="64"/>
        <v>-15759.944765064782</v>
      </c>
      <c r="Z492" s="9">
        <f t="shared" si="64"/>
        <v>-16015.246721652995</v>
      </c>
      <c r="AA492" s="9">
        <f t="shared" si="64"/>
        <v>26794.302541983292</v>
      </c>
      <c r="AB492" s="9">
        <f t="shared" si="64"/>
        <v>6946.3747245598197</v>
      </c>
    </row>
    <row r="493" spans="1:28" x14ac:dyDescent="0.3">
      <c r="A493" s="1">
        <v>45128</v>
      </c>
      <c r="B493" s="2">
        <v>71.209999999999994</v>
      </c>
      <c r="C493" s="2">
        <v>77.52</v>
      </c>
      <c r="D493" s="9">
        <f>B493-B492</f>
        <v>0.11999999999999034</v>
      </c>
      <c r="E493" s="9">
        <f>C493-C492</f>
        <v>0.10999999999999943</v>
      </c>
      <c r="F493" s="3">
        <f>F$1/B493</f>
        <v>1404.2971492767872</v>
      </c>
      <c r="G493" s="3">
        <f>F$1/C493</f>
        <v>1289.9896800825595</v>
      </c>
      <c r="H493" s="2">
        <f>D493*F492</f>
        <v>168.80011253339475</v>
      </c>
      <c r="I493" s="2">
        <f>E493*G492</f>
        <v>142.1005038108764</v>
      </c>
      <c r="J493" s="2">
        <f>I493-H493</f>
        <v>-26.699608722518349</v>
      </c>
      <c r="K493" s="2">
        <f t="shared" si="60"/>
        <v>26.699608722518349</v>
      </c>
      <c r="L493" s="14">
        <f>C493/B493</f>
        <v>1.0886111501193654</v>
      </c>
      <c r="M493" s="14">
        <f t="shared" si="62"/>
        <v>1.0900977874790356</v>
      </c>
      <c r="N493" s="14">
        <f t="shared" si="66"/>
        <v>1.089879850655413</v>
      </c>
      <c r="O493" s="14">
        <f t="shared" si="59"/>
        <v>1.0874973907426522</v>
      </c>
      <c r="P493" s="14">
        <f t="shared" si="61"/>
        <v>1.0825466453287831</v>
      </c>
      <c r="Q493" s="4" t="str">
        <f t="shared" si="65"/>
        <v>UNDER</v>
      </c>
      <c r="R493" s="4" t="str">
        <f t="shared" si="65"/>
        <v>UNDER</v>
      </c>
      <c r="S493" s="4" t="str">
        <f t="shared" si="63"/>
        <v>OVER</v>
      </c>
      <c r="T493" s="4" t="str">
        <f t="shared" si="63"/>
        <v>OVER</v>
      </c>
      <c r="U493" s="2">
        <f>IF(Q493="OVER",$J493,$K493)</f>
        <v>26.699608722518349</v>
      </c>
      <c r="V493" s="2">
        <f>IF(R493="OVER",$J493,$K493)</f>
        <v>26.699608722518349</v>
      </c>
      <c r="W493" s="2">
        <f>IF(S493="OVER",$J493,$K493)</f>
        <v>-26.699608722518349</v>
      </c>
      <c r="X493" s="2">
        <f>IF(T493="OVER",$J493,$K493)</f>
        <v>-26.699608722518349</v>
      </c>
      <c r="Y493" s="9">
        <f t="shared" si="64"/>
        <v>-15733.245156342264</v>
      </c>
      <c r="Z493" s="9">
        <f t="shared" si="64"/>
        <v>-15988.547112930477</v>
      </c>
      <c r="AA493" s="9">
        <f t="shared" si="64"/>
        <v>26767.602933260772</v>
      </c>
      <c r="AB493" s="9">
        <f t="shared" si="64"/>
        <v>6919.6751158373017</v>
      </c>
    </row>
    <row r="494" spans="1:28" x14ac:dyDescent="0.3">
      <c r="A494" s="1">
        <v>45131</v>
      </c>
      <c r="B494" s="2">
        <v>71.209999999999994</v>
      </c>
      <c r="C494" s="2">
        <v>77.5</v>
      </c>
      <c r="D494" s="9">
        <f>B494-B493</f>
        <v>0</v>
      </c>
      <c r="E494" s="9">
        <f>C494-C493</f>
        <v>-1.9999999999996021E-2</v>
      </c>
      <c r="F494" s="3">
        <f>F$1/B494</f>
        <v>1404.2971492767872</v>
      </c>
      <c r="G494" s="3">
        <f>F$1/C494</f>
        <v>1290.3225806451612</v>
      </c>
      <c r="H494" s="2">
        <f>D494*F493</f>
        <v>0</v>
      </c>
      <c r="I494" s="2">
        <f>E494*G493</f>
        <v>-25.799793601646059</v>
      </c>
      <c r="J494" s="2">
        <f>I494-H494</f>
        <v>-25.799793601646059</v>
      </c>
      <c r="K494" s="2">
        <f t="shared" si="60"/>
        <v>25.799793601646059</v>
      </c>
      <c r="L494" s="14">
        <f>C494/B494</f>
        <v>1.08833029068951</v>
      </c>
      <c r="M494" s="14">
        <f t="shared" si="62"/>
        <v>1.0898437858312633</v>
      </c>
      <c r="N494" s="14">
        <f t="shared" si="66"/>
        <v>1.089891655202972</v>
      </c>
      <c r="O494" s="14">
        <f t="shared" si="59"/>
        <v>1.0875666797038648</v>
      </c>
      <c r="P494" s="14">
        <f t="shared" si="61"/>
        <v>1.0825630723793704</v>
      </c>
      <c r="Q494" s="4" t="str">
        <f t="shared" si="65"/>
        <v>UNDER</v>
      </c>
      <c r="R494" s="4" t="str">
        <f t="shared" si="65"/>
        <v>UNDER</v>
      </c>
      <c r="S494" s="4" t="str">
        <f t="shared" si="63"/>
        <v>OVER</v>
      </c>
      <c r="T494" s="4" t="str">
        <f t="shared" si="63"/>
        <v>OVER</v>
      </c>
      <c r="U494" s="2">
        <f>IF(Q494="OVER",$J494,$K494)</f>
        <v>25.799793601646059</v>
      </c>
      <c r="V494" s="2">
        <f>IF(R494="OVER",$J494,$K494)</f>
        <v>25.799793601646059</v>
      </c>
      <c r="W494" s="2">
        <f>IF(S494="OVER",$J494,$K494)</f>
        <v>-25.799793601646059</v>
      </c>
      <c r="X494" s="2">
        <f>IF(T494="OVER",$J494,$K494)</f>
        <v>-25.799793601646059</v>
      </c>
      <c r="Y494" s="9">
        <f t="shared" si="64"/>
        <v>-15707.445362740618</v>
      </c>
      <c r="Z494" s="9">
        <f t="shared" si="64"/>
        <v>-15962.747319328832</v>
      </c>
      <c r="AA494" s="9">
        <f t="shared" si="64"/>
        <v>26741.803139659125</v>
      </c>
      <c r="AB494" s="9">
        <f t="shared" si="64"/>
        <v>6893.8753222356554</v>
      </c>
    </row>
    <row r="495" spans="1:28" x14ac:dyDescent="0.3">
      <c r="A495" s="1">
        <v>45132</v>
      </c>
      <c r="B495" s="2">
        <v>71.23</v>
      </c>
      <c r="C495" s="2">
        <v>77.55</v>
      </c>
      <c r="D495" s="9">
        <f>B495-B494</f>
        <v>2.0000000000010232E-2</v>
      </c>
      <c r="E495" s="9">
        <f>C495-C494</f>
        <v>4.9999999999997158E-2</v>
      </c>
      <c r="F495" s="3">
        <f>F$1/B495</f>
        <v>1403.9028499227852</v>
      </c>
      <c r="G495" s="3">
        <f>F$1/C495</f>
        <v>1289.4906511927788</v>
      </c>
      <c r="H495" s="2">
        <f>D495*F494</f>
        <v>28.085942985550112</v>
      </c>
      <c r="I495" s="2">
        <f>E495*G494</f>
        <v>64.516129032254398</v>
      </c>
      <c r="J495" s="2">
        <f>I495-H495</f>
        <v>36.430186046704286</v>
      </c>
      <c r="K495" s="2">
        <f t="shared" si="60"/>
        <v>-36.430186046704286</v>
      </c>
      <c r="L495" s="14">
        <f>C495/B495</f>
        <v>1.08872666011512</v>
      </c>
      <c r="M495" s="14">
        <f t="shared" si="62"/>
        <v>1.0896448413134801</v>
      </c>
      <c r="N495" s="14">
        <f t="shared" si="66"/>
        <v>1.0898505932385287</v>
      </c>
      <c r="O495" s="14">
        <f t="shared" si="59"/>
        <v>1.0876587162982974</v>
      </c>
      <c r="P495" s="14">
        <f t="shared" si="61"/>
        <v>1.0825834413681314</v>
      </c>
      <c r="Q495" s="4" t="str">
        <f t="shared" si="65"/>
        <v>UNDER</v>
      </c>
      <c r="R495" s="4" t="str">
        <f t="shared" si="65"/>
        <v>UNDER</v>
      </c>
      <c r="S495" s="4" t="str">
        <f t="shared" si="63"/>
        <v>OVER</v>
      </c>
      <c r="T495" s="4" t="str">
        <f t="shared" si="63"/>
        <v>OVER</v>
      </c>
      <c r="U495" s="2">
        <f>IF(Q495="OVER",$J495,$K495)</f>
        <v>-36.430186046704286</v>
      </c>
      <c r="V495" s="2">
        <f>IF(R495="OVER",$J495,$K495)</f>
        <v>-36.430186046704286</v>
      </c>
      <c r="W495" s="2">
        <f>IF(S495="OVER",$J495,$K495)</f>
        <v>36.430186046704286</v>
      </c>
      <c r="X495" s="2">
        <f>IF(T495="OVER",$J495,$K495)</f>
        <v>36.430186046704286</v>
      </c>
      <c r="Y495" s="9">
        <f t="shared" si="64"/>
        <v>-15743.875548787322</v>
      </c>
      <c r="Z495" s="9">
        <f t="shared" si="64"/>
        <v>-15999.177505375535</v>
      </c>
      <c r="AA495" s="9">
        <f t="shared" si="64"/>
        <v>26778.233325705831</v>
      </c>
      <c r="AB495" s="9">
        <f t="shared" si="64"/>
        <v>6930.3055082823594</v>
      </c>
    </row>
    <row r="496" spans="1:28" x14ac:dyDescent="0.3">
      <c r="A496" s="1">
        <v>45133</v>
      </c>
      <c r="B496" s="2">
        <v>71.27</v>
      </c>
      <c r="C496" s="2">
        <v>77.650000000000006</v>
      </c>
      <c r="D496" s="9">
        <f>B496-B495</f>
        <v>3.9999999999992042E-2</v>
      </c>
      <c r="E496" s="9">
        <f>C496-C495</f>
        <v>0.10000000000000853</v>
      </c>
      <c r="F496" s="3">
        <f>F$1/B496</f>
        <v>1403.1149151115478</v>
      </c>
      <c r="G496" s="3">
        <f>F$1/C496</f>
        <v>1287.8300064391499</v>
      </c>
      <c r="H496" s="2">
        <f>D496*F495</f>
        <v>56.156113996900238</v>
      </c>
      <c r="I496" s="2">
        <f>E496*G495</f>
        <v>128.94906511928889</v>
      </c>
      <c r="J496" s="2">
        <f>I496-H496</f>
        <v>72.792951122388644</v>
      </c>
      <c r="K496" s="2">
        <f t="shared" si="60"/>
        <v>-72.792951122388644</v>
      </c>
      <c r="L496" s="14">
        <f>C496/B496</f>
        <v>1.0895187315841168</v>
      </c>
      <c r="M496" s="14">
        <f t="shared" si="62"/>
        <v>1.0895455989677967</v>
      </c>
      <c r="N496" s="14">
        <f t="shared" si="66"/>
        <v>1.0898612118986593</v>
      </c>
      <c r="O496" s="14">
        <f t="shared" si="59"/>
        <v>1.087787199812501</v>
      </c>
      <c r="P496" s="14">
        <f t="shared" si="61"/>
        <v>1.0825978082862926</v>
      </c>
      <c r="Q496" s="4" t="str">
        <f t="shared" si="65"/>
        <v>UNDER</v>
      </c>
      <c r="R496" s="4" t="str">
        <f t="shared" si="65"/>
        <v>UNDER</v>
      </c>
      <c r="S496" s="4" t="str">
        <f t="shared" si="63"/>
        <v>OVER</v>
      </c>
      <c r="T496" s="4" t="str">
        <f t="shared" si="63"/>
        <v>OVER</v>
      </c>
      <c r="U496" s="2">
        <f>IF(Q496="OVER",$J496,$K496)</f>
        <v>-72.792951122388644</v>
      </c>
      <c r="V496" s="2">
        <f>IF(R496="OVER",$J496,$K496)</f>
        <v>-72.792951122388644</v>
      </c>
      <c r="W496" s="2">
        <f>IF(S496="OVER",$J496,$K496)</f>
        <v>72.792951122388644</v>
      </c>
      <c r="X496" s="2">
        <f>IF(T496="OVER",$J496,$K496)</f>
        <v>72.792951122388644</v>
      </c>
      <c r="Y496" s="9">
        <f t="shared" si="64"/>
        <v>-15816.668499909711</v>
      </c>
      <c r="Z496" s="9">
        <f t="shared" si="64"/>
        <v>-16071.970456497924</v>
      </c>
      <c r="AA496" s="9">
        <f t="shared" si="64"/>
        <v>26851.026276828219</v>
      </c>
      <c r="AB496" s="9">
        <f t="shared" si="64"/>
        <v>7003.0984594047477</v>
      </c>
    </row>
    <row r="497" spans="1:28" x14ac:dyDescent="0.3">
      <c r="A497" s="1">
        <v>45134</v>
      </c>
      <c r="B497" s="2">
        <v>71.05</v>
      </c>
      <c r="C497" s="2">
        <v>77.37</v>
      </c>
      <c r="D497" s="9">
        <f>B497-B496</f>
        <v>-0.21999999999999886</v>
      </c>
      <c r="E497" s="9">
        <f>C497-C496</f>
        <v>-0.28000000000000114</v>
      </c>
      <c r="F497" s="3">
        <f>F$1/B497</f>
        <v>1407.4595355383533</v>
      </c>
      <c r="G497" s="3">
        <f>F$1/C497</f>
        <v>1292.4906294429366</v>
      </c>
      <c r="H497" s="2">
        <f>D497*F496</f>
        <v>-308.68528132453895</v>
      </c>
      <c r="I497" s="2">
        <f>E497*G496</f>
        <v>-360.59240180296342</v>
      </c>
      <c r="J497" s="2">
        <f>I497-H497</f>
        <v>-51.907120478424474</v>
      </c>
      <c r="K497" s="2">
        <f t="shared" si="60"/>
        <v>51.907120478424474</v>
      </c>
      <c r="L497" s="14">
        <f>C497/B497</f>
        <v>1.0889514426460241</v>
      </c>
      <c r="M497" s="14">
        <f t="shared" si="62"/>
        <v>1.0894377983438843</v>
      </c>
      <c r="N497" s="14">
        <f t="shared" si="66"/>
        <v>1.0898764916147858</v>
      </c>
      <c r="O497" s="14">
        <f t="shared" si="59"/>
        <v>1.0879050691580618</v>
      </c>
      <c r="P497" s="14">
        <f t="shared" si="61"/>
        <v>1.0826100288765466</v>
      </c>
      <c r="Q497" s="4" t="str">
        <f t="shared" si="65"/>
        <v>UNDER</v>
      </c>
      <c r="R497" s="4" t="str">
        <f t="shared" si="65"/>
        <v>UNDER</v>
      </c>
      <c r="S497" s="4" t="str">
        <f t="shared" si="63"/>
        <v>OVER</v>
      </c>
      <c r="T497" s="4" t="str">
        <f t="shared" si="63"/>
        <v>OVER</v>
      </c>
      <c r="U497" s="2">
        <f>IF(Q497="OVER",$J497,$K497)</f>
        <v>51.907120478424474</v>
      </c>
      <c r="V497" s="2">
        <f>IF(R497="OVER",$J497,$K497)</f>
        <v>51.907120478424474</v>
      </c>
      <c r="W497" s="2">
        <f>IF(S497="OVER",$J497,$K497)</f>
        <v>-51.907120478424474</v>
      </c>
      <c r="X497" s="2">
        <f>IF(T497="OVER",$J497,$K497)</f>
        <v>-51.907120478424474</v>
      </c>
      <c r="Y497" s="9">
        <f t="shared" si="64"/>
        <v>-15764.761379431286</v>
      </c>
      <c r="Z497" s="9">
        <f t="shared" si="64"/>
        <v>-16020.063336019499</v>
      </c>
      <c r="AA497" s="9">
        <f t="shared" si="64"/>
        <v>26799.119156349796</v>
      </c>
      <c r="AB497" s="9">
        <f t="shared" si="64"/>
        <v>6951.1913389263236</v>
      </c>
    </row>
    <row r="498" spans="1:28" x14ac:dyDescent="0.3">
      <c r="A498" s="1">
        <v>45135</v>
      </c>
      <c r="B498" s="2">
        <v>71.69</v>
      </c>
      <c r="C498" s="2">
        <v>78.069999999999993</v>
      </c>
      <c r="D498" s="9">
        <f>B498-B497</f>
        <v>0.64000000000000057</v>
      </c>
      <c r="E498" s="9">
        <f>C498-C497</f>
        <v>0.69999999999998863</v>
      </c>
      <c r="F498" s="3">
        <f>F$1/B498</f>
        <v>1394.8946854512485</v>
      </c>
      <c r="G498" s="3">
        <f>F$1/C498</f>
        <v>1280.9017548354043</v>
      </c>
      <c r="H498" s="2">
        <f>D498*F497</f>
        <v>900.77410274454689</v>
      </c>
      <c r="I498" s="2">
        <f>E498*G497</f>
        <v>904.74344061004092</v>
      </c>
      <c r="J498" s="2">
        <f>I498-H498</f>
        <v>3.9693378654940261</v>
      </c>
      <c r="K498" s="2">
        <f t="shared" si="60"/>
        <v>-3.9693378654940261</v>
      </c>
      <c r="L498" s="14">
        <f>C498/B498</f>
        <v>1.0889942809317896</v>
      </c>
      <c r="M498" s="14">
        <f t="shared" si="62"/>
        <v>1.0892181284807561</v>
      </c>
      <c r="N498" s="14">
        <f t="shared" si="66"/>
        <v>1.0898532016406972</v>
      </c>
      <c r="O498" s="14">
        <f t="shared" si="59"/>
        <v>1.0879986447132346</v>
      </c>
      <c r="P498" s="14">
        <f t="shared" si="61"/>
        <v>1.082619102845308</v>
      </c>
      <c r="Q498" s="4" t="str">
        <f t="shared" si="65"/>
        <v>UNDER</v>
      </c>
      <c r="R498" s="4" t="str">
        <f t="shared" si="65"/>
        <v>UNDER</v>
      </c>
      <c r="S498" s="4" t="str">
        <f t="shared" si="63"/>
        <v>OVER</v>
      </c>
      <c r="T498" s="4" t="str">
        <f t="shared" si="63"/>
        <v>OVER</v>
      </c>
      <c r="U498" s="2">
        <f>IF(Q498="OVER",$J498,$K498)</f>
        <v>-3.9693378654940261</v>
      </c>
      <c r="V498" s="2">
        <f>IF(R498="OVER",$J498,$K498)</f>
        <v>-3.9693378654940261</v>
      </c>
      <c r="W498" s="2">
        <f>IF(S498="OVER",$J498,$K498)</f>
        <v>3.9693378654940261</v>
      </c>
      <c r="X498" s="2">
        <f>IF(T498="OVER",$J498,$K498)</f>
        <v>3.9693378654940261</v>
      </c>
      <c r="Y498" s="9">
        <f t="shared" si="64"/>
        <v>-15768.730717296779</v>
      </c>
      <c r="Z498" s="9">
        <f t="shared" si="64"/>
        <v>-16024.032673884993</v>
      </c>
      <c r="AA498" s="9">
        <f t="shared" si="64"/>
        <v>26803.088494215292</v>
      </c>
      <c r="AB498" s="9">
        <f t="shared" si="64"/>
        <v>6955.1606767918174</v>
      </c>
    </row>
    <row r="499" spans="1:28" x14ac:dyDescent="0.3">
      <c r="A499" s="1">
        <v>45138</v>
      </c>
      <c r="B499" s="2">
        <v>71.900000000000006</v>
      </c>
      <c r="C499" s="2">
        <v>78.59</v>
      </c>
      <c r="D499" s="9">
        <f>B499-B498</f>
        <v>0.21000000000000796</v>
      </c>
      <c r="E499" s="9">
        <f>C499-C498</f>
        <v>0.52000000000001023</v>
      </c>
      <c r="F499" s="3">
        <f>F$1/B499</f>
        <v>1390.8205841446452</v>
      </c>
      <c r="G499" s="3">
        <f>F$1/C499</f>
        <v>1272.4265173686219</v>
      </c>
      <c r="H499" s="2">
        <f>D499*F498</f>
        <v>292.92788394477327</v>
      </c>
      <c r="I499" s="2">
        <f>E499*G498</f>
        <v>666.06891251442335</v>
      </c>
      <c r="J499" s="2">
        <f>I499-H499</f>
        <v>373.14102856965008</v>
      </c>
      <c r="K499" s="2">
        <f t="shared" si="60"/>
        <v>-373.14102856965008</v>
      </c>
      <c r="L499" s="14">
        <f>C499/B499</f>
        <v>1.0930458970792767</v>
      </c>
      <c r="M499" s="14">
        <f t="shared" si="62"/>
        <v>1.0896136272795927</v>
      </c>
      <c r="N499" s="14">
        <f t="shared" si="66"/>
        <v>1.0899236523202511</v>
      </c>
      <c r="O499" s="14">
        <f t="shared" si="59"/>
        <v>1.0881281564518692</v>
      </c>
      <c r="P499" s="14">
        <f t="shared" si="61"/>
        <v>1.0826347089785386</v>
      </c>
      <c r="Q499" s="4" t="str">
        <f t="shared" si="65"/>
        <v>UNDER</v>
      </c>
      <c r="R499" s="4" t="str">
        <f t="shared" si="65"/>
        <v>UNDER</v>
      </c>
      <c r="S499" s="4" t="str">
        <f t="shared" si="63"/>
        <v>OVER</v>
      </c>
      <c r="T499" s="4" t="str">
        <f t="shared" si="63"/>
        <v>OVER</v>
      </c>
      <c r="U499" s="2">
        <f>IF(Q499="OVER",$J499,$K499)</f>
        <v>-373.14102856965008</v>
      </c>
      <c r="V499" s="2">
        <f>IF(R499="OVER",$J499,$K499)</f>
        <v>-373.14102856965008</v>
      </c>
      <c r="W499" s="2">
        <f>IF(S499="OVER",$J499,$K499)</f>
        <v>373.14102856965008</v>
      </c>
      <c r="X499" s="2">
        <f>IF(T499="OVER",$J499,$K499)</f>
        <v>373.14102856965008</v>
      </c>
      <c r="Y499" s="9">
        <f t="shared" si="64"/>
        <v>-16141.871745866429</v>
      </c>
      <c r="Z499" s="9">
        <f t="shared" si="64"/>
        <v>-16397.173702454642</v>
      </c>
      <c r="AA499" s="9">
        <f t="shared" si="64"/>
        <v>27176.229522784943</v>
      </c>
      <c r="AB499" s="9">
        <f t="shared" si="64"/>
        <v>7328.3017053614676</v>
      </c>
    </row>
    <row r="500" spans="1:28" x14ac:dyDescent="0.3">
      <c r="A500" s="1">
        <v>45139</v>
      </c>
      <c r="B500" s="2">
        <v>71.599999999999994</v>
      </c>
      <c r="C500" s="2">
        <v>78.13</v>
      </c>
      <c r="D500" s="9">
        <f>B500-B499</f>
        <v>-0.30000000000001137</v>
      </c>
      <c r="E500" s="9">
        <f>C500-C499</f>
        <v>-0.46000000000000796</v>
      </c>
      <c r="F500" s="3">
        <f>F$1/B500</f>
        <v>1396.6480446927376</v>
      </c>
      <c r="G500" s="3">
        <f>F$1/C500</f>
        <v>1279.9180852425445</v>
      </c>
      <c r="H500" s="2">
        <f>D500*F499</f>
        <v>-417.24617524340937</v>
      </c>
      <c r="I500" s="2">
        <f>E500*G499</f>
        <v>-585.31619798957627</v>
      </c>
      <c r="J500" s="2">
        <f>I500-H500</f>
        <v>-168.0700227461669</v>
      </c>
      <c r="K500" s="2">
        <f t="shared" si="60"/>
        <v>168.0700227461669</v>
      </c>
      <c r="L500" s="14">
        <f>C500/B500</f>
        <v>1.0912011173184357</v>
      </c>
      <c r="M500" s="14">
        <f t="shared" si="62"/>
        <v>1.0897266171010886</v>
      </c>
      <c r="N500" s="14">
        <f t="shared" si="66"/>
        <v>1.0899776669637133</v>
      </c>
      <c r="O500" s="14">
        <f t="shared" si="59"/>
        <v>1.0882279372842698</v>
      </c>
      <c r="P500" s="14">
        <f t="shared" si="61"/>
        <v>1.0826287151958467</v>
      </c>
      <c r="Q500" s="4" t="str">
        <f t="shared" si="65"/>
        <v>OVER</v>
      </c>
      <c r="R500" s="4" t="str">
        <f t="shared" si="65"/>
        <v>OVER</v>
      </c>
      <c r="S500" s="4" t="str">
        <f t="shared" si="63"/>
        <v>OVER</v>
      </c>
      <c r="T500" s="4" t="str">
        <f t="shared" si="63"/>
        <v>OVER</v>
      </c>
      <c r="U500" s="2">
        <f>IF(Q500="OVER",$J500,$K500)</f>
        <v>-168.0700227461669</v>
      </c>
      <c r="V500" s="2">
        <f>IF(R500="OVER",$J500,$K500)</f>
        <v>-168.0700227461669</v>
      </c>
      <c r="W500" s="2">
        <f>IF(S500="OVER",$J500,$K500)</f>
        <v>-168.0700227461669</v>
      </c>
      <c r="X500" s="2">
        <f>IF(T500="OVER",$J500,$K500)</f>
        <v>-168.0700227461669</v>
      </c>
      <c r="Y500" s="9">
        <f t="shared" si="64"/>
        <v>-16309.941768612596</v>
      </c>
      <c r="Z500" s="9">
        <f t="shared" si="64"/>
        <v>-16565.243725200809</v>
      </c>
      <c r="AA500" s="9">
        <f t="shared" si="64"/>
        <v>27008.159500038775</v>
      </c>
      <c r="AB500" s="9">
        <f t="shared" si="64"/>
        <v>7160.231682615301</v>
      </c>
    </row>
    <row r="501" spans="1:28" x14ac:dyDescent="0.3">
      <c r="A501" s="1">
        <v>45140</v>
      </c>
      <c r="B501" s="2">
        <v>70.67</v>
      </c>
      <c r="C501" s="2">
        <v>77</v>
      </c>
      <c r="D501" s="9">
        <f>B501-B500</f>
        <v>-0.92999999999999261</v>
      </c>
      <c r="E501" s="9">
        <f>C501-C500</f>
        <v>-1.1299999999999955</v>
      </c>
      <c r="F501" s="3">
        <f>F$1/B501</f>
        <v>1415.0275930380642</v>
      </c>
      <c r="G501" s="3">
        <f>F$1/C501</f>
        <v>1298.7012987012988</v>
      </c>
      <c r="H501" s="2">
        <f>D501*F500</f>
        <v>-1298.8826815642356</v>
      </c>
      <c r="I501" s="2">
        <f>E501*G500</f>
        <v>-1446.3074363240694</v>
      </c>
      <c r="J501" s="2">
        <f>I501-H501</f>
        <v>-147.42475475983383</v>
      </c>
      <c r="K501" s="2">
        <f t="shared" si="60"/>
        <v>147.42475475983383</v>
      </c>
      <c r="L501" s="14">
        <f>C501/B501</f>
        <v>1.0895712466393095</v>
      </c>
      <c r="M501" s="14">
        <f t="shared" si="62"/>
        <v>1.0895852209723875</v>
      </c>
      <c r="N501" s="14">
        <f t="shared" si="66"/>
        <v>1.0898810658969862</v>
      </c>
      <c r="O501" s="14">
        <f t="shared" ref="O501:O564" si="67">AVERAGE(L452:L501)</f>
        <v>1.0882968310281187</v>
      </c>
      <c r="P501" s="14">
        <f t="shared" si="61"/>
        <v>1.0826251006094743</v>
      </c>
      <c r="Q501" s="4" t="str">
        <f t="shared" si="65"/>
        <v>OVER</v>
      </c>
      <c r="R501" s="4" t="str">
        <f t="shared" si="65"/>
        <v>OVER</v>
      </c>
      <c r="S501" s="4" t="str">
        <f t="shared" si="63"/>
        <v>OVER</v>
      </c>
      <c r="T501" s="4" t="str">
        <f t="shared" si="63"/>
        <v>OVER</v>
      </c>
      <c r="U501" s="2">
        <f>IF(Q501="OVER",$J501,$K501)</f>
        <v>-147.42475475983383</v>
      </c>
      <c r="V501" s="2">
        <f>IF(R501="OVER",$J501,$K501)</f>
        <v>-147.42475475983383</v>
      </c>
      <c r="W501" s="2">
        <f>IF(S501="OVER",$J501,$K501)</f>
        <v>-147.42475475983383</v>
      </c>
      <c r="X501" s="2">
        <f>IF(T501="OVER",$J501,$K501)</f>
        <v>-147.42475475983383</v>
      </c>
      <c r="Y501" s="9">
        <f t="shared" si="64"/>
        <v>-16457.366523372431</v>
      </c>
      <c r="Z501" s="9">
        <f t="shared" si="64"/>
        <v>-16712.668479960645</v>
      </c>
      <c r="AA501" s="9">
        <f t="shared" si="64"/>
        <v>26860.73474527894</v>
      </c>
      <c r="AB501" s="9">
        <f t="shared" si="64"/>
        <v>7012.8069278554667</v>
      </c>
    </row>
    <row r="502" spans="1:28" x14ac:dyDescent="0.3">
      <c r="A502" s="1">
        <v>45141</v>
      </c>
      <c r="B502" s="2">
        <v>70.459999999999994</v>
      </c>
      <c r="C502" s="2">
        <v>77.02</v>
      </c>
      <c r="D502" s="9">
        <f>B502-B501</f>
        <v>-0.21000000000000796</v>
      </c>
      <c r="E502" s="9">
        <f>C502-C501</f>
        <v>1.9999999999996021E-2</v>
      </c>
      <c r="F502" s="3">
        <f>F$1/B502</f>
        <v>1419.2449616803863</v>
      </c>
      <c r="G502" s="3">
        <f>F$1/C502</f>
        <v>1298.3640612827837</v>
      </c>
      <c r="H502" s="2">
        <f>D502*F501</f>
        <v>-297.15579453800473</v>
      </c>
      <c r="I502" s="2">
        <f>E502*G501</f>
        <v>25.974025974020808</v>
      </c>
      <c r="J502" s="2">
        <f>I502-H502</f>
        <v>323.12982051202556</v>
      </c>
      <c r="K502" s="2">
        <f t="shared" si="60"/>
        <v>-323.12982051202556</v>
      </c>
      <c r="L502" s="14">
        <f>C502/B502</f>
        <v>1.0931024694862335</v>
      </c>
      <c r="M502" s="14">
        <f t="shared" si="62"/>
        <v>1.0900053286609181</v>
      </c>
      <c r="N502" s="14">
        <f t="shared" si="66"/>
        <v>1.0901749305697457</v>
      </c>
      <c r="O502" s="14">
        <f t="shared" si="67"/>
        <v>1.0884205318489837</v>
      </c>
      <c r="P502" s="14">
        <f t="shared" si="61"/>
        <v>1.0826422822732806</v>
      </c>
      <c r="Q502" s="4" t="str">
        <f t="shared" si="65"/>
        <v>UNDER</v>
      </c>
      <c r="R502" s="4" t="str">
        <f t="shared" si="65"/>
        <v>UNDER</v>
      </c>
      <c r="S502" s="4" t="str">
        <f t="shared" si="63"/>
        <v>OVER</v>
      </c>
      <c r="T502" s="4" t="str">
        <f t="shared" si="63"/>
        <v>OVER</v>
      </c>
      <c r="U502" s="2">
        <f>IF(Q502="OVER",$J502,$K502)</f>
        <v>-323.12982051202556</v>
      </c>
      <c r="V502" s="2">
        <f>IF(R502="OVER",$J502,$K502)</f>
        <v>-323.12982051202556</v>
      </c>
      <c r="W502" s="2">
        <f>IF(S502="OVER",$J502,$K502)</f>
        <v>323.12982051202556</v>
      </c>
      <c r="X502" s="2">
        <f>IF(T502="OVER",$J502,$K502)</f>
        <v>323.12982051202556</v>
      </c>
      <c r="Y502" s="9">
        <f t="shared" si="64"/>
        <v>-16780.496343884457</v>
      </c>
      <c r="Z502" s="9">
        <f t="shared" si="64"/>
        <v>-17035.79830047267</v>
      </c>
      <c r="AA502" s="9">
        <f t="shared" si="64"/>
        <v>27183.864565790966</v>
      </c>
      <c r="AB502" s="9">
        <f t="shared" si="64"/>
        <v>7335.9367483674923</v>
      </c>
    </row>
    <row r="503" spans="1:28" x14ac:dyDescent="0.3">
      <c r="A503" s="1">
        <v>45142</v>
      </c>
      <c r="B503" s="2">
        <v>70.3</v>
      </c>
      <c r="C503" s="2">
        <v>76.709999999999994</v>
      </c>
      <c r="D503" s="9">
        <f>B503-B502</f>
        <v>-0.15999999999999659</v>
      </c>
      <c r="E503" s="9">
        <f>C503-C502</f>
        <v>-0.31000000000000227</v>
      </c>
      <c r="F503" s="3">
        <f>F$1/B503</f>
        <v>1422.4751066856331</v>
      </c>
      <c r="G503" s="3">
        <f>F$1/C503</f>
        <v>1303.6110024768609</v>
      </c>
      <c r="H503" s="2">
        <f>D503*F502</f>
        <v>-227.07919386885698</v>
      </c>
      <c r="I503" s="2">
        <f>E503*G502</f>
        <v>-402.49285899766591</v>
      </c>
      <c r="J503" s="2">
        <f>I503-H503</f>
        <v>-175.41366512880893</v>
      </c>
      <c r="K503" s="2">
        <f t="shared" si="60"/>
        <v>175.41366512880893</v>
      </c>
      <c r="L503" s="14">
        <f>C503/B503</f>
        <v>1.0911806543385489</v>
      </c>
      <c r="M503" s="14">
        <f t="shared" si="62"/>
        <v>1.0902622790828365</v>
      </c>
      <c r="N503" s="14">
        <f t="shared" si="66"/>
        <v>1.0901800332809359</v>
      </c>
      <c r="O503" s="14">
        <f t="shared" si="67"/>
        <v>1.0885263350681254</v>
      </c>
      <c r="P503" s="14">
        <f t="shared" si="61"/>
        <v>1.0826496284558895</v>
      </c>
      <c r="Q503" s="4" t="str">
        <f t="shared" si="65"/>
        <v>OVER</v>
      </c>
      <c r="R503" s="4" t="str">
        <f t="shared" si="65"/>
        <v>OVER</v>
      </c>
      <c r="S503" s="4" t="str">
        <f t="shared" si="63"/>
        <v>OVER</v>
      </c>
      <c r="T503" s="4" t="str">
        <f t="shared" si="63"/>
        <v>OVER</v>
      </c>
      <c r="U503" s="2">
        <f>IF(Q503="OVER",$J503,$K503)</f>
        <v>-175.41366512880893</v>
      </c>
      <c r="V503" s="2">
        <f>IF(R503="OVER",$J503,$K503)</f>
        <v>-175.41366512880893</v>
      </c>
      <c r="W503" s="2">
        <f>IF(S503="OVER",$J503,$K503)</f>
        <v>-175.41366512880893</v>
      </c>
      <c r="X503" s="2">
        <f>IF(T503="OVER",$J503,$K503)</f>
        <v>-175.41366512880893</v>
      </c>
      <c r="Y503" s="9">
        <f t="shared" si="64"/>
        <v>-16955.910009013267</v>
      </c>
      <c r="Z503" s="9">
        <f t="shared" si="64"/>
        <v>-17211.21196560148</v>
      </c>
      <c r="AA503" s="9">
        <f t="shared" si="64"/>
        <v>27008.450900662156</v>
      </c>
      <c r="AB503" s="9">
        <f t="shared" si="64"/>
        <v>7160.5230832386833</v>
      </c>
    </row>
    <row r="504" spans="1:28" x14ac:dyDescent="0.3">
      <c r="A504" s="1">
        <v>45145</v>
      </c>
      <c r="B504" s="2">
        <v>70.63</v>
      </c>
      <c r="C504" s="2">
        <v>76.87</v>
      </c>
      <c r="D504" s="9">
        <f>B504-B503</f>
        <v>0.32999999999999829</v>
      </c>
      <c r="E504" s="9">
        <f>C504-C503</f>
        <v>0.1600000000000108</v>
      </c>
      <c r="F504" s="3">
        <f>F$1/B504</f>
        <v>1415.8289678606825</v>
      </c>
      <c r="G504" s="3">
        <f>F$1/C504</f>
        <v>1300.8976193573565</v>
      </c>
      <c r="H504" s="2">
        <f>D504*F503</f>
        <v>469.41678520625652</v>
      </c>
      <c r="I504" s="2">
        <f>E504*G503</f>
        <v>208.57776039631182</v>
      </c>
      <c r="J504" s="2">
        <f>I504-H504</f>
        <v>-260.8390248099447</v>
      </c>
      <c r="K504" s="2">
        <f t="shared" si="60"/>
        <v>260.8390248099447</v>
      </c>
      <c r="L504" s="14">
        <f>C504/B504</f>
        <v>1.0883477275945068</v>
      </c>
      <c r="M504" s="14">
        <f t="shared" si="62"/>
        <v>1.090264022773336</v>
      </c>
      <c r="N504" s="14">
        <f t="shared" si="66"/>
        <v>1.0900539043022994</v>
      </c>
      <c r="O504" s="14">
        <f t="shared" si="67"/>
        <v>1.088588213554343</v>
      </c>
      <c r="P504" s="14">
        <f t="shared" si="61"/>
        <v>1.0826649262052495</v>
      </c>
      <c r="Q504" s="4" t="str">
        <f t="shared" si="65"/>
        <v>OVER</v>
      </c>
      <c r="R504" s="4" t="str">
        <f t="shared" si="65"/>
        <v>OVER</v>
      </c>
      <c r="S504" s="4" t="str">
        <f t="shared" si="63"/>
        <v>UNDER</v>
      </c>
      <c r="T504" s="4" t="str">
        <f t="shared" si="63"/>
        <v>OVER</v>
      </c>
      <c r="U504" s="2">
        <f>IF(Q504="OVER",$J504,$K504)</f>
        <v>-260.8390248099447</v>
      </c>
      <c r="V504" s="2">
        <f>IF(R504="OVER",$J504,$K504)</f>
        <v>-260.8390248099447</v>
      </c>
      <c r="W504" s="2">
        <f>IF(S504="OVER",$J504,$K504)</f>
        <v>260.8390248099447</v>
      </c>
      <c r="X504" s="2">
        <f>IF(T504="OVER",$J504,$K504)</f>
        <v>-260.8390248099447</v>
      </c>
      <c r="Y504" s="9">
        <f t="shared" si="64"/>
        <v>-17216.749033823213</v>
      </c>
      <c r="Z504" s="9">
        <f t="shared" si="64"/>
        <v>-17472.050990411426</v>
      </c>
      <c r="AA504" s="9">
        <f t="shared" si="64"/>
        <v>27269.289925472101</v>
      </c>
      <c r="AB504" s="9">
        <f t="shared" si="64"/>
        <v>6899.6840584287384</v>
      </c>
    </row>
    <row r="505" spans="1:28" x14ac:dyDescent="0.3">
      <c r="A505" s="1">
        <v>45146</v>
      </c>
      <c r="B505" s="2">
        <v>70.16</v>
      </c>
      <c r="C505" s="2">
        <v>76.67</v>
      </c>
      <c r="D505" s="9">
        <f>B505-B504</f>
        <v>-0.46999999999999886</v>
      </c>
      <c r="E505" s="9">
        <f>C505-C504</f>
        <v>-0.20000000000000284</v>
      </c>
      <c r="F505" s="3">
        <f>F$1/B505</f>
        <v>1425.3135689851767</v>
      </c>
      <c r="G505" s="3">
        <f>F$1/C505</f>
        <v>1304.2911177774879</v>
      </c>
      <c r="H505" s="2">
        <f>D505*F504</f>
        <v>-665.4396148945192</v>
      </c>
      <c r="I505" s="2">
        <f>E505*G504</f>
        <v>-260.179523871475</v>
      </c>
      <c r="J505" s="2">
        <f>I505-H505</f>
        <v>405.2600910230442</v>
      </c>
      <c r="K505" s="2">
        <f t="shared" si="60"/>
        <v>-405.2600910230442</v>
      </c>
      <c r="L505" s="14">
        <f>C505/B505</f>
        <v>1.0927879133409351</v>
      </c>
      <c r="M505" s="14">
        <f t="shared" si="62"/>
        <v>1.0906701480959176</v>
      </c>
      <c r="N505" s="14">
        <f t="shared" si="66"/>
        <v>1.0901574947046986</v>
      </c>
      <c r="O505" s="14">
        <f t="shared" si="67"/>
        <v>1.0887373533981255</v>
      </c>
      <c r="P505" s="14">
        <f t="shared" si="61"/>
        <v>1.0827126546209311</v>
      </c>
      <c r="Q505" s="4" t="str">
        <f t="shared" si="65"/>
        <v>UNDER</v>
      </c>
      <c r="R505" s="4" t="str">
        <f t="shared" si="65"/>
        <v>UNDER</v>
      </c>
      <c r="S505" s="4" t="str">
        <f t="shared" si="63"/>
        <v>OVER</v>
      </c>
      <c r="T505" s="4" t="str">
        <f t="shared" si="63"/>
        <v>OVER</v>
      </c>
      <c r="U505" s="2">
        <f>IF(Q505="OVER",$J505,$K505)</f>
        <v>-405.2600910230442</v>
      </c>
      <c r="V505" s="2">
        <f>IF(R505="OVER",$J505,$K505)</f>
        <v>-405.2600910230442</v>
      </c>
      <c r="W505" s="2">
        <f>IF(S505="OVER",$J505,$K505)</f>
        <v>405.2600910230442</v>
      </c>
      <c r="X505" s="2">
        <f>IF(T505="OVER",$J505,$K505)</f>
        <v>405.2600910230442</v>
      </c>
      <c r="Y505" s="9">
        <f t="shared" si="64"/>
        <v>-17622.009124846256</v>
      </c>
      <c r="Z505" s="9">
        <f t="shared" si="64"/>
        <v>-17877.311081434469</v>
      </c>
      <c r="AA505" s="9">
        <f t="shared" si="64"/>
        <v>27674.550016495145</v>
      </c>
      <c r="AB505" s="9">
        <f t="shared" si="64"/>
        <v>7304.9441494517823</v>
      </c>
    </row>
    <row r="506" spans="1:28" x14ac:dyDescent="0.3">
      <c r="A506" s="1">
        <v>45147</v>
      </c>
      <c r="B506" s="2">
        <v>69.89</v>
      </c>
      <c r="C506" s="2">
        <v>76.290000000000006</v>
      </c>
      <c r="D506" s="9">
        <f>B506-B505</f>
        <v>-0.26999999999999602</v>
      </c>
      <c r="E506" s="9">
        <f>C506-C505</f>
        <v>-0.37999999999999545</v>
      </c>
      <c r="F506" s="3">
        <f>F$1/B506</f>
        <v>1430.8198597796538</v>
      </c>
      <c r="G506" s="3">
        <f>F$1/C506</f>
        <v>1310.787783457858</v>
      </c>
      <c r="H506" s="2">
        <f>D506*F505</f>
        <v>-384.83466362599205</v>
      </c>
      <c r="I506" s="2">
        <f>E506*G505</f>
        <v>-495.63062475543944</v>
      </c>
      <c r="J506" s="2">
        <f>I506-H506</f>
        <v>-110.79596112944739</v>
      </c>
      <c r="K506" s="2">
        <f t="shared" si="60"/>
        <v>110.79596112944739</v>
      </c>
      <c r="L506" s="14">
        <f>C506/B506</f>
        <v>1.0915724710258978</v>
      </c>
      <c r="M506" s="14">
        <f t="shared" si="62"/>
        <v>1.0908755220400956</v>
      </c>
      <c r="N506" s="14">
        <f t="shared" si="66"/>
        <v>1.090210560503946</v>
      </c>
      <c r="O506" s="14">
        <f t="shared" si="67"/>
        <v>1.0888551173444538</v>
      </c>
      <c r="P506" s="14">
        <f t="shared" si="61"/>
        <v>1.0827408908371978</v>
      </c>
      <c r="Q506" s="4" t="str">
        <f t="shared" si="65"/>
        <v>OVER</v>
      </c>
      <c r="R506" s="4" t="str">
        <f t="shared" si="65"/>
        <v>OVER</v>
      </c>
      <c r="S506" s="4" t="str">
        <f t="shared" si="63"/>
        <v>OVER</v>
      </c>
      <c r="T506" s="4" t="str">
        <f t="shared" si="63"/>
        <v>OVER</v>
      </c>
      <c r="U506" s="2">
        <f>IF(Q506="OVER",$J506,$K506)</f>
        <v>-110.79596112944739</v>
      </c>
      <c r="V506" s="2">
        <f>IF(R506="OVER",$J506,$K506)</f>
        <v>-110.79596112944739</v>
      </c>
      <c r="W506" s="2">
        <f>IF(S506="OVER",$J506,$K506)</f>
        <v>-110.79596112944739</v>
      </c>
      <c r="X506" s="2">
        <f>IF(T506="OVER",$J506,$K506)</f>
        <v>-110.79596112944739</v>
      </c>
      <c r="Y506" s="9">
        <f t="shared" si="64"/>
        <v>-17732.805085975702</v>
      </c>
      <c r="Z506" s="9">
        <f t="shared" si="64"/>
        <v>-17988.107042563915</v>
      </c>
      <c r="AA506" s="9">
        <f t="shared" si="64"/>
        <v>27563.754055365698</v>
      </c>
      <c r="AB506" s="9">
        <f t="shared" si="64"/>
        <v>7194.148188322335</v>
      </c>
    </row>
    <row r="507" spans="1:28" x14ac:dyDescent="0.3">
      <c r="A507" s="1">
        <v>45148</v>
      </c>
      <c r="B507" s="2">
        <v>69.760000000000005</v>
      </c>
      <c r="C507" s="2">
        <v>76.19</v>
      </c>
      <c r="D507" s="9">
        <f>B507-B506</f>
        <v>-0.12999999999999545</v>
      </c>
      <c r="E507" s="9">
        <f>C507-C506</f>
        <v>-0.10000000000000853</v>
      </c>
      <c r="F507" s="3">
        <f>F$1/B507</f>
        <v>1433.4862385321101</v>
      </c>
      <c r="G507" s="3">
        <f>F$1/C507</f>
        <v>1312.5082031762699</v>
      </c>
      <c r="H507" s="2">
        <f>D507*F506</f>
        <v>-186.00658177134849</v>
      </c>
      <c r="I507" s="2">
        <f>E507*G506</f>
        <v>-131.07877834579699</v>
      </c>
      <c r="J507" s="2">
        <f>I507-H507</f>
        <v>54.927803425551502</v>
      </c>
      <c r="K507" s="2">
        <f t="shared" si="60"/>
        <v>-54.927803425551502</v>
      </c>
      <c r="L507" s="14">
        <f>C507/B507</f>
        <v>1.0921731651376145</v>
      </c>
      <c r="M507" s="14">
        <f t="shared" si="62"/>
        <v>1.0911976942892549</v>
      </c>
      <c r="N507" s="14">
        <f t="shared" si="66"/>
        <v>1.0903177463165694</v>
      </c>
      <c r="O507" s="14">
        <f t="shared" si="67"/>
        <v>1.0890543355052029</v>
      </c>
      <c r="P507" s="14">
        <f t="shared" si="61"/>
        <v>1.0827795621880929</v>
      </c>
      <c r="Q507" s="4" t="str">
        <f t="shared" si="65"/>
        <v>OVER</v>
      </c>
      <c r="R507" s="4" t="str">
        <f t="shared" si="65"/>
        <v>OVER</v>
      </c>
      <c r="S507" s="4" t="str">
        <f t="shared" si="63"/>
        <v>OVER</v>
      </c>
      <c r="T507" s="4" t="str">
        <f t="shared" si="63"/>
        <v>OVER</v>
      </c>
      <c r="U507" s="2">
        <f>IF(Q507="OVER",$J507,$K507)</f>
        <v>54.927803425551502</v>
      </c>
      <c r="V507" s="2">
        <f>IF(R507="OVER",$J507,$K507)</f>
        <v>54.927803425551502</v>
      </c>
      <c r="W507" s="2">
        <f>IF(S507="OVER",$J507,$K507)</f>
        <v>54.927803425551502</v>
      </c>
      <c r="X507" s="2">
        <f>IF(T507="OVER",$J507,$K507)</f>
        <v>54.927803425551502</v>
      </c>
      <c r="Y507" s="9">
        <f t="shared" si="64"/>
        <v>-17677.877282550151</v>
      </c>
      <c r="Z507" s="9">
        <f t="shared" si="64"/>
        <v>-17933.179239138364</v>
      </c>
      <c r="AA507" s="9">
        <f t="shared" si="64"/>
        <v>27618.681858791249</v>
      </c>
      <c r="AB507" s="9">
        <f t="shared" si="64"/>
        <v>7249.0759917478863</v>
      </c>
    </row>
    <row r="508" spans="1:28" x14ac:dyDescent="0.3">
      <c r="A508" s="1">
        <v>45149</v>
      </c>
      <c r="B508" s="2">
        <v>69.86</v>
      </c>
      <c r="C508" s="2">
        <v>76.09</v>
      </c>
      <c r="D508" s="9">
        <f>B508-B507</f>
        <v>9.9999999999994316E-2</v>
      </c>
      <c r="E508" s="9">
        <f>C508-C507</f>
        <v>-9.9999999999994316E-2</v>
      </c>
      <c r="F508" s="3">
        <f>F$1/B508</f>
        <v>1431.4342971657602</v>
      </c>
      <c r="G508" s="3">
        <f>F$1/C508</f>
        <v>1314.2331449599158</v>
      </c>
      <c r="H508" s="2">
        <f>D508*F507</f>
        <v>143.34862385320287</v>
      </c>
      <c r="I508" s="2">
        <f>E508*G507</f>
        <v>-131.25082031761954</v>
      </c>
      <c r="J508" s="2">
        <f>I508-H508</f>
        <v>-274.59944417082238</v>
      </c>
      <c r="K508" s="2">
        <f t="shared" si="60"/>
        <v>274.59944417082238</v>
      </c>
      <c r="L508" s="14">
        <f>C508/B508</f>
        <v>1.089178356713427</v>
      </c>
      <c r="M508" s="14">
        <f t="shared" si="62"/>
        <v>1.0912161018674185</v>
      </c>
      <c r="N508" s="14">
        <f t="shared" si="66"/>
        <v>1.0902171151740869</v>
      </c>
      <c r="O508" s="14">
        <f t="shared" si="67"/>
        <v>1.0891777171773118</v>
      </c>
      <c r="P508" s="14">
        <f t="shared" si="61"/>
        <v>1.0828048202897493</v>
      </c>
      <c r="Q508" s="4" t="str">
        <f t="shared" si="65"/>
        <v>OVER</v>
      </c>
      <c r="R508" s="4" t="str">
        <f t="shared" si="65"/>
        <v>OVER</v>
      </c>
      <c r="S508" s="4" t="str">
        <f t="shared" si="63"/>
        <v>OVER</v>
      </c>
      <c r="T508" s="4" t="str">
        <f t="shared" si="63"/>
        <v>OVER</v>
      </c>
      <c r="U508" s="2">
        <f>IF(Q508="OVER",$J508,$K508)</f>
        <v>-274.59944417082238</v>
      </c>
      <c r="V508" s="2">
        <f>IF(R508="OVER",$J508,$K508)</f>
        <v>-274.59944417082238</v>
      </c>
      <c r="W508" s="2">
        <f>IF(S508="OVER",$J508,$K508)</f>
        <v>-274.59944417082238</v>
      </c>
      <c r="X508" s="2">
        <f>IF(T508="OVER",$J508,$K508)</f>
        <v>-274.59944417082238</v>
      </c>
      <c r="Y508" s="9">
        <f t="shared" si="64"/>
        <v>-17952.476726720972</v>
      </c>
      <c r="Z508" s="9">
        <f t="shared" si="64"/>
        <v>-18207.778683309185</v>
      </c>
      <c r="AA508" s="9">
        <f t="shared" si="64"/>
        <v>27344.082414620429</v>
      </c>
      <c r="AB508" s="9">
        <f t="shared" si="64"/>
        <v>6974.4765475770637</v>
      </c>
    </row>
    <row r="509" spans="1:28" x14ac:dyDescent="0.3">
      <c r="A509" s="1">
        <v>45152</v>
      </c>
      <c r="B509" s="2">
        <v>70.010000000000005</v>
      </c>
      <c r="C509" s="2">
        <v>76.25</v>
      </c>
      <c r="D509" s="9">
        <f>B509-B508</f>
        <v>0.15000000000000568</v>
      </c>
      <c r="E509" s="9">
        <f>C509-C508</f>
        <v>0.15999999999999659</v>
      </c>
      <c r="F509" s="3">
        <f>F$1/B509</f>
        <v>1428.3673760891299</v>
      </c>
      <c r="G509" s="3">
        <f>F$1/C509</f>
        <v>1311.4754098360656</v>
      </c>
      <c r="H509" s="2">
        <f>D509*F508</f>
        <v>214.71514457487217</v>
      </c>
      <c r="I509" s="2">
        <f>E509*G508</f>
        <v>210.27730319358204</v>
      </c>
      <c r="J509" s="2">
        <f>I509-H509</f>
        <v>-4.4378413812901272</v>
      </c>
      <c r="K509" s="2">
        <f t="shared" si="60"/>
        <v>4.4378413812901272</v>
      </c>
      <c r="L509" s="14">
        <f>C509/B509</f>
        <v>1.0891301242679616</v>
      </c>
      <c r="M509" s="14">
        <f t="shared" si="62"/>
        <v>1.0908245245862871</v>
      </c>
      <c r="N509" s="14">
        <f t="shared" si="66"/>
        <v>1.0902190759329398</v>
      </c>
      <c r="O509" s="14">
        <f t="shared" si="67"/>
        <v>1.0892476536922102</v>
      </c>
      <c r="P509" s="14">
        <f t="shared" si="61"/>
        <v>1.0828292396196217</v>
      </c>
      <c r="Q509" s="4" t="str">
        <f t="shared" si="65"/>
        <v>UNDER</v>
      </c>
      <c r="R509" s="4" t="str">
        <f t="shared" si="65"/>
        <v>UNDER</v>
      </c>
      <c r="S509" s="4" t="str">
        <f t="shared" si="63"/>
        <v>UNDER</v>
      </c>
      <c r="T509" s="4" t="str">
        <f t="shared" si="63"/>
        <v>OVER</v>
      </c>
      <c r="U509" s="2">
        <f>IF(Q509="OVER",$J509,$K509)</f>
        <v>4.4378413812901272</v>
      </c>
      <c r="V509" s="2">
        <f>IF(R509="OVER",$J509,$K509)</f>
        <v>4.4378413812901272</v>
      </c>
      <c r="W509" s="2">
        <f>IF(S509="OVER",$J509,$K509)</f>
        <v>4.4378413812901272</v>
      </c>
      <c r="X509" s="2">
        <f>IF(T509="OVER",$J509,$K509)</f>
        <v>-4.4378413812901272</v>
      </c>
      <c r="Y509" s="9">
        <f t="shared" si="64"/>
        <v>-17948.03888533968</v>
      </c>
      <c r="Z509" s="9">
        <f t="shared" si="64"/>
        <v>-18203.340841927893</v>
      </c>
      <c r="AA509" s="9">
        <f t="shared" si="64"/>
        <v>27348.520256001721</v>
      </c>
      <c r="AB509" s="9">
        <f t="shared" si="64"/>
        <v>6970.0387061957736</v>
      </c>
    </row>
    <row r="510" spans="1:28" x14ac:dyDescent="0.3">
      <c r="A510" s="1">
        <v>45153</v>
      </c>
      <c r="B510" s="2">
        <v>69.459999999999994</v>
      </c>
      <c r="C510" s="2">
        <v>75.77</v>
      </c>
      <c r="D510" s="9">
        <f>B510-B509</f>
        <v>-0.55000000000001137</v>
      </c>
      <c r="E510" s="9">
        <f>C510-C509</f>
        <v>-0.48000000000000398</v>
      </c>
      <c r="F510" s="3">
        <f>F$1/B510</f>
        <v>1439.677512237259</v>
      </c>
      <c r="G510" s="3">
        <f>F$1/C510</f>
        <v>1319.7835554968985</v>
      </c>
      <c r="H510" s="2">
        <f>D510*F509</f>
        <v>-785.60205684903769</v>
      </c>
      <c r="I510" s="2">
        <f>E510*G509</f>
        <v>-629.50819672131672</v>
      </c>
      <c r="J510" s="2">
        <f>I510-H510</f>
        <v>156.09386012772097</v>
      </c>
      <c r="K510" s="2">
        <f t="shared" si="60"/>
        <v>-156.09386012772097</v>
      </c>
      <c r="L510" s="14">
        <f>C510/B510</f>
        <v>1.0908436510221711</v>
      </c>
      <c r="M510" s="14">
        <f t="shared" si="62"/>
        <v>1.0907887779566605</v>
      </c>
      <c r="N510" s="14">
        <f t="shared" si="66"/>
        <v>1.0902576975288745</v>
      </c>
      <c r="O510" s="14">
        <f t="shared" si="67"/>
        <v>1.0893130474227128</v>
      </c>
      <c r="P510" s="14">
        <f t="shared" si="61"/>
        <v>1.082856778885207</v>
      </c>
      <c r="Q510" s="4" t="str">
        <f t="shared" si="65"/>
        <v>UNDER</v>
      </c>
      <c r="R510" s="4" t="str">
        <f t="shared" si="65"/>
        <v>UNDER</v>
      </c>
      <c r="S510" s="4" t="str">
        <f t="shared" si="63"/>
        <v>OVER</v>
      </c>
      <c r="T510" s="4" t="str">
        <f t="shared" si="63"/>
        <v>OVER</v>
      </c>
      <c r="U510" s="2">
        <f>IF(Q510="OVER",$J510,$K510)</f>
        <v>-156.09386012772097</v>
      </c>
      <c r="V510" s="2">
        <f>IF(R510="OVER",$J510,$K510)</f>
        <v>-156.09386012772097</v>
      </c>
      <c r="W510" s="2">
        <f>IF(S510="OVER",$J510,$K510)</f>
        <v>156.09386012772097</v>
      </c>
      <c r="X510" s="2">
        <f>IF(T510="OVER",$J510,$K510)</f>
        <v>156.09386012772097</v>
      </c>
      <c r="Y510" s="9">
        <f t="shared" si="64"/>
        <v>-18104.132745467399</v>
      </c>
      <c r="Z510" s="9">
        <f t="shared" si="64"/>
        <v>-18359.434702055612</v>
      </c>
      <c r="AA510" s="9">
        <f t="shared" si="64"/>
        <v>27504.61411612944</v>
      </c>
      <c r="AB510" s="9">
        <f t="shared" si="64"/>
        <v>7126.1325663234948</v>
      </c>
    </row>
    <row r="511" spans="1:28" x14ac:dyDescent="0.3">
      <c r="A511" s="1">
        <v>45154</v>
      </c>
      <c r="B511" s="2">
        <v>69.150000000000006</v>
      </c>
      <c r="C511" s="2">
        <v>75.290000000000006</v>
      </c>
      <c r="D511" s="9">
        <f>B511-B510</f>
        <v>-0.30999999999998806</v>
      </c>
      <c r="E511" s="9">
        <f>C511-C510</f>
        <v>-0.47999999999998977</v>
      </c>
      <c r="F511" s="3">
        <f>F$1/B511</f>
        <v>1446.1315979754156</v>
      </c>
      <c r="G511" s="3">
        <f>F$1/C511</f>
        <v>1328.1976358082081</v>
      </c>
      <c r="H511" s="2">
        <f>D511*F510</f>
        <v>-446.3000287935331</v>
      </c>
      <c r="I511" s="2">
        <f>E511*G510</f>
        <v>-633.49610663849785</v>
      </c>
      <c r="J511" s="2">
        <f>I511-H511</f>
        <v>-187.19607784496475</v>
      </c>
      <c r="K511" s="2">
        <f t="shared" si="60"/>
        <v>187.19607784496475</v>
      </c>
      <c r="L511" s="14">
        <f>C511/B511</f>
        <v>1.0887924801156905</v>
      </c>
      <c r="M511" s="14">
        <f t="shared" si="62"/>
        <v>1.0907109013042988</v>
      </c>
      <c r="N511" s="14">
        <f t="shared" si="66"/>
        <v>1.0901480611383429</v>
      </c>
      <c r="O511" s="14">
        <f t="shared" si="67"/>
        <v>1.0893373515437197</v>
      </c>
      <c r="P511" s="14">
        <f t="shared" si="61"/>
        <v>1.0828717951355002</v>
      </c>
      <c r="Q511" s="4" t="str">
        <f t="shared" si="65"/>
        <v>OVER</v>
      </c>
      <c r="R511" s="4" t="str">
        <f t="shared" si="65"/>
        <v>OVER</v>
      </c>
      <c r="S511" s="4" t="str">
        <f t="shared" si="63"/>
        <v>UNDER</v>
      </c>
      <c r="T511" s="4" t="str">
        <f t="shared" si="63"/>
        <v>OVER</v>
      </c>
      <c r="U511" s="2">
        <f>IF(Q511="OVER",$J511,$K511)</f>
        <v>-187.19607784496475</v>
      </c>
      <c r="V511" s="2">
        <f>IF(R511="OVER",$J511,$K511)</f>
        <v>-187.19607784496475</v>
      </c>
      <c r="W511" s="2">
        <f>IF(S511="OVER",$J511,$K511)</f>
        <v>187.19607784496475</v>
      </c>
      <c r="X511" s="2">
        <f>IF(T511="OVER",$J511,$K511)</f>
        <v>-187.19607784496475</v>
      </c>
      <c r="Y511" s="9">
        <f t="shared" si="64"/>
        <v>-18291.328823312364</v>
      </c>
      <c r="Z511" s="9">
        <f t="shared" si="64"/>
        <v>-18546.630779900577</v>
      </c>
      <c r="AA511" s="9">
        <f t="shared" si="64"/>
        <v>27691.810193974405</v>
      </c>
      <c r="AB511" s="9">
        <f t="shared" si="64"/>
        <v>6938.93648847853</v>
      </c>
    </row>
    <row r="512" spans="1:28" x14ac:dyDescent="0.3">
      <c r="A512" s="1">
        <v>45155</v>
      </c>
      <c r="B512" s="2">
        <v>68.599999999999994</v>
      </c>
      <c r="C512" s="2">
        <v>74.77</v>
      </c>
      <c r="D512" s="9">
        <f>B512-B511</f>
        <v>-0.55000000000001137</v>
      </c>
      <c r="E512" s="9">
        <f>C512-C511</f>
        <v>-0.52000000000001023</v>
      </c>
      <c r="F512" s="3">
        <f>F$1/B512</f>
        <v>1457.7259475218659</v>
      </c>
      <c r="G512" s="3">
        <f>F$1/C512</f>
        <v>1337.4348000534974</v>
      </c>
      <c r="H512" s="2">
        <f>D512*F511</f>
        <v>-795.37237888649508</v>
      </c>
      <c r="I512" s="2">
        <f>E512*G511</f>
        <v>-690.66277062028178</v>
      </c>
      <c r="J512" s="2">
        <f>I512-H512</f>
        <v>104.70960826621331</v>
      </c>
      <c r="K512" s="2">
        <f t="shared" si="60"/>
        <v>-104.70960826621331</v>
      </c>
      <c r="L512" s="14">
        <f>C512/B512</f>
        <v>1.0899416909620991</v>
      </c>
      <c r="M512" s="14">
        <f t="shared" si="62"/>
        <v>1.0903948234518854</v>
      </c>
      <c r="N512" s="14">
        <f t="shared" si="66"/>
        <v>1.0902000760564015</v>
      </c>
      <c r="O512" s="14">
        <f t="shared" si="67"/>
        <v>1.089376302493269</v>
      </c>
      <c r="P512" s="14">
        <f t="shared" si="61"/>
        <v>1.0829020302284003</v>
      </c>
      <c r="Q512" s="4" t="str">
        <f t="shared" si="65"/>
        <v>UNDER</v>
      </c>
      <c r="R512" s="4" t="str">
        <f t="shared" si="65"/>
        <v>UNDER</v>
      </c>
      <c r="S512" s="4" t="str">
        <f t="shared" si="63"/>
        <v>OVER</v>
      </c>
      <c r="T512" s="4" t="str">
        <f t="shared" si="63"/>
        <v>OVER</v>
      </c>
      <c r="U512" s="2">
        <f>IF(Q512="OVER",$J512,$K512)</f>
        <v>-104.70960826621331</v>
      </c>
      <c r="V512" s="2">
        <f>IF(R512="OVER",$J512,$K512)</f>
        <v>-104.70960826621331</v>
      </c>
      <c r="W512" s="2">
        <f>IF(S512="OVER",$J512,$K512)</f>
        <v>104.70960826621331</v>
      </c>
      <c r="X512" s="2">
        <f>IF(T512="OVER",$J512,$K512)</f>
        <v>104.70960826621331</v>
      </c>
      <c r="Y512" s="9">
        <f t="shared" si="64"/>
        <v>-18396.038431578578</v>
      </c>
      <c r="Z512" s="9">
        <f t="shared" si="64"/>
        <v>-18651.340388166791</v>
      </c>
      <c r="AA512" s="9">
        <f t="shared" si="64"/>
        <v>27796.519802240618</v>
      </c>
      <c r="AB512" s="9">
        <f t="shared" si="64"/>
        <v>7043.6460967447438</v>
      </c>
    </row>
    <row r="513" spans="1:28" x14ac:dyDescent="0.3">
      <c r="A513" s="1">
        <v>45156</v>
      </c>
      <c r="B513" s="2">
        <v>68.59</v>
      </c>
      <c r="C513" s="2">
        <v>74.67</v>
      </c>
      <c r="D513" s="9">
        <f>B513-B512</f>
        <v>-9.9999999999909051E-3</v>
      </c>
      <c r="E513" s="9">
        <f>C513-C512</f>
        <v>-9.9999999999994316E-2</v>
      </c>
      <c r="F513" s="3">
        <f>F$1/B513</f>
        <v>1457.9384749963551</v>
      </c>
      <c r="G513" s="3">
        <f>F$1/C513</f>
        <v>1339.2259274139547</v>
      </c>
      <c r="H513" s="2">
        <f>D513*F512</f>
        <v>-14.577259475205402</v>
      </c>
      <c r="I513" s="2">
        <f>E513*G512</f>
        <v>-133.74348000534215</v>
      </c>
      <c r="J513" s="2">
        <f>I513-H513</f>
        <v>-119.16622053013674</v>
      </c>
      <c r="K513" s="2">
        <f t="shared" si="60"/>
        <v>119.16622053013674</v>
      </c>
      <c r="L513" s="14">
        <f>C513/B513</f>
        <v>1.0886426592797784</v>
      </c>
      <c r="M513" s="14">
        <f t="shared" si="62"/>
        <v>1.0901410239460083</v>
      </c>
      <c r="N513" s="14">
        <f t="shared" si="66"/>
        <v>1.0902016515144222</v>
      </c>
      <c r="O513" s="14">
        <f t="shared" si="67"/>
        <v>1.0893651181201791</v>
      </c>
      <c r="P513" s="14">
        <f t="shared" si="61"/>
        <v>1.0829242879248604</v>
      </c>
      <c r="Q513" s="4" t="str">
        <f t="shared" si="65"/>
        <v>UNDER</v>
      </c>
      <c r="R513" s="4" t="str">
        <f t="shared" si="65"/>
        <v>UNDER</v>
      </c>
      <c r="S513" s="4" t="str">
        <f t="shared" si="63"/>
        <v>UNDER</v>
      </c>
      <c r="T513" s="4" t="str">
        <f t="shared" si="63"/>
        <v>OVER</v>
      </c>
      <c r="U513" s="2">
        <f>IF(Q513="OVER",$J513,$K513)</f>
        <v>119.16622053013674</v>
      </c>
      <c r="V513" s="2">
        <f>IF(R513="OVER",$J513,$K513)</f>
        <v>119.16622053013674</v>
      </c>
      <c r="W513" s="2">
        <f>IF(S513="OVER",$J513,$K513)</f>
        <v>119.16622053013674</v>
      </c>
      <c r="X513" s="2">
        <f>IF(T513="OVER",$J513,$K513)</f>
        <v>-119.16622053013674</v>
      </c>
      <c r="Y513" s="9">
        <f t="shared" si="64"/>
        <v>-18276.872211048441</v>
      </c>
      <c r="Z513" s="9">
        <f t="shared" si="64"/>
        <v>-18532.174167636655</v>
      </c>
      <c r="AA513" s="9">
        <f t="shared" si="64"/>
        <v>27915.686022770755</v>
      </c>
      <c r="AB513" s="9">
        <f t="shared" si="64"/>
        <v>6924.4798762146074</v>
      </c>
    </row>
    <row r="514" spans="1:28" x14ac:dyDescent="0.3">
      <c r="A514" s="1">
        <v>45159</v>
      </c>
      <c r="B514" s="2">
        <v>68.67</v>
      </c>
      <c r="C514" s="2">
        <v>74.84</v>
      </c>
      <c r="D514" s="9">
        <f>B514-B513</f>
        <v>7.9999999999998295E-2</v>
      </c>
      <c r="E514" s="9">
        <f>C514-C513</f>
        <v>0.17000000000000171</v>
      </c>
      <c r="F514" s="3">
        <f>F$1/B514</f>
        <v>1456.23998835008</v>
      </c>
      <c r="G514" s="3">
        <f>F$1/C514</f>
        <v>1336.1838588989845</v>
      </c>
      <c r="H514" s="2">
        <f>D514*F513</f>
        <v>116.63507799970593</v>
      </c>
      <c r="I514" s="2">
        <f>E514*G513</f>
        <v>227.66840766037458</v>
      </c>
      <c r="J514" s="2">
        <f>I514-H514</f>
        <v>111.03332966066866</v>
      </c>
      <c r="K514" s="2">
        <f t="shared" si="60"/>
        <v>-111.03332966066866</v>
      </c>
      <c r="L514" s="14">
        <f>C514/B514</f>
        <v>1.0898500072812001</v>
      </c>
      <c r="M514" s="14">
        <f t="shared" si="62"/>
        <v>1.0902912519146775</v>
      </c>
      <c r="N514" s="14">
        <f t="shared" si="66"/>
        <v>1.0902776373440068</v>
      </c>
      <c r="O514" s="14">
        <f t="shared" si="67"/>
        <v>1.0894462457139178</v>
      </c>
      <c r="P514" s="14">
        <f t="shared" si="61"/>
        <v>1.0829790425484225</v>
      </c>
      <c r="Q514" s="4" t="str">
        <f t="shared" si="65"/>
        <v>UNDER</v>
      </c>
      <c r="R514" s="4" t="str">
        <f t="shared" si="65"/>
        <v>UNDER</v>
      </c>
      <c r="S514" s="4" t="str">
        <f t="shared" si="63"/>
        <v>OVER</v>
      </c>
      <c r="T514" s="4" t="str">
        <f t="shared" si="63"/>
        <v>OVER</v>
      </c>
      <c r="U514" s="2">
        <f>IF(Q514="OVER",$J514,$K514)</f>
        <v>-111.03332966066866</v>
      </c>
      <c r="V514" s="2">
        <f>IF(R514="OVER",$J514,$K514)</f>
        <v>-111.03332966066866</v>
      </c>
      <c r="W514" s="2">
        <f>IF(S514="OVER",$J514,$K514)</f>
        <v>111.03332966066866</v>
      </c>
      <c r="X514" s="2">
        <f>IF(T514="OVER",$J514,$K514)</f>
        <v>111.03332966066866</v>
      </c>
      <c r="Y514" s="9">
        <f t="shared" si="64"/>
        <v>-18387.905540709111</v>
      </c>
      <c r="Z514" s="9">
        <f t="shared" si="64"/>
        <v>-18643.207497297324</v>
      </c>
      <c r="AA514" s="9">
        <f t="shared" si="64"/>
        <v>28026.719352431424</v>
      </c>
      <c r="AB514" s="9">
        <f t="shared" si="64"/>
        <v>7035.5132058752761</v>
      </c>
    </row>
    <row r="515" spans="1:28" x14ac:dyDescent="0.3">
      <c r="A515" s="1">
        <v>45160</v>
      </c>
      <c r="B515" s="2">
        <v>68.260000000000005</v>
      </c>
      <c r="C515" s="2">
        <v>74.959999999999994</v>
      </c>
      <c r="D515" s="9">
        <f>B515-B514</f>
        <v>-0.40999999999999659</v>
      </c>
      <c r="E515" s="9">
        <f>C515-C514</f>
        <v>0.11999999999999034</v>
      </c>
      <c r="F515" s="3">
        <f>F$1/B515</f>
        <v>1464.9868151186638</v>
      </c>
      <c r="G515" s="3">
        <f>F$1/C515</f>
        <v>1334.0448239060834</v>
      </c>
      <c r="H515" s="2">
        <f>D515*F514</f>
        <v>-597.05839522352778</v>
      </c>
      <c r="I515" s="2">
        <f>E515*G514</f>
        <v>160.34206306786521</v>
      </c>
      <c r="J515" s="2">
        <f>I515-H515</f>
        <v>757.40045829139297</v>
      </c>
      <c r="K515" s="2">
        <f t="shared" si="60"/>
        <v>-757.40045829139297</v>
      </c>
      <c r="L515" s="14">
        <f>C515/B515</f>
        <v>1.0981541166129503</v>
      </c>
      <c r="M515" s="14">
        <f t="shared" si="62"/>
        <v>1.0908278722418789</v>
      </c>
      <c r="N515" s="14">
        <f t="shared" si="66"/>
        <v>1.0907490101688984</v>
      </c>
      <c r="O515" s="14">
        <f t="shared" si="67"/>
        <v>1.089687764585483</v>
      </c>
      <c r="P515" s="14">
        <f t="shared" si="61"/>
        <v>1.0830680065593024</v>
      </c>
      <c r="Q515" s="4" t="str">
        <f t="shared" si="65"/>
        <v>UNDER</v>
      </c>
      <c r="R515" s="4" t="str">
        <f t="shared" si="65"/>
        <v>UNDER</v>
      </c>
      <c r="S515" s="4" t="str">
        <f t="shared" si="63"/>
        <v>OVER</v>
      </c>
      <c r="T515" s="4" t="str">
        <f t="shared" si="63"/>
        <v>OVER</v>
      </c>
      <c r="U515" s="2">
        <f>IF(Q515="OVER",$J515,$K515)</f>
        <v>-757.40045829139297</v>
      </c>
      <c r="V515" s="2">
        <f>IF(R515="OVER",$J515,$K515)</f>
        <v>-757.40045829139297</v>
      </c>
      <c r="W515" s="2">
        <f>IF(S515="OVER",$J515,$K515)</f>
        <v>757.40045829139297</v>
      </c>
      <c r="X515" s="2">
        <f>IF(T515="OVER",$J515,$K515)</f>
        <v>757.40045829139297</v>
      </c>
      <c r="Y515" s="9">
        <f t="shared" si="64"/>
        <v>-19145.305999000502</v>
      </c>
      <c r="Z515" s="9">
        <f t="shared" si="64"/>
        <v>-19400.607955588715</v>
      </c>
      <c r="AA515" s="9">
        <f t="shared" si="64"/>
        <v>28784.119810722816</v>
      </c>
      <c r="AB515" s="9">
        <f t="shared" si="64"/>
        <v>7792.9136641666692</v>
      </c>
    </row>
    <row r="516" spans="1:28" x14ac:dyDescent="0.3">
      <c r="A516" s="1">
        <v>45161</v>
      </c>
      <c r="B516" s="2">
        <v>68.89</v>
      </c>
      <c r="C516" s="2">
        <v>75.33</v>
      </c>
      <c r="D516" s="9">
        <f>B516-B515</f>
        <v>0.62999999999999545</v>
      </c>
      <c r="E516" s="9">
        <f>C516-C515</f>
        <v>0.37000000000000455</v>
      </c>
      <c r="F516" s="3">
        <f>F$1/B516</f>
        <v>1451.5894904920888</v>
      </c>
      <c r="G516" s="3">
        <f>F$1/C516</f>
        <v>1327.4923669188902</v>
      </c>
      <c r="H516" s="2">
        <f>D516*F515</f>
        <v>922.94169352475149</v>
      </c>
      <c r="I516" s="2">
        <f>E516*G515</f>
        <v>493.59658484525693</v>
      </c>
      <c r="J516" s="2">
        <f>I516-H516</f>
        <v>-429.34510867949456</v>
      </c>
      <c r="K516" s="2">
        <f t="shared" si="60"/>
        <v>429.34510867949456</v>
      </c>
      <c r="L516" s="14">
        <f>C516/B516</f>
        <v>1.0934823631876904</v>
      </c>
      <c r="M516" s="14">
        <f t="shared" si="62"/>
        <v>1.0910188614580583</v>
      </c>
      <c r="N516" s="14">
        <f t="shared" si="66"/>
        <v>1.0909471917490769</v>
      </c>
      <c r="O516" s="14">
        <f t="shared" si="67"/>
        <v>1.08982473858191</v>
      </c>
      <c r="P516" s="14">
        <f t="shared" si="61"/>
        <v>1.0831272231922566</v>
      </c>
      <c r="Q516" s="4" t="str">
        <f t="shared" si="65"/>
        <v>OVER</v>
      </c>
      <c r="R516" s="4" t="str">
        <f t="shared" si="65"/>
        <v>OVER</v>
      </c>
      <c r="S516" s="4" t="str">
        <f t="shared" si="63"/>
        <v>OVER</v>
      </c>
      <c r="T516" s="4" t="str">
        <f t="shared" si="63"/>
        <v>OVER</v>
      </c>
      <c r="U516" s="2">
        <f>IF(Q516="OVER",$J516,$K516)</f>
        <v>-429.34510867949456</v>
      </c>
      <c r="V516" s="2">
        <f>IF(R516="OVER",$J516,$K516)</f>
        <v>-429.34510867949456</v>
      </c>
      <c r="W516" s="2">
        <f>IF(S516="OVER",$J516,$K516)</f>
        <v>-429.34510867949456</v>
      </c>
      <c r="X516" s="2">
        <f>IF(T516="OVER",$J516,$K516)</f>
        <v>-429.34510867949456</v>
      </c>
      <c r="Y516" s="9">
        <f t="shared" si="64"/>
        <v>-19574.651107679998</v>
      </c>
      <c r="Z516" s="9">
        <f t="shared" si="64"/>
        <v>-19829.953064268211</v>
      </c>
      <c r="AA516" s="9">
        <f t="shared" si="64"/>
        <v>28354.77470204332</v>
      </c>
      <c r="AB516" s="9">
        <f t="shared" si="64"/>
        <v>7363.5685554871743</v>
      </c>
    </row>
    <row r="517" spans="1:28" x14ac:dyDescent="0.3">
      <c r="A517" s="1">
        <v>45162</v>
      </c>
      <c r="B517" s="2">
        <v>68.37</v>
      </c>
      <c r="C517" s="2">
        <v>74.540000000000006</v>
      </c>
      <c r="D517" s="9">
        <f>B517-B516</f>
        <v>-0.51999999999999602</v>
      </c>
      <c r="E517" s="9">
        <f>C517-C516</f>
        <v>-0.78999999999999204</v>
      </c>
      <c r="F517" s="3">
        <f>F$1/B517</f>
        <v>1462.629808395495</v>
      </c>
      <c r="G517" s="3">
        <f>F$1/C517</f>
        <v>1341.5615776764153</v>
      </c>
      <c r="H517" s="2">
        <f>D517*F516</f>
        <v>-754.82653505588041</v>
      </c>
      <c r="I517" s="2">
        <f>E517*G516</f>
        <v>-1048.7189698659126</v>
      </c>
      <c r="J517" s="2">
        <f>I517-H517</f>
        <v>-293.89243481003223</v>
      </c>
      <c r="K517" s="2">
        <f t="shared" ref="K517:K580" si="68">H517-I517</f>
        <v>293.89243481003223</v>
      </c>
      <c r="L517" s="14">
        <f>C517/B517</f>
        <v>1.0902442591780022</v>
      </c>
      <c r="M517" s="14">
        <f t="shared" si="62"/>
        <v>1.0908259708620969</v>
      </c>
      <c r="N517" s="14">
        <f t="shared" si="66"/>
        <v>1.0910118325756759</v>
      </c>
      <c r="O517" s="14">
        <f t="shared" si="67"/>
        <v>1.0898814327379736</v>
      </c>
      <c r="P517" s="14">
        <f t="shared" si="61"/>
        <v>1.0831626214076295</v>
      </c>
      <c r="Q517" s="4" t="str">
        <f t="shared" si="65"/>
        <v>OVER</v>
      </c>
      <c r="R517" s="4" t="str">
        <f t="shared" si="65"/>
        <v>OVER</v>
      </c>
      <c r="S517" s="4" t="str">
        <f t="shared" si="63"/>
        <v>OVER</v>
      </c>
      <c r="T517" s="4" t="str">
        <f t="shared" si="63"/>
        <v>OVER</v>
      </c>
      <c r="U517" s="2">
        <f>IF(Q517="OVER",$J517,$K517)</f>
        <v>-293.89243481003223</v>
      </c>
      <c r="V517" s="2">
        <f>IF(R517="OVER",$J517,$K517)</f>
        <v>-293.89243481003223</v>
      </c>
      <c r="W517" s="2">
        <f>IF(S517="OVER",$J517,$K517)</f>
        <v>-293.89243481003223</v>
      </c>
      <c r="X517" s="2">
        <f>IF(T517="OVER",$J517,$K517)</f>
        <v>-293.89243481003223</v>
      </c>
      <c r="Y517" s="9">
        <f t="shared" si="64"/>
        <v>-19868.543542490032</v>
      </c>
      <c r="Z517" s="9">
        <f t="shared" si="64"/>
        <v>-20123.845499078245</v>
      </c>
      <c r="AA517" s="9">
        <f t="shared" si="64"/>
        <v>28060.882267233286</v>
      </c>
      <c r="AB517" s="9">
        <f t="shared" si="64"/>
        <v>7069.6761206771425</v>
      </c>
    </row>
    <row r="518" spans="1:28" x14ac:dyDescent="0.3">
      <c r="A518" s="1">
        <v>45163</v>
      </c>
      <c r="B518" s="2">
        <v>68.569999999999993</v>
      </c>
      <c r="C518" s="2">
        <v>74.78</v>
      </c>
      <c r="D518" s="9">
        <f>B518-B517</f>
        <v>0.19999999999998863</v>
      </c>
      <c r="E518" s="9">
        <f>C518-C517</f>
        <v>0.23999999999999488</v>
      </c>
      <c r="F518" s="3">
        <f>F$1/B518</f>
        <v>1458.3637159107484</v>
      </c>
      <c r="G518" s="3">
        <f>F$1/C518</f>
        <v>1337.255950788981</v>
      </c>
      <c r="H518" s="2">
        <f>D518*F517</f>
        <v>292.5259616790824</v>
      </c>
      <c r="I518" s="2">
        <f>E518*G517</f>
        <v>321.97477864233281</v>
      </c>
      <c r="J518" s="2">
        <f>I518-H518</f>
        <v>29.448816963250408</v>
      </c>
      <c r="K518" s="2">
        <f t="shared" si="68"/>
        <v>-29.448816963250408</v>
      </c>
      <c r="L518" s="14">
        <f>C518/B518</f>
        <v>1.0905643867580577</v>
      </c>
      <c r="M518" s="14">
        <f t="shared" si="62"/>
        <v>1.0909645738665601</v>
      </c>
      <c r="N518" s="14">
        <f t="shared" si="66"/>
        <v>1.0910903378669894</v>
      </c>
      <c r="O518" s="14">
        <f t="shared" si="67"/>
        <v>1.0899171954912377</v>
      </c>
      <c r="P518" s="14">
        <f t="shared" si="61"/>
        <v>1.0832011731719811</v>
      </c>
      <c r="Q518" s="4" t="str">
        <f t="shared" si="65"/>
        <v>UNDER</v>
      </c>
      <c r="R518" s="4" t="str">
        <f t="shared" si="65"/>
        <v>UNDER</v>
      </c>
      <c r="S518" s="4" t="str">
        <f t="shared" si="63"/>
        <v>OVER</v>
      </c>
      <c r="T518" s="4" t="str">
        <f t="shared" si="63"/>
        <v>OVER</v>
      </c>
      <c r="U518" s="2">
        <f>IF(Q518="OVER",$J518,$K518)</f>
        <v>-29.448816963250408</v>
      </c>
      <c r="V518" s="2">
        <f>IF(R518="OVER",$J518,$K518)</f>
        <v>-29.448816963250408</v>
      </c>
      <c r="W518" s="2">
        <f>IF(S518="OVER",$J518,$K518)</f>
        <v>29.448816963250408</v>
      </c>
      <c r="X518" s="2">
        <f>IF(T518="OVER",$J518,$K518)</f>
        <v>29.448816963250408</v>
      </c>
      <c r="Y518" s="9">
        <f t="shared" si="64"/>
        <v>-19897.992359453281</v>
      </c>
      <c r="Z518" s="9">
        <f t="shared" si="64"/>
        <v>-20153.294316041494</v>
      </c>
      <c r="AA518" s="9">
        <f t="shared" si="64"/>
        <v>28090.331084196536</v>
      </c>
      <c r="AB518" s="9">
        <f t="shared" si="64"/>
        <v>7099.124937640393</v>
      </c>
    </row>
    <row r="519" spans="1:28" x14ac:dyDescent="0.3">
      <c r="A519" s="1">
        <v>45166</v>
      </c>
      <c r="B519" s="2">
        <v>68.73</v>
      </c>
      <c r="C519" s="2">
        <v>74.88</v>
      </c>
      <c r="D519" s="9">
        <f>B519-B518</f>
        <v>0.1600000000000108</v>
      </c>
      <c r="E519" s="9">
        <f>C519-C518</f>
        <v>9.9999999999994316E-2</v>
      </c>
      <c r="F519" s="3">
        <f>F$1/B519</f>
        <v>1454.9687181725592</v>
      </c>
      <c r="G519" s="3">
        <f>F$1/C519</f>
        <v>1335.4700854700855</v>
      </c>
      <c r="H519" s="2">
        <f>D519*F518</f>
        <v>233.33819454573549</v>
      </c>
      <c r="I519" s="2">
        <f>E519*G518</f>
        <v>133.72559507889051</v>
      </c>
      <c r="J519" s="2">
        <f>I519-H519</f>
        <v>-99.612599466844983</v>
      </c>
      <c r="K519" s="2">
        <f t="shared" si="68"/>
        <v>99.612599466844983</v>
      </c>
      <c r="L519" s="14">
        <f>C519/B519</f>
        <v>1.0894805761676123</v>
      </c>
      <c r="M519" s="14">
        <f t="shared" si="62"/>
        <v>1.0909996190565252</v>
      </c>
      <c r="N519" s="14">
        <f t="shared" si="66"/>
        <v>1.0909120718214063</v>
      </c>
      <c r="O519" s="14">
        <f t="shared" si="67"/>
        <v>1.0899671756781841</v>
      </c>
      <c r="P519" s="14">
        <f t="shared" si="61"/>
        <v>1.0832497840441462</v>
      </c>
      <c r="Q519" s="4" t="str">
        <f t="shared" si="65"/>
        <v>UNDER</v>
      </c>
      <c r="R519" s="4" t="str">
        <f t="shared" si="65"/>
        <v>UNDER</v>
      </c>
      <c r="S519" s="4" t="str">
        <f t="shared" si="63"/>
        <v>UNDER</v>
      </c>
      <c r="T519" s="4" t="str">
        <f t="shared" si="63"/>
        <v>OVER</v>
      </c>
      <c r="U519" s="2">
        <f>IF(Q519="OVER",$J519,$K519)</f>
        <v>99.612599466844983</v>
      </c>
      <c r="V519" s="2">
        <f>IF(R519="OVER",$J519,$K519)</f>
        <v>99.612599466844983</v>
      </c>
      <c r="W519" s="2">
        <f>IF(S519="OVER",$J519,$K519)</f>
        <v>99.612599466844983</v>
      </c>
      <c r="X519" s="2">
        <f>IF(T519="OVER",$J519,$K519)</f>
        <v>-99.612599466844983</v>
      </c>
      <c r="Y519" s="9">
        <f t="shared" si="64"/>
        <v>-19798.379759986437</v>
      </c>
      <c r="Z519" s="9">
        <f t="shared" si="64"/>
        <v>-20053.681716574651</v>
      </c>
      <c r="AA519" s="9">
        <f t="shared" si="64"/>
        <v>28189.943683663379</v>
      </c>
      <c r="AB519" s="9">
        <f t="shared" si="64"/>
        <v>6999.5123381735484</v>
      </c>
    </row>
    <row r="520" spans="1:28" x14ac:dyDescent="0.3">
      <c r="A520" s="1">
        <v>45167</v>
      </c>
      <c r="B520" s="2">
        <v>69.31</v>
      </c>
      <c r="C520" s="2">
        <v>75.37</v>
      </c>
      <c r="D520" s="9">
        <f>B520-B519</f>
        <v>0.57999999999999829</v>
      </c>
      <c r="E520" s="9">
        <f>C520-C519</f>
        <v>0.49000000000000909</v>
      </c>
      <c r="F520" s="3">
        <f>F$1/B520</f>
        <v>1442.7932477276006</v>
      </c>
      <c r="G520" s="3">
        <f>F$1/C520</f>
        <v>1326.7878466233249</v>
      </c>
      <c r="H520" s="2">
        <f>D520*F519</f>
        <v>843.8818565400818</v>
      </c>
      <c r="I520" s="2">
        <f>E520*G519</f>
        <v>654.38034188035397</v>
      </c>
      <c r="J520" s="2">
        <f>I520-H520</f>
        <v>-189.50151465972783</v>
      </c>
      <c r="K520" s="2">
        <f t="shared" si="68"/>
        <v>189.50151465972783</v>
      </c>
      <c r="L520" s="14">
        <f>C520/B520</f>
        <v>1.0874332708122927</v>
      </c>
      <c r="M520" s="14">
        <f t="shared" si="62"/>
        <v>1.0906585810355371</v>
      </c>
      <c r="N520" s="14">
        <f t="shared" si="66"/>
        <v>1.0907236794960991</v>
      </c>
      <c r="O520" s="14">
        <f t="shared" si="67"/>
        <v>1.089981720397325</v>
      </c>
      <c r="P520" s="14">
        <f t="shared" si="61"/>
        <v>1.0833061400967001</v>
      </c>
      <c r="Q520" s="4" t="str">
        <f t="shared" si="65"/>
        <v>UNDER</v>
      </c>
      <c r="R520" s="4" t="str">
        <f t="shared" si="65"/>
        <v>UNDER</v>
      </c>
      <c r="S520" s="4" t="str">
        <f t="shared" si="63"/>
        <v>UNDER</v>
      </c>
      <c r="T520" s="4" t="str">
        <f t="shared" si="63"/>
        <v>OVER</v>
      </c>
      <c r="U520" s="2">
        <f>IF(Q520="OVER",$J520,$K520)</f>
        <v>189.50151465972783</v>
      </c>
      <c r="V520" s="2">
        <f>IF(R520="OVER",$J520,$K520)</f>
        <v>189.50151465972783</v>
      </c>
      <c r="W520" s="2">
        <f>IF(S520="OVER",$J520,$K520)</f>
        <v>189.50151465972783</v>
      </c>
      <c r="X520" s="2">
        <f>IF(T520="OVER",$J520,$K520)</f>
        <v>-189.50151465972783</v>
      </c>
      <c r="Y520" s="9">
        <f t="shared" si="64"/>
        <v>-19608.878245326709</v>
      </c>
      <c r="Z520" s="9">
        <f t="shared" si="64"/>
        <v>-19864.180201914922</v>
      </c>
      <c r="AA520" s="9">
        <f t="shared" si="64"/>
        <v>28379.445198323108</v>
      </c>
      <c r="AB520" s="9">
        <f t="shared" si="64"/>
        <v>6810.0108235138205</v>
      </c>
    </row>
    <row r="521" spans="1:28" x14ac:dyDescent="0.3">
      <c r="A521" s="1">
        <v>45168</v>
      </c>
      <c r="B521" s="2">
        <v>69.63</v>
      </c>
      <c r="C521" s="2">
        <v>75.819999999999993</v>
      </c>
      <c r="D521" s="9">
        <f>B521-B520</f>
        <v>0.31999999999999318</v>
      </c>
      <c r="E521" s="9">
        <f>C521-C520</f>
        <v>0.44999999999998863</v>
      </c>
      <c r="F521" s="3">
        <f>F$1/B521</f>
        <v>1436.162573603332</v>
      </c>
      <c r="G521" s="3">
        <f>F$1/C521</f>
        <v>1318.9132155104196</v>
      </c>
      <c r="H521" s="2">
        <f>D521*F520</f>
        <v>461.69383927282234</v>
      </c>
      <c r="I521" s="2">
        <f>E521*G520</f>
        <v>597.0545309804811</v>
      </c>
      <c r="J521" s="2">
        <f>I521-H521</f>
        <v>135.36069170765876</v>
      </c>
      <c r="K521" s="2">
        <f t="shared" si="68"/>
        <v>-135.36069170765876</v>
      </c>
      <c r="L521" s="14">
        <f>C521/B521</f>
        <v>1.0888984633060461</v>
      </c>
      <c r="M521" s="14">
        <f t="shared" si="62"/>
        <v>1.0906691793545729</v>
      </c>
      <c r="N521" s="14">
        <f t="shared" si="66"/>
        <v>1.0906900403294357</v>
      </c>
      <c r="O521" s="14">
        <f t="shared" si="67"/>
        <v>1.0900850967826274</v>
      </c>
      <c r="P521" s="14">
        <f t="shared" si="61"/>
        <v>1.0833593413048259</v>
      </c>
      <c r="Q521" s="4" t="str">
        <f t="shared" si="65"/>
        <v>UNDER</v>
      </c>
      <c r="R521" s="4" t="str">
        <f t="shared" si="65"/>
        <v>UNDER</v>
      </c>
      <c r="S521" s="4" t="str">
        <f t="shared" si="63"/>
        <v>UNDER</v>
      </c>
      <c r="T521" s="4" t="str">
        <f t="shared" si="63"/>
        <v>OVER</v>
      </c>
      <c r="U521" s="2">
        <f>IF(Q521="OVER",$J521,$K521)</f>
        <v>-135.36069170765876</v>
      </c>
      <c r="V521" s="2">
        <f>IF(R521="OVER",$J521,$K521)</f>
        <v>-135.36069170765876</v>
      </c>
      <c r="W521" s="2">
        <f>IF(S521="OVER",$J521,$K521)</f>
        <v>-135.36069170765876</v>
      </c>
      <c r="X521" s="2">
        <f>IF(T521="OVER",$J521,$K521)</f>
        <v>135.36069170765876</v>
      </c>
      <c r="Y521" s="9">
        <f t="shared" si="64"/>
        <v>-19744.238937034366</v>
      </c>
      <c r="Z521" s="9">
        <f t="shared" si="64"/>
        <v>-19999.540893622579</v>
      </c>
      <c r="AA521" s="9">
        <f t="shared" si="64"/>
        <v>28244.084506615451</v>
      </c>
      <c r="AB521" s="9">
        <f t="shared" si="64"/>
        <v>6945.3715152214791</v>
      </c>
    </row>
    <row r="522" spans="1:28" x14ac:dyDescent="0.3">
      <c r="A522" s="1">
        <v>45169</v>
      </c>
      <c r="B522" s="2">
        <v>69.78</v>
      </c>
      <c r="C522" s="2">
        <v>75.89</v>
      </c>
      <c r="D522" s="9">
        <f>B522-B521</f>
        <v>0.15000000000000568</v>
      </c>
      <c r="E522" s="9">
        <f>C522-C521</f>
        <v>7.000000000000739E-2</v>
      </c>
      <c r="F522" s="3">
        <f>F$1/B522</f>
        <v>1433.0753797649757</v>
      </c>
      <c r="G522" s="3">
        <f>F$1/C522</f>
        <v>1317.6966662274344</v>
      </c>
      <c r="H522" s="2">
        <f>D522*F521</f>
        <v>215.42438604050795</v>
      </c>
      <c r="I522" s="2">
        <f>E522*G521</f>
        <v>92.32392508573912</v>
      </c>
      <c r="J522" s="2">
        <f>I522-H522</f>
        <v>-123.10046095476883</v>
      </c>
      <c r="K522" s="2">
        <f t="shared" si="68"/>
        <v>123.10046095476883</v>
      </c>
      <c r="L522" s="14">
        <f>C522/B522</f>
        <v>1.0875609057036399</v>
      </c>
      <c r="M522" s="14">
        <f t="shared" si="62"/>
        <v>1.0904311008287271</v>
      </c>
      <c r="N522" s="14">
        <f t="shared" si="66"/>
        <v>1.0904129621403063</v>
      </c>
      <c r="O522" s="14">
        <f t="shared" si="67"/>
        <v>1.0901158538015994</v>
      </c>
      <c r="P522" s="14">
        <f t="shared" si="61"/>
        <v>1.08342339168052</v>
      </c>
      <c r="Q522" s="4" t="str">
        <f t="shared" si="65"/>
        <v>UNDER</v>
      </c>
      <c r="R522" s="4" t="str">
        <f t="shared" si="65"/>
        <v>UNDER</v>
      </c>
      <c r="S522" s="4" t="str">
        <f t="shared" si="63"/>
        <v>UNDER</v>
      </c>
      <c r="T522" s="4" t="str">
        <f t="shared" si="63"/>
        <v>OVER</v>
      </c>
      <c r="U522" s="2">
        <f>IF(Q522="OVER",$J522,$K522)</f>
        <v>123.10046095476883</v>
      </c>
      <c r="V522" s="2">
        <f>IF(R522="OVER",$J522,$K522)</f>
        <v>123.10046095476883</v>
      </c>
      <c r="W522" s="2">
        <f>IF(S522="OVER",$J522,$K522)</f>
        <v>123.10046095476883</v>
      </c>
      <c r="X522" s="2">
        <f>IF(T522="OVER",$J522,$K522)</f>
        <v>-123.10046095476883</v>
      </c>
      <c r="Y522" s="9">
        <f t="shared" si="64"/>
        <v>-19621.138476079599</v>
      </c>
      <c r="Z522" s="9">
        <f t="shared" si="64"/>
        <v>-19876.440432667812</v>
      </c>
      <c r="AA522" s="9">
        <f t="shared" si="64"/>
        <v>28367.184967570218</v>
      </c>
      <c r="AB522" s="9">
        <f t="shared" si="64"/>
        <v>6822.2710542667101</v>
      </c>
    </row>
    <row r="523" spans="1:28" x14ac:dyDescent="0.3">
      <c r="A523" s="1">
        <v>45170</v>
      </c>
      <c r="B523" s="2">
        <v>69.7</v>
      </c>
      <c r="C523" s="2">
        <v>75.989999999999995</v>
      </c>
      <c r="D523" s="9">
        <f>B523-B522</f>
        <v>-7.9999999999998295E-2</v>
      </c>
      <c r="E523" s="9">
        <f>C523-C522</f>
        <v>9.9999999999994316E-2</v>
      </c>
      <c r="F523" s="3">
        <f>F$1/B523</f>
        <v>1434.7202295552368</v>
      </c>
      <c r="G523" s="3">
        <f>F$1/C523</f>
        <v>1315.962626661403</v>
      </c>
      <c r="H523" s="2">
        <f>D523*F522</f>
        <v>-114.64603038119562</v>
      </c>
      <c r="I523" s="2">
        <f>E523*G522</f>
        <v>131.76966662273594</v>
      </c>
      <c r="J523" s="2">
        <f>I523-H523</f>
        <v>246.41569700393154</v>
      </c>
      <c r="K523" s="2">
        <f t="shared" si="68"/>
        <v>-246.41569700393154</v>
      </c>
      <c r="L523" s="14">
        <f>C523/B523</f>
        <v>1.0902439024390242</v>
      </c>
      <c r="M523" s="14">
        <f t="shared" si="62"/>
        <v>1.0905912251446515</v>
      </c>
      <c r="N523" s="14">
        <f t="shared" si="66"/>
        <v>1.09036612454533</v>
      </c>
      <c r="O523" s="14">
        <f t="shared" si="67"/>
        <v>1.0901508458968645</v>
      </c>
      <c r="P523" s="14">
        <f t="shared" ref="P523:P586" si="69">AVERAGE(L324:L523)</f>
        <v>1.0834882441060294</v>
      </c>
      <c r="Q523" s="4" t="str">
        <f t="shared" si="65"/>
        <v>UNDER</v>
      </c>
      <c r="R523" s="4" t="str">
        <f t="shared" si="65"/>
        <v>UNDER</v>
      </c>
      <c r="S523" s="4" t="str">
        <f t="shared" si="63"/>
        <v>OVER</v>
      </c>
      <c r="T523" s="4" t="str">
        <f t="shared" si="63"/>
        <v>OVER</v>
      </c>
      <c r="U523" s="2">
        <f>IF(Q523="OVER",$J523,$K523)</f>
        <v>-246.41569700393154</v>
      </c>
      <c r="V523" s="2">
        <f>IF(R523="OVER",$J523,$K523)</f>
        <v>-246.41569700393154</v>
      </c>
      <c r="W523" s="2">
        <f>IF(S523="OVER",$J523,$K523)</f>
        <v>246.41569700393154</v>
      </c>
      <c r="X523" s="2">
        <f>IF(T523="OVER",$J523,$K523)</f>
        <v>246.41569700393154</v>
      </c>
      <c r="Y523" s="9">
        <f t="shared" si="64"/>
        <v>-19867.554173083532</v>
      </c>
      <c r="Z523" s="9">
        <f t="shared" si="64"/>
        <v>-20122.856129671745</v>
      </c>
      <c r="AA523" s="9">
        <f t="shared" si="64"/>
        <v>28613.600664574151</v>
      </c>
      <c r="AB523" s="9">
        <f t="shared" si="64"/>
        <v>7068.6867512706413</v>
      </c>
    </row>
    <row r="524" spans="1:28" x14ac:dyDescent="0.3">
      <c r="A524" s="1">
        <v>45174</v>
      </c>
      <c r="B524" s="2">
        <v>69.540000000000006</v>
      </c>
      <c r="C524" s="2">
        <v>75.67</v>
      </c>
      <c r="D524" s="9">
        <f>B524-B523</f>
        <v>-0.15999999999999659</v>
      </c>
      <c r="E524" s="9">
        <f>C524-C523</f>
        <v>-0.31999999999999318</v>
      </c>
      <c r="F524" s="3">
        <f>F$1/B524</f>
        <v>1438.021282714984</v>
      </c>
      <c r="G524" s="3">
        <f>F$1/C524</f>
        <v>1321.5276860050217</v>
      </c>
      <c r="H524" s="2">
        <f>D524*F523</f>
        <v>-229.55523672883299</v>
      </c>
      <c r="I524" s="2">
        <f>E524*G523</f>
        <v>-421.10804053163997</v>
      </c>
      <c r="J524" s="2">
        <f>I524-H524</f>
        <v>-191.55280380280698</v>
      </c>
      <c r="K524" s="2">
        <f t="shared" si="68"/>
        <v>191.55280380280698</v>
      </c>
      <c r="L524" s="14">
        <f>C524/B524</f>
        <v>1.0881507046304284</v>
      </c>
      <c r="M524" s="14">
        <f t="shared" si="62"/>
        <v>1.0904212948795746</v>
      </c>
      <c r="N524" s="14">
        <f t="shared" si="66"/>
        <v>1.0903562733971257</v>
      </c>
      <c r="O524" s="14">
        <f t="shared" si="67"/>
        <v>1.0901519759947065</v>
      </c>
      <c r="P524" s="14">
        <f t="shared" si="69"/>
        <v>1.0835402335842377</v>
      </c>
      <c r="Q524" s="4" t="str">
        <f t="shared" si="65"/>
        <v>UNDER</v>
      </c>
      <c r="R524" s="4" t="str">
        <f t="shared" si="65"/>
        <v>UNDER</v>
      </c>
      <c r="S524" s="4" t="str">
        <f t="shared" si="63"/>
        <v>UNDER</v>
      </c>
      <c r="T524" s="4" t="str">
        <f t="shared" si="63"/>
        <v>OVER</v>
      </c>
      <c r="U524" s="2">
        <f>IF(Q524="OVER",$J524,$K524)</f>
        <v>191.55280380280698</v>
      </c>
      <c r="V524" s="2">
        <f>IF(R524="OVER",$J524,$K524)</f>
        <v>191.55280380280698</v>
      </c>
      <c r="W524" s="2">
        <f>IF(S524="OVER",$J524,$K524)</f>
        <v>191.55280380280698</v>
      </c>
      <c r="X524" s="2">
        <f>IF(T524="OVER",$J524,$K524)</f>
        <v>-191.55280380280698</v>
      </c>
      <c r="Y524" s="9">
        <f t="shared" si="64"/>
        <v>-19676.001369280726</v>
      </c>
      <c r="Z524" s="9">
        <f t="shared" si="64"/>
        <v>-19931.303325868939</v>
      </c>
      <c r="AA524" s="9">
        <f t="shared" si="64"/>
        <v>28805.153468376957</v>
      </c>
      <c r="AB524" s="9">
        <f t="shared" ref="AB524:AB587" si="70">AB523+X524</f>
        <v>6877.1339474678343</v>
      </c>
    </row>
    <row r="525" spans="1:28" x14ac:dyDescent="0.3">
      <c r="A525" s="1">
        <v>45175</v>
      </c>
      <c r="B525" s="2">
        <v>69.38</v>
      </c>
      <c r="C525" s="2">
        <v>75.650000000000006</v>
      </c>
      <c r="D525" s="9">
        <f>B525-B524</f>
        <v>-0.1600000000000108</v>
      </c>
      <c r="E525" s="9">
        <f>C525-C524</f>
        <v>-1.9999999999996021E-2</v>
      </c>
      <c r="F525" s="3">
        <f>F$1/B525</f>
        <v>1441.3375612568464</v>
      </c>
      <c r="G525" s="3">
        <f>F$1/C525</f>
        <v>1321.8770654329146</v>
      </c>
      <c r="H525" s="2">
        <f>D525*F524</f>
        <v>-230.08340523441296</v>
      </c>
      <c r="I525" s="2">
        <f>E525*G524</f>
        <v>-26.430553720095176</v>
      </c>
      <c r="J525" s="2">
        <f>I525-H525</f>
        <v>203.65285151431777</v>
      </c>
      <c r="K525" s="2">
        <f t="shared" si="68"/>
        <v>-203.65285151431777</v>
      </c>
      <c r="L525" s="14">
        <f>C525/B525</f>
        <v>1.0903718650908045</v>
      </c>
      <c r="M525" s="14">
        <f t="shared" ref="M525:M588" si="71">AVERAGE(L516:L525)</f>
        <v>1.0896430697273598</v>
      </c>
      <c r="N525" s="14">
        <f t="shared" si="66"/>
        <v>1.0902354709846194</v>
      </c>
      <c r="O525" s="14">
        <f t="shared" si="67"/>
        <v>1.0901684553084428</v>
      </c>
      <c r="P525" s="14">
        <f t="shared" si="69"/>
        <v>1.0836154891361067</v>
      </c>
      <c r="Q525" s="4" t="str">
        <f t="shared" si="65"/>
        <v>UNDER</v>
      </c>
      <c r="R525" s="4" t="str">
        <f t="shared" si="65"/>
        <v>UNDER</v>
      </c>
      <c r="S525" s="4" t="str">
        <f t="shared" ref="S525:T588" si="72">IF($L525&gt;O525,"OVER","UNDER")</f>
        <v>OVER</v>
      </c>
      <c r="T525" s="4" t="str">
        <f t="shared" si="72"/>
        <v>OVER</v>
      </c>
      <c r="U525" s="2">
        <f>IF(Q525="OVER",$J525,$K525)</f>
        <v>-203.65285151431777</v>
      </c>
      <c r="V525" s="2">
        <f>IF(R525="OVER",$J525,$K525)</f>
        <v>-203.65285151431777</v>
      </c>
      <c r="W525" s="2">
        <f>IF(S525="OVER",$J525,$K525)</f>
        <v>203.65285151431777</v>
      </c>
      <c r="X525" s="2">
        <f>IF(T525="OVER",$J525,$K525)</f>
        <v>203.65285151431777</v>
      </c>
      <c r="Y525" s="9">
        <f t="shared" ref="Y525:AB588" si="73">Y524+U525</f>
        <v>-19879.654220795044</v>
      </c>
      <c r="Z525" s="9">
        <f t="shared" si="73"/>
        <v>-20134.956177383257</v>
      </c>
      <c r="AA525" s="9">
        <f t="shared" si="73"/>
        <v>29008.806319891275</v>
      </c>
      <c r="AB525" s="9">
        <f t="shared" si="70"/>
        <v>7080.7867989821525</v>
      </c>
    </row>
    <row r="526" spans="1:28" x14ac:dyDescent="0.3">
      <c r="A526" s="1">
        <v>45176</v>
      </c>
      <c r="B526" s="2">
        <v>69.05</v>
      </c>
      <c r="C526" s="2">
        <v>75.319999999999993</v>
      </c>
      <c r="D526" s="9">
        <f>B526-B525</f>
        <v>-0.32999999999999829</v>
      </c>
      <c r="E526" s="9">
        <f>C526-C525</f>
        <v>-0.33000000000001251</v>
      </c>
      <c r="F526" s="3">
        <f>F$1/B526</f>
        <v>1448.225923244026</v>
      </c>
      <c r="G526" s="3">
        <f>F$1/C526</f>
        <v>1327.6686139139672</v>
      </c>
      <c r="H526" s="2">
        <f>D526*F525</f>
        <v>-475.64139521475681</v>
      </c>
      <c r="I526" s="2">
        <f>E526*G525</f>
        <v>-436.21943159287832</v>
      </c>
      <c r="J526" s="2">
        <f>I526-H526</f>
        <v>39.42196362187849</v>
      </c>
      <c r="K526" s="2">
        <f t="shared" si="68"/>
        <v>-39.42196362187849</v>
      </c>
      <c r="L526" s="14">
        <f>C526/B526</f>
        <v>1.0908037653874003</v>
      </c>
      <c r="M526" s="14">
        <f t="shared" si="71"/>
        <v>1.0893752099473308</v>
      </c>
      <c r="N526" s="14">
        <f t="shared" si="66"/>
        <v>1.0901970357026944</v>
      </c>
      <c r="O526" s="14">
        <f t="shared" si="67"/>
        <v>1.0901984034485606</v>
      </c>
      <c r="P526" s="14">
        <f t="shared" si="69"/>
        <v>1.0836842496043813</v>
      </c>
      <c r="Q526" s="4" t="str">
        <f t="shared" ref="Q526:R589" si="74">IF($L525&gt;M525,"OVER","UNDER")</f>
        <v>OVER</v>
      </c>
      <c r="R526" s="4" t="str">
        <f t="shared" si="74"/>
        <v>OVER</v>
      </c>
      <c r="S526" s="4" t="str">
        <f t="shared" si="72"/>
        <v>OVER</v>
      </c>
      <c r="T526" s="4" t="str">
        <f t="shared" si="72"/>
        <v>OVER</v>
      </c>
      <c r="U526" s="2">
        <f>IF(Q526="OVER",$J526,$K526)</f>
        <v>39.42196362187849</v>
      </c>
      <c r="V526" s="2">
        <f>IF(R526="OVER",$J526,$K526)</f>
        <v>39.42196362187849</v>
      </c>
      <c r="W526" s="2">
        <f>IF(S526="OVER",$J526,$K526)</f>
        <v>39.42196362187849</v>
      </c>
      <c r="X526" s="2">
        <f>IF(T526="OVER",$J526,$K526)</f>
        <v>39.42196362187849</v>
      </c>
      <c r="Y526" s="9">
        <f t="shared" si="73"/>
        <v>-19840.232257173167</v>
      </c>
      <c r="Z526" s="9">
        <f t="shared" si="73"/>
        <v>-20095.534213761381</v>
      </c>
      <c r="AA526" s="9">
        <f t="shared" si="73"/>
        <v>29048.228283513152</v>
      </c>
      <c r="AB526" s="9">
        <f t="shared" si="70"/>
        <v>7120.2087626040311</v>
      </c>
    </row>
    <row r="527" spans="1:28" x14ac:dyDescent="0.3">
      <c r="A527" s="1">
        <v>45177</v>
      </c>
      <c r="B527" s="2">
        <v>69.040000000000006</v>
      </c>
      <c r="C527" s="2">
        <v>75.290000000000006</v>
      </c>
      <c r="D527" s="9">
        <f>B527-B526</f>
        <v>-9.9999999999909051E-3</v>
      </c>
      <c r="E527" s="9">
        <f>C527-C526</f>
        <v>-2.9999999999986926E-2</v>
      </c>
      <c r="F527" s="3">
        <f>F$1/B527</f>
        <v>1448.435689455388</v>
      </c>
      <c r="G527" s="3">
        <f>F$1/C527</f>
        <v>1328.1976358082081</v>
      </c>
      <c r="H527" s="2">
        <f>D527*F526</f>
        <v>-14.482259232427088</v>
      </c>
      <c r="I527" s="2">
        <f>E527*G526</f>
        <v>-39.830058417401659</v>
      </c>
      <c r="J527" s="2">
        <f>I527-H527</f>
        <v>-25.347799184974569</v>
      </c>
      <c r="K527" s="2">
        <f t="shared" si="68"/>
        <v>25.347799184974569</v>
      </c>
      <c r="L527" s="14">
        <f>C527/B527</f>
        <v>1.0905272305909617</v>
      </c>
      <c r="M527" s="14">
        <f t="shared" si="71"/>
        <v>1.0894035070886268</v>
      </c>
      <c r="N527" s="14">
        <f t="shared" si="66"/>
        <v>1.0901147389753618</v>
      </c>
      <c r="O527" s="14">
        <f t="shared" si="67"/>
        <v>1.0902360310939099</v>
      </c>
      <c r="P527" s="14">
        <f t="shared" si="69"/>
        <v>1.0837549518379666</v>
      </c>
      <c r="Q527" s="4" t="str">
        <f t="shared" si="74"/>
        <v>OVER</v>
      </c>
      <c r="R527" s="4" t="str">
        <f t="shared" si="74"/>
        <v>OVER</v>
      </c>
      <c r="S527" s="4" t="str">
        <f t="shared" si="72"/>
        <v>OVER</v>
      </c>
      <c r="T527" s="4" t="str">
        <f t="shared" si="72"/>
        <v>OVER</v>
      </c>
      <c r="U527" s="2">
        <f>IF(Q527="OVER",$J527,$K527)</f>
        <v>-25.347799184974569</v>
      </c>
      <c r="V527" s="2">
        <f>IF(R527="OVER",$J527,$K527)</f>
        <v>-25.347799184974569</v>
      </c>
      <c r="W527" s="2">
        <f>IF(S527="OVER",$J527,$K527)</f>
        <v>-25.347799184974569</v>
      </c>
      <c r="X527" s="2">
        <f>IF(T527="OVER",$J527,$K527)</f>
        <v>-25.347799184974569</v>
      </c>
      <c r="Y527" s="9">
        <f t="shared" si="73"/>
        <v>-19865.580056358143</v>
      </c>
      <c r="Z527" s="9">
        <f t="shared" si="73"/>
        <v>-20120.882012946357</v>
      </c>
      <c r="AA527" s="9">
        <f t="shared" si="73"/>
        <v>29022.880484328176</v>
      </c>
      <c r="AB527" s="9">
        <f t="shared" si="70"/>
        <v>7094.8609634190561</v>
      </c>
    </row>
    <row r="528" spans="1:28" x14ac:dyDescent="0.3">
      <c r="A528" s="1">
        <v>45180</v>
      </c>
      <c r="B528" s="2">
        <v>69.25</v>
      </c>
      <c r="C528" s="2">
        <v>75.5</v>
      </c>
      <c r="D528" s="9">
        <f>B528-B527</f>
        <v>0.20999999999999375</v>
      </c>
      <c r="E528" s="9">
        <f>C528-C527</f>
        <v>0.20999999999999375</v>
      </c>
      <c r="F528" s="3">
        <f>F$1/B528</f>
        <v>1444.043321299639</v>
      </c>
      <c r="G528" s="3">
        <f>F$1/C528</f>
        <v>1324.5033112582782</v>
      </c>
      <c r="H528" s="2">
        <f>D528*F527</f>
        <v>304.17149478562243</v>
      </c>
      <c r="I528" s="2">
        <f>E528*G527</f>
        <v>278.92150351971543</v>
      </c>
      <c r="J528" s="2">
        <f>I528-H528</f>
        <v>-25.249991265906999</v>
      </c>
      <c r="K528" s="2">
        <f t="shared" si="68"/>
        <v>25.249991265906999</v>
      </c>
      <c r="L528" s="14">
        <f>C528/B528</f>
        <v>1.0902527075812274</v>
      </c>
      <c r="M528" s="14">
        <f t="shared" si="71"/>
        <v>1.0893723391709436</v>
      </c>
      <c r="N528" s="14">
        <f t="shared" si="66"/>
        <v>1.0901684565187519</v>
      </c>
      <c r="O528" s="14">
        <f t="shared" si="67"/>
        <v>1.0902518836372632</v>
      </c>
      <c r="P528" s="14">
        <f t="shared" si="69"/>
        <v>1.0838417350836798</v>
      </c>
      <c r="Q528" s="4" t="str">
        <f t="shared" si="74"/>
        <v>OVER</v>
      </c>
      <c r="R528" s="4" t="str">
        <f t="shared" si="74"/>
        <v>OVER</v>
      </c>
      <c r="S528" s="4" t="str">
        <f t="shared" si="72"/>
        <v>OVER</v>
      </c>
      <c r="T528" s="4" t="str">
        <f t="shared" si="72"/>
        <v>OVER</v>
      </c>
      <c r="U528" s="2">
        <f>IF(Q528="OVER",$J528,$K528)</f>
        <v>-25.249991265906999</v>
      </c>
      <c r="V528" s="2">
        <f>IF(R528="OVER",$J528,$K528)</f>
        <v>-25.249991265906999</v>
      </c>
      <c r="W528" s="2">
        <f>IF(S528="OVER",$J528,$K528)</f>
        <v>-25.249991265906999</v>
      </c>
      <c r="X528" s="2">
        <f>IF(T528="OVER",$J528,$K528)</f>
        <v>-25.249991265906999</v>
      </c>
      <c r="Y528" s="9">
        <f t="shared" si="73"/>
        <v>-19890.830047624051</v>
      </c>
      <c r="Z528" s="9">
        <f t="shared" si="73"/>
        <v>-20146.132004212264</v>
      </c>
      <c r="AA528" s="9">
        <f t="shared" si="73"/>
        <v>28997.630493062268</v>
      </c>
      <c r="AB528" s="9">
        <f t="shared" si="70"/>
        <v>7069.6109721531493</v>
      </c>
    </row>
    <row r="529" spans="1:28" x14ac:dyDescent="0.3">
      <c r="A529" s="1">
        <v>45181</v>
      </c>
      <c r="B529" s="2">
        <v>69.150000000000006</v>
      </c>
      <c r="C529" s="2">
        <v>75.459999999999994</v>
      </c>
      <c r="D529" s="9">
        <f>B529-B528</f>
        <v>-9.9999999999994316E-2</v>
      </c>
      <c r="E529" s="9">
        <f>C529-C528</f>
        <v>-4.0000000000006253E-2</v>
      </c>
      <c r="F529" s="3">
        <f>F$1/B529</f>
        <v>1446.1315979754156</v>
      </c>
      <c r="G529" s="3">
        <f>F$1/C529</f>
        <v>1325.2054068380601</v>
      </c>
      <c r="H529" s="2">
        <f>D529*F528</f>
        <v>-144.40433212995569</v>
      </c>
      <c r="I529" s="2">
        <f>E529*G528</f>
        <v>-52.980132450339411</v>
      </c>
      <c r="J529" s="2">
        <f>I529-H529</f>
        <v>91.424199679616279</v>
      </c>
      <c r="K529" s="2">
        <f t="shared" si="68"/>
        <v>-91.424199679616279</v>
      </c>
      <c r="L529" s="14">
        <f>C529/B529</f>
        <v>1.0912509038322487</v>
      </c>
      <c r="M529" s="14">
        <f t="shared" si="71"/>
        <v>1.0895493719374074</v>
      </c>
      <c r="N529" s="14">
        <f t="shared" si="66"/>
        <v>1.0902744954969663</v>
      </c>
      <c r="O529" s="14">
        <f t="shared" si="67"/>
        <v>1.0902441640441443</v>
      </c>
      <c r="P529" s="14">
        <f t="shared" si="69"/>
        <v>1.0839259071536138</v>
      </c>
      <c r="Q529" s="4" t="str">
        <f t="shared" si="74"/>
        <v>OVER</v>
      </c>
      <c r="R529" s="4" t="str">
        <f t="shared" si="74"/>
        <v>OVER</v>
      </c>
      <c r="S529" s="4" t="str">
        <f t="shared" si="72"/>
        <v>OVER</v>
      </c>
      <c r="T529" s="4" t="str">
        <f t="shared" si="72"/>
        <v>OVER</v>
      </c>
      <c r="U529" s="2">
        <f>IF(Q529="OVER",$J529,$K529)</f>
        <v>91.424199679616279</v>
      </c>
      <c r="V529" s="2">
        <f>IF(R529="OVER",$J529,$K529)</f>
        <v>91.424199679616279</v>
      </c>
      <c r="W529" s="2">
        <f>IF(S529="OVER",$J529,$K529)</f>
        <v>91.424199679616279</v>
      </c>
      <c r="X529" s="2">
        <f>IF(T529="OVER",$J529,$K529)</f>
        <v>91.424199679616279</v>
      </c>
      <c r="Y529" s="9">
        <f t="shared" si="73"/>
        <v>-19799.405847944436</v>
      </c>
      <c r="Z529" s="9">
        <f t="shared" si="73"/>
        <v>-20054.707804532649</v>
      </c>
      <c r="AA529" s="9">
        <f t="shared" si="73"/>
        <v>29089.054692741884</v>
      </c>
      <c r="AB529" s="9">
        <f t="shared" si="70"/>
        <v>7161.0351718327656</v>
      </c>
    </row>
    <row r="530" spans="1:28" x14ac:dyDescent="0.3">
      <c r="A530" s="1">
        <v>45182</v>
      </c>
      <c r="B530" s="2">
        <v>69.040000000000006</v>
      </c>
      <c r="C530" s="2">
        <v>75.22</v>
      </c>
      <c r="D530" s="9">
        <f>B530-B529</f>
        <v>-0.10999999999999943</v>
      </c>
      <c r="E530" s="9">
        <f>C530-C529</f>
        <v>-0.23999999999999488</v>
      </c>
      <c r="F530" s="3">
        <f>F$1/B530</f>
        <v>1448.435689455388</v>
      </c>
      <c r="G530" s="3">
        <f>F$1/C530</f>
        <v>1329.4336612603031</v>
      </c>
      <c r="H530" s="2">
        <f>D530*F529</f>
        <v>-159.07447577729491</v>
      </c>
      <c r="I530" s="2">
        <f>E530*G529</f>
        <v>-318.04929764112762</v>
      </c>
      <c r="J530" s="2">
        <f>I530-H530</f>
        <v>-158.97482186383272</v>
      </c>
      <c r="K530" s="2">
        <f t="shared" si="68"/>
        <v>158.97482186383272</v>
      </c>
      <c r="L530" s="14">
        <f>C530/B530</f>
        <v>1.0895133256083429</v>
      </c>
      <c r="M530" s="14">
        <f t="shared" si="71"/>
        <v>1.0897573774170124</v>
      </c>
      <c r="N530" s="14">
        <f t="shared" si="66"/>
        <v>1.0902079792262751</v>
      </c>
      <c r="O530" s="14">
        <f t="shared" si="67"/>
        <v>1.0902320140673274</v>
      </c>
      <c r="P530" s="14">
        <f t="shared" si="69"/>
        <v>1.0839928091290876</v>
      </c>
      <c r="Q530" s="4" t="str">
        <f t="shared" si="74"/>
        <v>OVER</v>
      </c>
      <c r="R530" s="4" t="str">
        <f t="shared" si="74"/>
        <v>OVER</v>
      </c>
      <c r="S530" s="4" t="str">
        <f t="shared" si="72"/>
        <v>UNDER</v>
      </c>
      <c r="T530" s="4" t="str">
        <f t="shared" si="72"/>
        <v>OVER</v>
      </c>
      <c r="U530" s="2">
        <f>IF(Q530="OVER",$J530,$K530)</f>
        <v>-158.97482186383272</v>
      </c>
      <c r="V530" s="2">
        <f>IF(R530="OVER",$J530,$K530)</f>
        <v>-158.97482186383272</v>
      </c>
      <c r="W530" s="2">
        <f>IF(S530="OVER",$J530,$K530)</f>
        <v>158.97482186383272</v>
      </c>
      <c r="X530" s="2">
        <f>IF(T530="OVER",$J530,$K530)</f>
        <v>-158.97482186383272</v>
      </c>
      <c r="Y530" s="9">
        <f t="shared" si="73"/>
        <v>-19958.38066980827</v>
      </c>
      <c r="Z530" s="9">
        <f t="shared" si="73"/>
        <v>-20213.682626396483</v>
      </c>
      <c r="AA530" s="9">
        <f t="shared" si="73"/>
        <v>29248.029514605718</v>
      </c>
      <c r="AB530" s="9">
        <f t="shared" si="70"/>
        <v>7002.0603499689332</v>
      </c>
    </row>
    <row r="531" spans="1:28" x14ac:dyDescent="0.3">
      <c r="A531" s="1">
        <v>45183</v>
      </c>
      <c r="B531" s="2">
        <v>69.41</v>
      </c>
      <c r="C531" s="2">
        <v>75.55</v>
      </c>
      <c r="D531" s="9">
        <f>B531-B530</f>
        <v>0.36999999999999034</v>
      </c>
      <c r="E531" s="9">
        <f>C531-C530</f>
        <v>0.32999999999999829</v>
      </c>
      <c r="F531" s="3">
        <f>F$1/B531</f>
        <v>1440.7145944388417</v>
      </c>
      <c r="G531" s="3">
        <f>F$1/C531</f>
        <v>1323.6267372600928</v>
      </c>
      <c r="H531" s="2">
        <f>D531*F530</f>
        <v>535.92120509847962</v>
      </c>
      <c r="I531" s="2">
        <f>E531*G530</f>
        <v>438.71310821589776</v>
      </c>
      <c r="J531" s="2">
        <f>I531-H531</f>
        <v>-97.208096882581856</v>
      </c>
      <c r="K531" s="2">
        <f t="shared" si="68"/>
        <v>97.208096882581856</v>
      </c>
      <c r="L531" s="14">
        <f>C531/B531</f>
        <v>1.0884598760985449</v>
      </c>
      <c r="M531" s="14">
        <f t="shared" si="71"/>
        <v>1.0897135186962621</v>
      </c>
      <c r="N531" s="14">
        <f t="shared" si="66"/>
        <v>1.0901913490254176</v>
      </c>
      <c r="O531" s="14">
        <f t="shared" si="67"/>
        <v>1.0901711462298211</v>
      </c>
      <c r="P531" s="14">
        <f t="shared" si="69"/>
        <v>1.0840597308660758</v>
      </c>
      <c r="Q531" s="4" t="str">
        <f t="shared" si="74"/>
        <v>UNDER</v>
      </c>
      <c r="R531" s="4" t="str">
        <f t="shared" si="74"/>
        <v>UNDER</v>
      </c>
      <c r="S531" s="4" t="str">
        <f t="shared" si="72"/>
        <v>UNDER</v>
      </c>
      <c r="T531" s="4" t="str">
        <f t="shared" si="72"/>
        <v>OVER</v>
      </c>
      <c r="U531" s="2">
        <f>IF(Q531="OVER",$J531,$K531)</f>
        <v>97.208096882581856</v>
      </c>
      <c r="V531" s="2">
        <f>IF(R531="OVER",$J531,$K531)</f>
        <v>97.208096882581856</v>
      </c>
      <c r="W531" s="2">
        <f>IF(S531="OVER",$J531,$K531)</f>
        <v>97.208096882581856</v>
      </c>
      <c r="X531" s="2">
        <f>IF(T531="OVER",$J531,$K531)</f>
        <v>-97.208096882581856</v>
      </c>
      <c r="Y531" s="9">
        <f t="shared" si="73"/>
        <v>-19861.172572925687</v>
      </c>
      <c r="Z531" s="9">
        <f t="shared" si="73"/>
        <v>-20116.4745295139</v>
      </c>
      <c r="AA531" s="9">
        <f t="shared" si="73"/>
        <v>29345.237611488301</v>
      </c>
      <c r="AB531" s="9">
        <f t="shared" si="70"/>
        <v>6904.8522530863511</v>
      </c>
    </row>
    <row r="532" spans="1:28" x14ac:dyDescent="0.3">
      <c r="A532" s="1">
        <v>45184</v>
      </c>
      <c r="B532" s="2">
        <v>69.010000000000005</v>
      </c>
      <c r="C532" s="2">
        <v>75.25</v>
      </c>
      <c r="D532" s="9">
        <f>B532-B531</f>
        <v>-0.39999999999999147</v>
      </c>
      <c r="E532" s="9">
        <f>C532-C531</f>
        <v>-0.29999999999999716</v>
      </c>
      <c r="F532" s="3">
        <f>F$1/B532</f>
        <v>1449.0653528474134</v>
      </c>
      <c r="G532" s="3">
        <f>F$1/C532</f>
        <v>1328.9036544850499</v>
      </c>
      <c r="H532" s="2">
        <f>D532*F531</f>
        <v>-576.28583777552444</v>
      </c>
      <c r="I532" s="2">
        <f>E532*G531</f>
        <v>-397.08802117802406</v>
      </c>
      <c r="J532" s="2">
        <f>I532-H532</f>
        <v>179.19781659750038</v>
      </c>
      <c r="K532" s="2">
        <f t="shared" si="68"/>
        <v>-179.19781659750038</v>
      </c>
      <c r="L532" s="14">
        <f>C532/B532</f>
        <v>1.0904216780176785</v>
      </c>
      <c r="M532" s="14">
        <f t="shared" si="71"/>
        <v>1.089999595927666</v>
      </c>
      <c r="N532" s="14">
        <f t="shared" si="66"/>
        <v>1.0902153483781969</v>
      </c>
      <c r="O532" s="14">
        <f t="shared" si="67"/>
        <v>1.0902350762695538</v>
      </c>
      <c r="P532" s="14">
        <f t="shared" si="69"/>
        <v>1.0841300321372109</v>
      </c>
      <c r="Q532" s="4" t="str">
        <f t="shared" si="74"/>
        <v>UNDER</v>
      </c>
      <c r="R532" s="4" t="str">
        <f t="shared" si="74"/>
        <v>UNDER</v>
      </c>
      <c r="S532" s="4" t="str">
        <f t="shared" si="72"/>
        <v>OVER</v>
      </c>
      <c r="T532" s="4" t="str">
        <f t="shared" si="72"/>
        <v>OVER</v>
      </c>
      <c r="U532" s="2">
        <f>IF(Q532="OVER",$J532,$K532)</f>
        <v>-179.19781659750038</v>
      </c>
      <c r="V532" s="2">
        <f>IF(R532="OVER",$J532,$K532)</f>
        <v>-179.19781659750038</v>
      </c>
      <c r="W532" s="2">
        <f>IF(S532="OVER",$J532,$K532)</f>
        <v>179.19781659750038</v>
      </c>
      <c r="X532" s="2">
        <f>IF(T532="OVER",$J532,$K532)</f>
        <v>179.19781659750038</v>
      </c>
      <c r="Y532" s="9">
        <f t="shared" si="73"/>
        <v>-20040.370389523188</v>
      </c>
      <c r="Z532" s="9">
        <f t="shared" si="73"/>
        <v>-20295.672346111402</v>
      </c>
      <c r="AA532" s="9">
        <f t="shared" si="73"/>
        <v>29524.435428085802</v>
      </c>
      <c r="AB532" s="9">
        <f t="shared" si="70"/>
        <v>7084.0500696838517</v>
      </c>
    </row>
    <row r="533" spans="1:28" x14ac:dyDescent="0.3">
      <c r="A533" s="1">
        <v>45187</v>
      </c>
      <c r="B533" s="2">
        <v>68.67</v>
      </c>
      <c r="C533" s="2">
        <v>75.05</v>
      </c>
      <c r="D533" s="9">
        <f>B533-B532</f>
        <v>-0.34000000000000341</v>
      </c>
      <c r="E533" s="9">
        <f>C533-C532</f>
        <v>-0.20000000000000284</v>
      </c>
      <c r="F533" s="3">
        <f>F$1/B533</f>
        <v>1456.23998835008</v>
      </c>
      <c r="G533" s="3">
        <f>F$1/C533</f>
        <v>1332.4450366422386</v>
      </c>
      <c r="H533" s="2">
        <f>D533*F532</f>
        <v>-492.68221996812548</v>
      </c>
      <c r="I533" s="2">
        <f>E533*G532</f>
        <v>-265.78073089701377</v>
      </c>
      <c r="J533" s="2">
        <f>I533-H533</f>
        <v>226.90148907111171</v>
      </c>
      <c r="K533" s="2">
        <f t="shared" si="68"/>
        <v>-226.90148907111171</v>
      </c>
      <c r="L533" s="14">
        <f>C533/B533</f>
        <v>1.0929081112567351</v>
      </c>
      <c r="M533" s="14">
        <f t="shared" si="71"/>
        <v>1.0902660168094371</v>
      </c>
      <c r="N533" s="14">
        <f t="shared" si="66"/>
        <v>1.0904286209770446</v>
      </c>
      <c r="O533" s="14">
        <f t="shared" si="67"/>
        <v>1.0902716664923937</v>
      </c>
      <c r="P533" s="14">
        <f t="shared" si="69"/>
        <v>1.0842166833990907</v>
      </c>
      <c r="Q533" s="4" t="str">
        <f t="shared" si="74"/>
        <v>OVER</v>
      </c>
      <c r="R533" s="4" t="str">
        <f t="shared" si="74"/>
        <v>OVER</v>
      </c>
      <c r="S533" s="4" t="str">
        <f t="shared" si="72"/>
        <v>OVER</v>
      </c>
      <c r="T533" s="4" t="str">
        <f t="shared" si="72"/>
        <v>OVER</v>
      </c>
      <c r="U533" s="2">
        <f>IF(Q533="OVER",$J533,$K533)</f>
        <v>226.90148907111171</v>
      </c>
      <c r="V533" s="2">
        <f>IF(R533="OVER",$J533,$K533)</f>
        <v>226.90148907111171</v>
      </c>
      <c r="W533" s="2">
        <f>IF(S533="OVER",$J533,$K533)</f>
        <v>226.90148907111171</v>
      </c>
      <c r="X533" s="2">
        <f>IF(T533="OVER",$J533,$K533)</f>
        <v>226.90148907111171</v>
      </c>
      <c r="Y533" s="9">
        <f t="shared" si="73"/>
        <v>-19813.468900452077</v>
      </c>
      <c r="Z533" s="9">
        <f t="shared" si="73"/>
        <v>-20068.77085704029</v>
      </c>
      <c r="AA533" s="9">
        <f t="shared" si="73"/>
        <v>29751.336917156914</v>
      </c>
      <c r="AB533" s="9">
        <f t="shared" si="70"/>
        <v>7310.9515587549631</v>
      </c>
    </row>
    <row r="534" spans="1:28" x14ac:dyDescent="0.3">
      <c r="A534" s="1">
        <v>45188</v>
      </c>
      <c r="B534" s="2">
        <v>68.84</v>
      </c>
      <c r="C534" s="2">
        <v>74.95</v>
      </c>
      <c r="D534" s="9">
        <f>B534-B533</f>
        <v>0.17000000000000171</v>
      </c>
      <c r="E534" s="9">
        <f>C534-C533</f>
        <v>-9.9999999999994316E-2</v>
      </c>
      <c r="F534" s="3">
        <f>F$1/B534</f>
        <v>1452.6438117373618</v>
      </c>
      <c r="G534" s="3">
        <f>F$1/C534</f>
        <v>1334.22281521014</v>
      </c>
      <c r="H534" s="2">
        <f>D534*F533</f>
        <v>247.56079801951608</v>
      </c>
      <c r="I534" s="2">
        <f>E534*G533</f>
        <v>-133.2445036642163</v>
      </c>
      <c r="J534" s="2">
        <f>I534-H534</f>
        <v>-380.80530168373241</v>
      </c>
      <c r="K534" s="2">
        <f t="shared" si="68"/>
        <v>380.80530168373241</v>
      </c>
      <c r="L534" s="14">
        <f>C534/B534</f>
        <v>1.0887565368971528</v>
      </c>
      <c r="M534" s="14">
        <f t="shared" si="71"/>
        <v>1.0903266000361096</v>
      </c>
      <c r="N534" s="14">
        <f t="shared" si="66"/>
        <v>1.0903739474578422</v>
      </c>
      <c r="O534" s="14">
        <f t="shared" si="67"/>
        <v>1.090229391086992</v>
      </c>
      <c r="P534" s="14">
        <f t="shared" si="69"/>
        <v>1.0842778130223523</v>
      </c>
      <c r="Q534" s="4" t="str">
        <f t="shared" si="74"/>
        <v>OVER</v>
      </c>
      <c r="R534" s="4" t="str">
        <f t="shared" si="74"/>
        <v>OVER</v>
      </c>
      <c r="S534" s="4" t="str">
        <f t="shared" si="72"/>
        <v>UNDER</v>
      </c>
      <c r="T534" s="4" t="str">
        <f t="shared" si="72"/>
        <v>OVER</v>
      </c>
      <c r="U534" s="2">
        <f>IF(Q534="OVER",$J534,$K534)</f>
        <v>-380.80530168373241</v>
      </c>
      <c r="V534" s="2">
        <f>IF(R534="OVER",$J534,$K534)</f>
        <v>-380.80530168373241</v>
      </c>
      <c r="W534" s="2">
        <f>IF(S534="OVER",$J534,$K534)</f>
        <v>380.80530168373241</v>
      </c>
      <c r="X534" s="2">
        <f>IF(T534="OVER",$J534,$K534)</f>
        <v>-380.80530168373241</v>
      </c>
      <c r="Y534" s="9">
        <f t="shared" si="73"/>
        <v>-20194.27420213581</v>
      </c>
      <c r="Z534" s="9">
        <f t="shared" si="73"/>
        <v>-20449.576158724023</v>
      </c>
      <c r="AA534" s="9">
        <f t="shared" si="73"/>
        <v>30132.142218840647</v>
      </c>
      <c r="AB534" s="9">
        <f t="shared" si="70"/>
        <v>6930.146257071231</v>
      </c>
    </row>
    <row r="535" spans="1:28" x14ac:dyDescent="0.3">
      <c r="A535" s="1">
        <v>45189</v>
      </c>
      <c r="B535" s="2">
        <v>68.55</v>
      </c>
      <c r="C535" s="2">
        <v>74.78</v>
      </c>
      <c r="D535" s="9">
        <f>B535-B534</f>
        <v>-0.29000000000000625</v>
      </c>
      <c r="E535" s="9">
        <f>C535-C534</f>
        <v>-0.17000000000000171</v>
      </c>
      <c r="F535" s="3">
        <f>F$1/B535</f>
        <v>1458.7892049598834</v>
      </c>
      <c r="G535" s="3">
        <f>F$1/C535</f>
        <v>1337.255950788981</v>
      </c>
      <c r="H535" s="2">
        <f>D535*F534</f>
        <v>-421.26670540384401</v>
      </c>
      <c r="I535" s="2">
        <f>E535*G534</f>
        <v>-226.81787858572608</v>
      </c>
      <c r="J535" s="2">
        <f>I535-H535</f>
        <v>194.44882681811794</v>
      </c>
      <c r="K535" s="2">
        <f t="shared" si="68"/>
        <v>-194.44882681811794</v>
      </c>
      <c r="L535" s="14">
        <f>C535/B535</f>
        <v>1.0908825674690008</v>
      </c>
      <c r="M535" s="14">
        <f t="shared" si="71"/>
        <v>1.0903776702739294</v>
      </c>
      <c r="N535" s="14">
        <f t="shared" ref="N535:N598" si="75">AVERAGE(L516:L535)</f>
        <v>1.0900103700006447</v>
      </c>
      <c r="O535" s="14">
        <f t="shared" si="67"/>
        <v>1.0902327203305129</v>
      </c>
      <c r="P535" s="14">
        <f t="shared" si="69"/>
        <v>1.0843561625855589</v>
      </c>
      <c r="Q535" s="4" t="str">
        <f t="shared" si="74"/>
        <v>UNDER</v>
      </c>
      <c r="R535" s="4" t="str">
        <f t="shared" si="74"/>
        <v>UNDER</v>
      </c>
      <c r="S535" s="4" t="str">
        <f t="shared" si="72"/>
        <v>OVER</v>
      </c>
      <c r="T535" s="4" t="str">
        <f t="shared" si="72"/>
        <v>OVER</v>
      </c>
      <c r="U535" s="2">
        <f>IF(Q535="OVER",$J535,$K535)</f>
        <v>-194.44882681811794</v>
      </c>
      <c r="V535" s="2">
        <f>IF(R535="OVER",$J535,$K535)</f>
        <v>-194.44882681811794</v>
      </c>
      <c r="W535" s="2">
        <f>IF(S535="OVER",$J535,$K535)</f>
        <v>194.44882681811794</v>
      </c>
      <c r="X535" s="2">
        <f>IF(T535="OVER",$J535,$K535)</f>
        <v>194.44882681811794</v>
      </c>
      <c r="Y535" s="9">
        <f t="shared" si="73"/>
        <v>-20388.723028953929</v>
      </c>
      <c r="Z535" s="9">
        <f t="shared" si="73"/>
        <v>-20644.024985542143</v>
      </c>
      <c r="AA535" s="9">
        <f t="shared" si="73"/>
        <v>30326.591045658766</v>
      </c>
      <c r="AB535" s="9">
        <f t="shared" si="70"/>
        <v>7124.5950838893486</v>
      </c>
    </row>
    <row r="536" spans="1:28" x14ac:dyDescent="0.3">
      <c r="A536" s="1">
        <v>45190</v>
      </c>
      <c r="B536" s="2">
        <v>68.010000000000005</v>
      </c>
      <c r="C536" s="2">
        <v>74.099999999999994</v>
      </c>
      <c r="D536" s="9">
        <f>B536-B535</f>
        <v>-0.53999999999999204</v>
      </c>
      <c r="E536" s="9">
        <f>C536-C535</f>
        <v>-0.68000000000000682</v>
      </c>
      <c r="F536" s="3">
        <f>F$1/B536</f>
        <v>1470.3720041170416</v>
      </c>
      <c r="G536" s="3">
        <f>F$1/C536</f>
        <v>1349.5276653171391</v>
      </c>
      <c r="H536" s="2">
        <f>D536*F535</f>
        <v>-787.74617067832537</v>
      </c>
      <c r="I536" s="2">
        <f>E536*G535</f>
        <v>-909.33404653651621</v>
      </c>
      <c r="J536" s="2">
        <f>I536-H536</f>
        <v>-121.58787585819084</v>
      </c>
      <c r="K536" s="2">
        <f t="shared" si="68"/>
        <v>121.58787585819084</v>
      </c>
      <c r="L536" s="14">
        <f>C536/B536</f>
        <v>1.0895456550507276</v>
      </c>
      <c r="M536" s="14">
        <f t="shared" si="71"/>
        <v>1.0902518592402619</v>
      </c>
      <c r="N536" s="14">
        <f t="shared" si="75"/>
        <v>1.0898135345937967</v>
      </c>
      <c r="O536" s="14">
        <f t="shared" si="67"/>
        <v>1.0902134103307086</v>
      </c>
      <c r="P536" s="14">
        <f t="shared" si="69"/>
        <v>1.0844255326518575</v>
      </c>
      <c r="Q536" s="4" t="str">
        <f t="shared" si="74"/>
        <v>OVER</v>
      </c>
      <c r="R536" s="4" t="str">
        <f t="shared" si="74"/>
        <v>OVER</v>
      </c>
      <c r="S536" s="4" t="str">
        <f t="shared" si="72"/>
        <v>UNDER</v>
      </c>
      <c r="T536" s="4" t="str">
        <f t="shared" si="72"/>
        <v>OVER</v>
      </c>
      <c r="U536" s="2">
        <f>IF(Q536="OVER",$J536,$K536)</f>
        <v>-121.58787585819084</v>
      </c>
      <c r="V536" s="2">
        <f>IF(R536="OVER",$J536,$K536)</f>
        <v>-121.58787585819084</v>
      </c>
      <c r="W536" s="2">
        <f>IF(S536="OVER",$J536,$K536)</f>
        <v>121.58787585819084</v>
      </c>
      <c r="X536" s="2">
        <f>IF(T536="OVER",$J536,$K536)</f>
        <v>-121.58787585819084</v>
      </c>
      <c r="Y536" s="9">
        <f t="shared" si="73"/>
        <v>-20510.310904812119</v>
      </c>
      <c r="Z536" s="9">
        <f t="shared" si="73"/>
        <v>-20765.612861400332</v>
      </c>
      <c r="AA536" s="9">
        <f t="shared" si="73"/>
        <v>30448.178921516956</v>
      </c>
      <c r="AB536" s="9">
        <f t="shared" si="70"/>
        <v>7003.0072080311575</v>
      </c>
    </row>
    <row r="537" spans="1:28" x14ac:dyDescent="0.3">
      <c r="A537" s="1">
        <v>45191</v>
      </c>
      <c r="B537" s="2">
        <v>67.8</v>
      </c>
      <c r="C537" s="2">
        <v>73.989999999999995</v>
      </c>
      <c r="D537" s="9">
        <f>B537-B536</f>
        <v>-0.21000000000000796</v>
      </c>
      <c r="E537" s="9">
        <f>C537-C536</f>
        <v>-0.10999999999999943</v>
      </c>
      <c r="F537" s="3">
        <f>F$1/B537</f>
        <v>1474.9262536873157</v>
      </c>
      <c r="G537" s="3">
        <f>F$1/C537</f>
        <v>1351.5339910798757</v>
      </c>
      <c r="H537" s="2">
        <f>D537*F536</f>
        <v>-308.77812086459045</v>
      </c>
      <c r="I537" s="2">
        <f>E537*G536</f>
        <v>-148.44804318488454</v>
      </c>
      <c r="J537" s="2">
        <f>I537-H537</f>
        <v>160.33007767970591</v>
      </c>
      <c r="K537" s="2">
        <f t="shared" si="68"/>
        <v>-160.33007767970591</v>
      </c>
      <c r="L537" s="14">
        <f>C537/B537</f>
        <v>1.0912979351032448</v>
      </c>
      <c r="M537" s="14">
        <f t="shared" si="71"/>
        <v>1.0903289296914904</v>
      </c>
      <c r="N537" s="14">
        <f t="shared" si="75"/>
        <v>1.0898662183900589</v>
      </c>
      <c r="O537" s="14">
        <f t="shared" si="67"/>
        <v>1.0902387800550704</v>
      </c>
      <c r="P537" s="14">
        <f t="shared" si="69"/>
        <v>1.0845081341922915</v>
      </c>
      <c r="Q537" s="4" t="str">
        <f t="shared" si="74"/>
        <v>UNDER</v>
      </c>
      <c r="R537" s="4" t="str">
        <f t="shared" si="74"/>
        <v>UNDER</v>
      </c>
      <c r="S537" s="4" t="str">
        <f t="shared" si="72"/>
        <v>OVER</v>
      </c>
      <c r="T537" s="4" t="str">
        <f t="shared" si="72"/>
        <v>OVER</v>
      </c>
      <c r="U537" s="2">
        <f>IF(Q537="OVER",$J537,$K537)</f>
        <v>-160.33007767970591</v>
      </c>
      <c r="V537" s="2">
        <f>IF(R537="OVER",$J537,$K537)</f>
        <v>-160.33007767970591</v>
      </c>
      <c r="W537" s="2">
        <f>IF(S537="OVER",$J537,$K537)</f>
        <v>160.33007767970591</v>
      </c>
      <c r="X537" s="2">
        <f>IF(T537="OVER",$J537,$K537)</f>
        <v>160.33007767970591</v>
      </c>
      <c r="Y537" s="9">
        <f t="shared" si="73"/>
        <v>-20670.640982491823</v>
      </c>
      <c r="Z537" s="9">
        <f t="shared" si="73"/>
        <v>-20925.942939080036</v>
      </c>
      <c r="AA537" s="9">
        <f t="shared" si="73"/>
        <v>30608.50899919666</v>
      </c>
      <c r="AB537" s="9">
        <f t="shared" si="70"/>
        <v>7163.3372857108634</v>
      </c>
    </row>
    <row r="538" spans="1:28" x14ac:dyDescent="0.3">
      <c r="A538" s="1">
        <v>45194</v>
      </c>
      <c r="B538" s="2">
        <v>67.84</v>
      </c>
      <c r="C538" s="2">
        <v>73.959999999999994</v>
      </c>
      <c r="D538" s="9">
        <f>B538-B537</f>
        <v>4.0000000000006253E-2</v>
      </c>
      <c r="E538" s="9">
        <f>C538-C537</f>
        <v>-3.0000000000001137E-2</v>
      </c>
      <c r="F538" s="3">
        <f>F$1/B538</f>
        <v>1474.0566037735848</v>
      </c>
      <c r="G538" s="3">
        <f>F$1/C538</f>
        <v>1352.0822065981613</v>
      </c>
      <c r="H538" s="2">
        <f>D538*F537</f>
        <v>58.997050147501852</v>
      </c>
      <c r="I538" s="2">
        <f>E538*G537</f>
        <v>-40.546019732397809</v>
      </c>
      <c r="J538" s="2">
        <f>I538-H538</f>
        <v>-99.543069879899662</v>
      </c>
      <c r="K538" s="2">
        <f t="shared" si="68"/>
        <v>99.543069879899662</v>
      </c>
      <c r="L538" s="14">
        <f>C538/B538</f>
        <v>1.0902122641509433</v>
      </c>
      <c r="M538" s="14">
        <f t="shared" si="71"/>
        <v>1.0903248853484622</v>
      </c>
      <c r="N538" s="14">
        <f t="shared" si="75"/>
        <v>1.0898486122597029</v>
      </c>
      <c r="O538" s="14">
        <f t="shared" si="67"/>
        <v>1.0902192057468278</v>
      </c>
      <c r="P538" s="14">
        <f t="shared" si="69"/>
        <v>1.0845729424716839</v>
      </c>
      <c r="Q538" s="4" t="str">
        <f t="shared" si="74"/>
        <v>OVER</v>
      </c>
      <c r="R538" s="4" t="str">
        <f t="shared" si="74"/>
        <v>OVER</v>
      </c>
      <c r="S538" s="4" t="str">
        <f t="shared" si="72"/>
        <v>UNDER</v>
      </c>
      <c r="T538" s="4" t="str">
        <f t="shared" si="72"/>
        <v>OVER</v>
      </c>
      <c r="U538" s="2">
        <f>IF(Q538="OVER",$J538,$K538)</f>
        <v>-99.543069879899662</v>
      </c>
      <c r="V538" s="2">
        <f>IF(R538="OVER",$J538,$K538)</f>
        <v>-99.543069879899662</v>
      </c>
      <c r="W538" s="2">
        <f>IF(S538="OVER",$J538,$K538)</f>
        <v>99.543069879899662</v>
      </c>
      <c r="X538" s="2">
        <f>IF(T538="OVER",$J538,$K538)</f>
        <v>-99.543069879899662</v>
      </c>
      <c r="Y538" s="9">
        <f t="shared" si="73"/>
        <v>-20770.184052371722</v>
      </c>
      <c r="Z538" s="9">
        <f t="shared" si="73"/>
        <v>-21025.486008959935</v>
      </c>
      <c r="AA538" s="9">
        <f t="shared" si="73"/>
        <v>30708.052069076559</v>
      </c>
      <c r="AB538" s="9">
        <f t="shared" si="70"/>
        <v>7063.7942158309634</v>
      </c>
    </row>
    <row r="539" spans="1:28" x14ac:dyDescent="0.3">
      <c r="A539" s="1">
        <v>45195</v>
      </c>
      <c r="B539" s="2">
        <v>67.56</v>
      </c>
      <c r="C539" s="2">
        <v>73.709999999999994</v>
      </c>
      <c r="D539" s="9">
        <f>B539-B538</f>
        <v>-0.28000000000000114</v>
      </c>
      <c r="E539" s="9">
        <f>C539-C538</f>
        <v>-0.25</v>
      </c>
      <c r="F539" s="3">
        <f>F$1/B539</f>
        <v>1480.1657785671994</v>
      </c>
      <c r="G539" s="3">
        <f>F$1/C539</f>
        <v>1356.6680233346901</v>
      </c>
      <c r="H539" s="2">
        <f>D539*F538</f>
        <v>-412.73584905660545</v>
      </c>
      <c r="I539" s="2">
        <f>E539*G538</f>
        <v>-338.02055164954032</v>
      </c>
      <c r="J539" s="2">
        <f>I539-H539</f>
        <v>74.715297407065123</v>
      </c>
      <c r="K539" s="2">
        <f t="shared" si="68"/>
        <v>-74.715297407065123</v>
      </c>
      <c r="L539" s="14">
        <f>C539/B539</f>
        <v>1.0910301953818826</v>
      </c>
      <c r="M539" s="14">
        <f t="shared" si="71"/>
        <v>1.0903028145034255</v>
      </c>
      <c r="N539" s="14">
        <f t="shared" si="75"/>
        <v>1.0899260932204164</v>
      </c>
      <c r="O539" s="14">
        <f t="shared" si="67"/>
        <v>1.0902579914726473</v>
      </c>
      <c r="P539" s="14">
        <f t="shared" si="69"/>
        <v>1.0846340572398605</v>
      </c>
      <c r="Q539" s="4" t="str">
        <f t="shared" si="74"/>
        <v>UNDER</v>
      </c>
      <c r="R539" s="4" t="str">
        <f t="shared" si="74"/>
        <v>OVER</v>
      </c>
      <c r="S539" s="4" t="str">
        <f t="shared" si="72"/>
        <v>OVER</v>
      </c>
      <c r="T539" s="4" t="str">
        <f t="shared" si="72"/>
        <v>OVER</v>
      </c>
      <c r="U539" s="2">
        <f>IF(Q539="OVER",$J539,$K539)</f>
        <v>-74.715297407065123</v>
      </c>
      <c r="V539" s="2">
        <f>IF(R539="OVER",$J539,$K539)</f>
        <v>74.715297407065123</v>
      </c>
      <c r="W539" s="2">
        <f>IF(S539="OVER",$J539,$K539)</f>
        <v>74.715297407065123</v>
      </c>
      <c r="X539" s="2">
        <f>IF(T539="OVER",$J539,$K539)</f>
        <v>74.715297407065123</v>
      </c>
      <c r="Y539" s="9">
        <f t="shared" si="73"/>
        <v>-20844.899349778789</v>
      </c>
      <c r="Z539" s="9">
        <f t="shared" si="73"/>
        <v>-20950.770711552868</v>
      </c>
      <c r="AA539" s="9">
        <f t="shared" si="73"/>
        <v>30782.767366483626</v>
      </c>
      <c r="AB539" s="9">
        <f t="shared" si="70"/>
        <v>7138.5095132380284</v>
      </c>
    </row>
    <row r="540" spans="1:28" x14ac:dyDescent="0.3">
      <c r="A540" s="1">
        <v>45196</v>
      </c>
      <c r="B540" s="2">
        <v>67.73</v>
      </c>
      <c r="C540" s="2">
        <v>73.89</v>
      </c>
      <c r="D540" s="9">
        <f>B540-B539</f>
        <v>0.17000000000000171</v>
      </c>
      <c r="E540" s="9">
        <f>C540-C539</f>
        <v>0.18000000000000682</v>
      </c>
      <c r="F540" s="3">
        <f>F$1/B540</f>
        <v>1476.4506127270042</v>
      </c>
      <c r="G540" s="3">
        <f>F$1/C540</f>
        <v>1353.3631073216943</v>
      </c>
      <c r="H540" s="2">
        <f>D540*F539</f>
        <v>251.62818235642641</v>
      </c>
      <c r="I540" s="2">
        <f>E540*G539</f>
        <v>244.20024420025348</v>
      </c>
      <c r="J540" s="2">
        <f>I540-H540</f>
        <v>-7.4279381561729281</v>
      </c>
      <c r="K540" s="2">
        <f t="shared" si="68"/>
        <v>7.4279381561729281</v>
      </c>
      <c r="L540" s="14">
        <f>C540/B540</f>
        <v>1.0909493577439835</v>
      </c>
      <c r="M540" s="14">
        <f t="shared" si="71"/>
        <v>1.0904464177169895</v>
      </c>
      <c r="N540" s="14">
        <f t="shared" si="75"/>
        <v>1.0901018975670009</v>
      </c>
      <c r="O540" s="14">
        <f t="shared" si="67"/>
        <v>1.0902755542454574</v>
      </c>
      <c r="P540" s="14">
        <f t="shared" si="69"/>
        <v>1.0847089614135685</v>
      </c>
      <c r="Q540" s="4" t="str">
        <f t="shared" si="74"/>
        <v>OVER</v>
      </c>
      <c r="R540" s="4" t="str">
        <f t="shared" si="74"/>
        <v>OVER</v>
      </c>
      <c r="S540" s="4" t="str">
        <f t="shared" si="72"/>
        <v>OVER</v>
      </c>
      <c r="T540" s="4" t="str">
        <f t="shared" si="72"/>
        <v>OVER</v>
      </c>
      <c r="U540" s="2">
        <f>IF(Q540="OVER",$J540,$K540)</f>
        <v>-7.4279381561729281</v>
      </c>
      <c r="V540" s="2">
        <f>IF(R540="OVER",$J540,$K540)</f>
        <v>-7.4279381561729281</v>
      </c>
      <c r="W540" s="2">
        <f>IF(S540="OVER",$J540,$K540)</f>
        <v>-7.4279381561729281</v>
      </c>
      <c r="X540" s="2">
        <f>IF(T540="OVER",$J540,$K540)</f>
        <v>-7.4279381561729281</v>
      </c>
      <c r="Y540" s="9">
        <f t="shared" si="73"/>
        <v>-20852.327287934961</v>
      </c>
      <c r="Z540" s="9">
        <f t="shared" si="73"/>
        <v>-20958.19864970904</v>
      </c>
      <c r="AA540" s="9">
        <f t="shared" si="73"/>
        <v>30775.339428327454</v>
      </c>
      <c r="AB540" s="9">
        <f t="shared" si="70"/>
        <v>7131.0815750818556</v>
      </c>
    </row>
    <row r="541" spans="1:28" x14ac:dyDescent="0.3">
      <c r="A541" s="1">
        <v>45197</v>
      </c>
      <c r="B541" s="2">
        <v>67.89</v>
      </c>
      <c r="C541" s="2">
        <v>74.25</v>
      </c>
      <c r="D541" s="9">
        <f>B541-B540</f>
        <v>0.15999999999999659</v>
      </c>
      <c r="E541" s="9">
        <f>C541-C540</f>
        <v>0.35999999999999943</v>
      </c>
      <c r="F541" s="3">
        <f>F$1/B541</f>
        <v>1472.9709824716454</v>
      </c>
      <c r="G541" s="3">
        <f>F$1/C541</f>
        <v>1346.8013468013469</v>
      </c>
      <c r="H541" s="2">
        <f>D541*F540</f>
        <v>236.23209803631565</v>
      </c>
      <c r="I541" s="2">
        <f>E541*G540</f>
        <v>487.2107186358092</v>
      </c>
      <c r="J541" s="2">
        <f>I541-H541</f>
        <v>250.97862059949355</v>
      </c>
      <c r="K541" s="2">
        <f t="shared" si="68"/>
        <v>-250.97862059949355</v>
      </c>
      <c r="L541" s="14">
        <f>C541/B541</f>
        <v>1.0936809544851966</v>
      </c>
      <c r="M541" s="14">
        <f t="shared" si="71"/>
        <v>1.0909685255556547</v>
      </c>
      <c r="N541" s="14">
        <f t="shared" si="75"/>
        <v>1.0903410221259584</v>
      </c>
      <c r="O541" s="14">
        <f t="shared" si="67"/>
        <v>1.090329469176635</v>
      </c>
      <c r="P541" s="14">
        <f t="shared" si="69"/>
        <v>1.084794212772584</v>
      </c>
      <c r="Q541" s="4" t="str">
        <f t="shared" si="74"/>
        <v>OVER</v>
      </c>
      <c r="R541" s="4" t="str">
        <f t="shared" si="74"/>
        <v>OVER</v>
      </c>
      <c r="S541" s="4" t="str">
        <f t="shared" si="72"/>
        <v>OVER</v>
      </c>
      <c r="T541" s="4" t="str">
        <f t="shared" si="72"/>
        <v>OVER</v>
      </c>
      <c r="U541" s="2">
        <f>IF(Q541="OVER",$J541,$K541)</f>
        <v>250.97862059949355</v>
      </c>
      <c r="V541" s="2">
        <f>IF(R541="OVER",$J541,$K541)</f>
        <v>250.97862059949355</v>
      </c>
      <c r="W541" s="2">
        <f>IF(S541="OVER",$J541,$K541)</f>
        <v>250.97862059949355</v>
      </c>
      <c r="X541" s="2">
        <f>IF(T541="OVER",$J541,$K541)</f>
        <v>250.97862059949355</v>
      </c>
      <c r="Y541" s="9">
        <f t="shared" si="73"/>
        <v>-20601.348667335467</v>
      </c>
      <c r="Z541" s="9">
        <f t="shared" si="73"/>
        <v>-20707.220029109547</v>
      </c>
      <c r="AA541" s="9">
        <f t="shared" si="73"/>
        <v>31026.318048926947</v>
      </c>
      <c r="AB541" s="9">
        <f t="shared" si="70"/>
        <v>7382.0601956813489</v>
      </c>
    </row>
    <row r="542" spans="1:28" x14ac:dyDescent="0.3">
      <c r="A542" s="1">
        <v>45198</v>
      </c>
      <c r="B542" s="2">
        <v>67.8</v>
      </c>
      <c r="C542" s="2">
        <v>74.209999999999994</v>
      </c>
      <c r="D542" s="9">
        <f>B542-B541</f>
        <v>-9.0000000000003411E-2</v>
      </c>
      <c r="E542" s="9">
        <f>C542-C541</f>
        <v>-4.0000000000006253E-2</v>
      </c>
      <c r="F542" s="3">
        <f>F$1/B542</f>
        <v>1474.9262536873157</v>
      </c>
      <c r="G542" s="3">
        <f>F$1/C542</f>
        <v>1347.5272874275706</v>
      </c>
      <c r="H542" s="2">
        <f>D542*F541</f>
        <v>-132.56738842245309</v>
      </c>
      <c r="I542" s="2">
        <f>E542*G541</f>
        <v>-53.872053872062295</v>
      </c>
      <c r="J542" s="2">
        <f>I542-H542</f>
        <v>78.695334550390797</v>
      </c>
      <c r="K542" s="2">
        <f t="shared" si="68"/>
        <v>-78.695334550390797</v>
      </c>
      <c r="L542" s="14">
        <f>C542/B542</f>
        <v>1.0945427728613568</v>
      </c>
      <c r="M542" s="14">
        <f t="shared" si="71"/>
        <v>1.0913806350400221</v>
      </c>
      <c r="N542" s="14">
        <f t="shared" si="75"/>
        <v>1.0906901154838442</v>
      </c>
      <c r="O542" s="14">
        <f t="shared" si="67"/>
        <v>1.0904422967818435</v>
      </c>
      <c r="P542" s="14">
        <f t="shared" si="69"/>
        <v>1.084884693671186</v>
      </c>
      <c r="Q542" s="4" t="str">
        <f t="shared" si="74"/>
        <v>OVER</v>
      </c>
      <c r="R542" s="4" t="str">
        <f t="shared" si="74"/>
        <v>OVER</v>
      </c>
      <c r="S542" s="4" t="str">
        <f t="shared" si="72"/>
        <v>OVER</v>
      </c>
      <c r="T542" s="4" t="str">
        <f t="shared" si="72"/>
        <v>OVER</v>
      </c>
      <c r="U542" s="2">
        <f>IF(Q542="OVER",$J542,$K542)</f>
        <v>78.695334550390797</v>
      </c>
      <c r="V542" s="2">
        <f>IF(R542="OVER",$J542,$K542)</f>
        <v>78.695334550390797</v>
      </c>
      <c r="W542" s="2">
        <f>IF(S542="OVER",$J542,$K542)</f>
        <v>78.695334550390797</v>
      </c>
      <c r="X542" s="2">
        <f>IF(T542="OVER",$J542,$K542)</f>
        <v>78.695334550390797</v>
      </c>
      <c r="Y542" s="9">
        <f t="shared" si="73"/>
        <v>-20522.653332785078</v>
      </c>
      <c r="Z542" s="9">
        <f t="shared" si="73"/>
        <v>-20628.524694559157</v>
      </c>
      <c r="AA542" s="9">
        <f t="shared" si="73"/>
        <v>31105.013383477337</v>
      </c>
      <c r="AB542" s="9">
        <f t="shared" si="70"/>
        <v>7460.7555302317396</v>
      </c>
    </row>
    <row r="543" spans="1:28" x14ac:dyDescent="0.3">
      <c r="A543" s="1">
        <v>45201</v>
      </c>
      <c r="B543" s="2">
        <v>67.41</v>
      </c>
      <c r="C543" s="2">
        <v>73.900000000000006</v>
      </c>
      <c r="D543" s="9">
        <f>B543-B542</f>
        <v>-0.39000000000000057</v>
      </c>
      <c r="E543" s="9">
        <f>C543-C542</f>
        <v>-0.30999999999998806</v>
      </c>
      <c r="F543" s="3">
        <f>F$1/B543</f>
        <v>1483.459427384661</v>
      </c>
      <c r="G543" s="3">
        <f>F$1/C543</f>
        <v>1353.1799729364004</v>
      </c>
      <c r="H543" s="2">
        <f>D543*F542</f>
        <v>-575.22123893805394</v>
      </c>
      <c r="I543" s="2">
        <f>E543*G542</f>
        <v>-417.73345910253079</v>
      </c>
      <c r="J543" s="2">
        <f>I543-H543</f>
        <v>157.48777983552316</v>
      </c>
      <c r="K543" s="2">
        <f t="shared" si="68"/>
        <v>-157.48777983552316</v>
      </c>
      <c r="L543" s="14">
        <f>C543/B543</f>
        <v>1.0962765168372646</v>
      </c>
      <c r="M543" s="14">
        <f t="shared" si="71"/>
        <v>1.0917174755980752</v>
      </c>
      <c r="N543" s="14">
        <f t="shared" si="75"/>
        <v>1.0909917462037562</v>
      </c>
      <c r="O543" s="14">
        <f t="shared" si="67"/>
        <v>1.0905956041162015</v>
      </c>
      <c r="P543" s="14">
        <f t="shared" si="69"/>
        <v>1.0849643642866085</v>
      </c>
      <c r="Q543" s="4" t="str">
        <f t="shared" si="74"/>
        <v>OVER</v>
      </c>
      <c r="R543" s="4" t="str">
        <f t="shared" si="74"/>
        <v>OVER</v>
      </c>
      <c r="S543" s="4" t="str">
        <f t="shared" si="72"/>
        <v>OVER</v>
      </c>
      <c r="T543" s="4" t="str">
        <f t="shared" si="72"/>
        <v>OVER</v>
      </c>
      <c r="U543" s="2">
        <f>IF(Q543="OVER",$J543,$K543)</f>
        <v>157.48777983552316</v>
      </c>
      <c r="V543" s="2">
        <f>IF(R543="OVER",$J543,$K543)</f>
        <v>157.48777983552316</v>
      </c>
      <c r="W543" s="2">
        <f>IF(S543="OVER",$J543,$K543)</f>
        <v>157.48777983552316</v>
      </c>
      <c r="X543" s="2">
        <f>IF(T543="OVER",$J543,$K543)</f>
        <v>157.48777983552316</v>
      </c>
      <c r="Y543" s="9">
        <f t="shared" si="73"/>
        <v>-20365.165552949555</v>
      </c>
      <c r="Z543" s="9">
        <f t="shared" si="73"/>
        <v>-20471.036914723634</v>
      </c>
      <c r="AA543" s="9">
        <f t="shared" si="73"/>
        <v>31262.50116331286</v>
      </c>
      <c r="AB543" s="9">
        <f t="shared" si="70"/>
        <v>7618.2433100672624</v>
      </c>
    </row>
    <row r="544" spans="1:28" x14ac:dyDescent="0.3">
      <c r="A544" s="1">
        <v>45202</v>
      </c>
      <c r="B544" s="2">
        <v>66.62</v>
      </c>
      <c r="C544" s="2">
        <v>73.03</v>
      </c>
      <c r="D544" s="9">
        <f>B544-B543</f>
        <v>-0.78999999999999204</v>
      </c>
      <c r="E544" s="9">
        <f>C544-C543</f>
        <v>-0.87000000000000455</v>
      </c>
      <c r="F544" s="3">
        <f>F$1/B544</f>
        <v>1501.0507355148602</v>
      </c>
      <c r="G544" s="3">
        <f>F$1/C544</f>
        <v>1369.3002875530603</v>
      </c>
      <c r="H544" s="2">
        <f>D544*F543</f>
        <v>-1171.9329476338703</v>
      </c>
      <c r="I544" s="2">
        <f>E544*G543</f>
        <v>-1177.2665764546746</v>
      </c>
      <c r="J544" s="2">
        <f>I544-H544</f>
        <v>-5.3336288208042788</v>
      </c>
      <c r="K544" s="2">
        <f t="shared" si="68"/>
        <v>5.3336288208042788</v>
      </c>
      <c r="L544" s="14">
        <f>C544/B544</f>
        <v>1.0962173521465024</v>
      </c>
      <c r="M544" s="14">
        <f t="shared" si="71"/>
        <v>1.0924635571230101</v>
      </c>
      <c r="N544" s="14">
        <f t="shared" si="75"/>
        <v>1.0913950785795601</v>
      </c>
      <c r="O544" s="14">
        <f t="shared" si="67"/>
        <v>1.0907533453453413</v>
      </c>
      <c r="P544" s="14">
        <f t="shared" si="69"/>
        <v>1.0850546499049991</v>
      </c>
      <c r="Q544" s="4" t="str">
        <f t="shared" si="74"/>
        <v>OVER</v>
      </c>
      <c r="R544" s="4" t="str">
        <f t="shared" si="74"/>
        <v>OVER</v>
      </c>
      <c r="S544" s="4" t="str">
        <f t="shared" si="72"/>
        <v>OVER</v>
      </c>
      <c r="T544" s="4" t="str">
        <f t="shared" si="72"/>
        <v>OVER</v>
      </c>
      <c r="U544" s="2">
        <f>IF(Q544="OVER",$J544,$K544)</f>
        <v>-5.3336288208042788</v>
      </c>
      <c r="V544" s="2">
        <f>IF(R544="OVER",$J544,$K544)</f>
        <v>-5.3336288208042788</v>
      </c>
      <c r="W544" s="2">
        <f>IF(S544="OVER",$J544,$K544)</f>
        <v>-5.3336288208042788</v>
      </c>
      <c r="X544" s="2">
        <f>IF(T544="OVER",$J544,$K544)</f>
        <v>-5.3336288208042788</v>
      </c>
      <c r="Y544" s="9">
        <f t="shared" si="73"/>
        <v>-20370.499181770359</v>
      </c>
      <c r="Z544" s="9">
        <f t="shared" si="73"/>
        <v>-20476.370543544439</v>
      </c>
      <c r="AA544" s="9">
        <f t="shared" si="73"/>
        <v>31257.167534492055</v>
      </c>
      <c r="AB544" s="9">
        <f t="shared" si="70"/>
        <v>7612.9096812464577</v>
      </c>
    </row>
    <row r="545" spans="1:28" x14ac:dyDescent="0.3">
      <c r="A545" s="1">
        <v>45203</v>
      </c>
      <c r="B545" s="2">
        <v>66.64</v>
      </c>
      <c r="C545" s="2">
        <v>73.05</v>
      </c>
      <c r="D545" s="9">
        <f>B545-B544</f>
        <v>1.9999999999996021E-2</v>
      </c>
      <c r="E545" s="9">
        <f>C545-C544</f>
        <v>1.9999999999996021E-2</v>
      </c>
      <c r="F545" s="3">
        <f>F$1/B545</f>
        <v>1500.6002400960383</v>
      </c>
      <c r="G545" s="3">
        <f>F$1/C545</f>
        <v>1368.9253935660506</v>
      </c>
      <c r="H545" s="2">
        <f>D545*F544</f>
        <v>30.021014710291233</v>
      </c>
      <c r="I545" s="2">
        <f>E545*G544</f>
        <v>27.386005751055759</v>
      </c>
      <c r="J545" s="2">
        <f>I545-H545</f>
        <v>-2.6350089592354742</v>
      </c>
      <c r="K545" s="2">
        <f t="shared" si="68"/>
        <v>2.6350089592354742</v>
      </c>
      <c r="L545" s="14">
        <f>C545/B545</f>
        <v>1.0961884753901561</v>
      </c>
      <c r="M545" s="14">
        <f t="shared" si="71"/>
        <v>1.0929941479151259</v>
      </c>
      <c r="N545" s="14">
        <f t="shared" si="75"/>
        <v>1.0916859090945277</v>
      </c>
      <c r="O545" s="14">
        <f t="shared" si="67"/>
        <v>1.0909025816508422</v>
      </c>
      <c r="P545" s="14">
        <f t="shared" si="69"/>
        <v>1.0851490376601012</v>
      </c>
      <c r="Q545" s="4" t="str">
        <f t="shared" si="74"/>
        <v>OVER</v>
      </c>
      <c r="R545" s="4" t="str">
        <f t="shared" si="74"/>
        <v>OVER</v>
      </c>
      <c r="S545" s="4" t="str">
        <f t="shared" si="72"/>
        <v>OVER</v>
      </c>
      <c r="T545" s="4" t="str">
        <f t="shared" si="72"/>
        <v>OVER</v>
      </c>
      <c r="U545" s="2">
        <f>IF(Q545="OVER",$J545,$K545)</f>
        <v>-2.6350089592354742</v>
      </c>
      <c r="V545" s="2">
        <f>IF(R545="OVER",$J545,$K545)</f>
        <v>-2.6350089592354742</v>
      </c>
      <c r="W545" s="2">
        <f>IF(S545="OVER",$J545,$K545)</f>
        <v>-2.6350089592354742</v>
      </c>
      <c r="X545" s="2">
        <f>IF(T545="OVER",$J545,$K545)</f>
        <v>-2.6350089592354742</v>
      </c>
      <c r="Y545" s="9">
        <f t="shared" si="73"/>
        <v>-20373.134190729594</v>
      </c>
      <c r="Z545" s="9">
        <f t="shared" si="73"/>
        <v>-20479.005552503673</v>
      </c>
      <c r="AA545" s="9">
        <f t="shared" si="73"/>
        <v>31254.532525532821</v>
      </c>
      <c r="AB545" s="9">
        <f t="shared" si="70"/>
        <v>7610.2746722872225</v>
      </c>
    </row>
    <row r="546" spans="1:28" x14ac:dyDescent="0.3">
      <c r="A546" s="1">
        <v>45204</v>
      </c>
      <c r="B546" s="2">
        <v>66.45</v>
      </c>
      <c r="C546" s="2">
        <v>72.56</v>
      </c>
      <c r="D546" s="9">
        <f>B546-B545</f>
        <v>-0.18999999999999773</v>
      </c>
      <c r="E546" s="9">
        <f>C546-C545</f>
        <v>-0.48999999999999488</v>
      </c>
      <c r="F546" s="3">
        <f>F$1/B546</f>
        <v>1504.8908954100827</v>
      </c>
      <c r="G546" s="3">
        <f>F$1/C546</f>
        <v>1378.1697905181918</v>
      </c>
      <c r="H546" s="2">
        <f>D546*F545</f>
        <v>-285.11404561824389</v>
      </c>
      <c r="I546" s="2">
        <f>E546*G545</f>
        <v>-670.77344284735784</v>
      </c>
      <c r="J546" s="2">
        <f>I546-H546</f>
        <v>-385.65939722911395</v>
      </c>
      <c r="K546" s="2">
        <f t="shared" si="68"/>
        <v>385.65939722911395</v>
      </c>
      <c r="L546" s="14">
        <f>C546/B546</f>
        <v>1.091948833709556</v>
      </c>
      <c r="M546" s="14">
        <f t="shared" si="71"/>
        <v>1.0932344657810087</v>
      </c>
      <c r="N546" s="14">
        <f t="shared" si="75"/>
        <v>1.0917431625106355</v>
      </c>
      <c r="O546" s="14">
        <f t="shared" si="67"/>
        <v>1.0909511836933512</v>
      </c>
      <c r="P546" s="14">
        <f t="shared" si="69"/>
        <v>1.085224343170355</v>
      </c>
      <c r="Q546" s="4" t="str">
        <f t="shared" si="74"/>
        <v>OVER</v>
      </c>
      <c r="R546" s="4" t="str">
        <f t="shared" si="74"/>
        <v>OVER</v>
      </c>
      <c r="S546" s="4" t="str">
        <f t="shared" si="72"/>
        <v>OVER</v>
      </c>
      <c r="T546" s="4" t="str">
        <f t="shared" si="72"/>
        <v>OVER</v>
      </c>
      <c r="U546" s="2">
        <f>IF(Q546="OVER",$J546,$K546)</f>
        <v>-385.65939722911395</v>
      </c>
      <c r="V546" s="2">
        <f>IF(R546="OVER",$J546,$K546)</f>
        <v>-385.65939722911395</v>
      </c>
      <c r="W546" s="2">
        <f>IF(S546="OVER",$J546,$K546)</f>
        <v>-385.65939722911395</v>
      </c>
      <c r="X546" s="2">
        <f>IF(T546="OVER",$J546,$K546)</f>
        <v>-385.65939722911395</v>
      </c>
      <c r="Y546" s="9">
        <f t="shared" si="73"/>
        <v>-20758.793587958709</v>
      </c>
      <c r="Z546" s="9">
        <f t="shared" si="73"/>
        <v>-20864.664949732789</v>
      </c>
      <c r="AA546" s="9">
        <f t="shared" si="73"/>
        <v>30868.873128303705</v>
      </c>
      <c r="AB546" s="9">
        <f t="shared" si="70"/>
        <v>7224.6152750581086</v>
      </c>
    </row>
    <row r="547" spans="1:28" x14ac:dyDescent="0.3">
      <c r="A547" s="1">
        <v>45205</v>
      </c>
      <c r="B547" s="2">
        <v>66.97</v>
      </c>
      <c r="C547" s="2">
        <v>73.12</v>
      </c>
      <c r="D547" s="9">
        <f>B547-B546</f>
        <v>0.51999999999999602</v>
      </c>
      <c r="E547" s="9">
        <f>C547-C546</f>
        <v>0.56000000000000227</v>
      </c>
      <c r="F547" s="3">
        <f>F$1/B547</f>
        <v>1493.2059130954158</v>
      </c>
      <c r="G547" s="3">
        <f>F$1/C547</f>
        <v>1367.6148796498906</v>
      </c>
      <c r="H547" s="2">
        <f>D547*F546</f>
        <v>782.54326561323705</v>
      </c>
      <c r="I547" s="2">
        <f>E547*G546</f>
        <v>771.77508269019052</v>
      </c>
      <c r="J547" s="2">
        <f>I547-H547</f>
        <v>-10.768182923046538</v>
      </c>
      <c r="K547" s="2">
        <f t="shared" si="68"/>
        <v>10.768182923046538</v>
      </c>
      <c r="L547" s="14">
        <f>C547/B547</f>
        <v>1.0918321636553681</v>
      </c>
      <c r="M547" s="14">
        <f t="shared" si="71"/>
        <v>1.0932878886362212</v>
      </c>
      <c r="N547" s="14">
        <f t="shared" si="75"/>
        <v>1.0918084091638558</v>
      </c>
      <c r="O547" s="14">
        <f t="shared" si="67"/>
        <v>1.0910087981135379</v>
      </c>
      <c r="P547" s="14">
        <f t="shared" si="69"/>
        <v>1.0852706457392127</v>
      </c>
      <c r="Q547" s="4" t="str">
        <f t="shared" si="74"/>
        <v>UNDER</v>
      </c>
      <c r="R547" s="4" t="str">
        <f t="shared" si="74"/>
        <v>OVER</v>
      </c>
      <c r="S547" s="4" t="str">
        <f t="shared" si="72"/>
        <v>OVER</v>
      </c>
      <c r="T547" s="4" t="str">
        <f t="shared" si="72"/>
        <v>OVER</v>
      </c>
      <c r="U547" s="2">
        <f>IF(Q547="OVER",$J547,$K547)</f>
        <v>10.768182923046538</v>
      </c>
      <c r="V547" s="2">
        <f>IF(R547="OVER",$J547,$K547)</f>
        <v>-10.768182923046538</v>
      </c>
      <c r="W547" s="2">
        <f>IF(S547="OVER",$J547,$K547)</f>
        <v>-10.768182923046538</v>
      </c>
      <c r="X547" s="2">
        <f>IF(T547="OVER",$J547,$K547)</f>
        <v>-10.768182923046538</v>
      </c>
      <c r="Y547" s="9">
        <f t="shared" si="73"/>
        <v>-20748.025405035663</v>
      </c>
      <c r="Z547" s="9">
        <f t="shared" si="73"/>
        <v>-20875.433132655835</v>
      </c>
      <c r="AA547" s="9">
        <f t="shared" si="73"/>
        <v>30858.104945380659</v>
      </c>
      <c r="AB547" s="9">
        <f t="shared" si="70"/>
        <v>7213.8470921350618</v>
      </c>
    </row>
    <row r="548" spans="1:28" x14ac:dyDescent="0.3">
      <c r="A548" s="1">
        <v>45208</v>
      </c>
      <c r="B548" s="2">
        <v>66.84</v>
      </c>
      <c r="C548" s="2">
        <v>73.150000000000006</v>
      </c>
      <c r="D548" s="9">
        <f>B548-B547</f>
        <v>-0.12999999999999545</v>
      </c>
      <c r="E548" s="9">
        <f>C548-C547</f>
        <v>3.0000000000001137E-2</v>
      </c>
      <c r="F548" s="3">
        <f>F$1/B548</f>
        <v>1496.1101137043686</v>
      </c>
      <c r="G548" s="3">
        <f>F$1/C548</f>
        <v>1367.0539986329459</v>
      </c>
      <c r="H548" s="2">
        <f>D548*F547</f>
        <v>-194.11676870239725</v>
      </c>
      <c r="I548" s="2">
        <f>E548*G547</f>
        <v>41.028446389498271</v>
      </c>
      <c r="J548" s="2">
        <f>I548-H548</f>
        <v>235.14521509189552</v>
      </c>
      <c r="K548" s="2">
        <f t="shared" si="68"/>
        <v>-235.14521509189552</v>
      </c>
      <c r="L548" s="14">
        <f>C548/B548</f>
        <v>1.0944045481747458</v>
      </c>
      <c r="M548" s="14">
        <f t="shared" si="71"/>
        <v>1.0937071170386015</v>
      </c>
      <c r="N548" s="14">
        <f t="shared" si="75"/>
        <v>1.0920160011935318</v>
      </c>
      <c r="O548" s="14">
        <f t="shared" si="67"/>
        <v>1.091117003458397</v>
      </c>
      <c r="P548" s="14">
        <f t="shared" si="69"/>
        <v>1.0853435348167202</v>
      </c>
      <c r="Q548" s="4" t="str">
        <f t="shared" si="74"/>
        <v>UNDER</v>
      </c>
      <c r="R548" s="4" t="str">
        <f t="shared" si="74"/>
        <v>OVER</v>
      </c>
      <c r="S548" s="4" t="str">
        <f t="shared" si="72"/>
        <v>OVER</v>
      </c>
      <c r="T548" s="4" t="str">
        <f t="shared" si="72"/>
        <v>OVER</v>
      </c>
      <c r="U548" s="2">
        <f>IF(Q548="OVER",$J548,$K548)</f>
        <v>-235.14521509189552</v>
      </c>
      <c r="V548" s="2">
        <f>IF(R548="OVER",$J548,$K548)</f>
        <v>235.14521509189552</v>
      </c>
      <c r="W548" s="2">
        <f>IF(S548="OVER",$J548,$K548)</f>
        <v>235.14521509189552</v>
      </c>
      <c r="X548" s="2">
        <f>IF(T548="OVER",$J548,$K548)</f>
        <v>235.14521509189552</v>
      </c>
      <c r="Y548" s="9">
        <f t="shared" si="73"/>
        <v>-20983.170620127559</v>
      </c>
      <c r="Z548" s="9">
        <f t="shared" si="73"/>
        <v>-20640.287917563939</v>
      </c>
      <c r="AA548" s="9">
        <f t="shared" si="73"/>
        <v>31093.250160472555</v>
      </c>
      <c r="AB548" s="9">
        <f t="shared" si="70"/>
        <v>7448.9923072269576</v>
      </c>
    </row>
    <row r="549" spans="1:28" x14ac:dyDescent="0.3">
      <c r="A549" s="1">
        <v>45209</v>
      </c>
      <c r="B549" s="2">
        <v>67.38</v>
      </c>
      <c r="C549" s="2">
        <v>73.52</v>
      </c>
      <c r="D549" s="9">
        <f>B549-B548</f>
        <v>0.53999999999999204</v>
      </c>
      <c r="E549" s="9">
        <f>C549-C548</f>
        <v>0.36999999999999034</v>
      </c>
      <c r="F549" s="3">
        <f>F$1/B549</f>
        <v>1484.1199168892847</v>
      </c>
      <c r="G549" s="3">
        <f>F$1/C549</f>
        <v>1360.1741022850927</v>
      </c>
      <c r="H549" s="2">
        <f>D549*F548</f>
        <v>807.89946140034715</v>
      </c>
      <c r="I549" s="2">
        <f>E549*G548</f>
        <v>505.80997949417679</v>
      </c>
      <c r="J549" s="2">
        <f>I549-H549</f>
        <v>-302.08948190617036</v>
      </c>
      <c r="K549" s="2">
        <f t="shared" si="68"/>
        <v>302.08948190617036</v>
      </c>
      <c r="L549" s="14">
        <f>C549/B549</f>
        <v>1.0911249628970021</v>
      </c>
      <c r="M549" s="14">
        <f t="shared" si="71"/>
        <v>1.0937165937901132</v>
      </c>
      <c r="N549" s="14">
        <f t="shared" si="75"/>
        <v>1.0920097041467696</v>
      </c>
      <c r="O549" s="14">
        <f t="shared" si="67"/>
        <v>1.0910785847747517</v>
      </c>
      <c r="P549" s="14">
        <f t="shared" si="69"/>
        <v>1.0853991596312051</v>
      </c>
      <c r="Q549" s="4" t="str">
        <f t="shared" si="74"/>
        <v>OVER</v>
      </c>
      <c r="R549" s="4" t="str">
        <f t="shared" si="74"/>
        <v>OVER</v>
      </c>
      <c r="S549" s="4" t="str">
        <f t="shared" si="72"/>
        <v>OVER</v>
      </c>
      <c r="T549" s="4" t="str">
        <f t="shared" si="72"/>
        <v>OVER</v>
      </c>
      <c r="U549" s="2">
        <f>IF(Q549="OVER",$J549,$K549)</f>
        <v>-302.08948190617036</v>
      </c>
      <c r="V549" s="2">
        <f>IF(R549="OVER",$J549,$K549)</f>
        <v>-302.08948190617036</v>
      </c>
      <c r="W549" s="2">
        <f>IF(S549="OVER",$J549,$K549)</f>
        <v>-302.08948190617036</v>
      </c>
      <c r="X549" s="2">
        <f>IF(T549="OVER",$J549,$K549)</f>
        <v>-302.08948190617036</v>
      </c>
      <c r="Y549" s="9">
        <f t="shared" si="73"/>
        <v>-21285.260102033728</v>
      </c>
      <c r="Z549" s="9">
        <f t="shared" si="73"/>
        <v>-20942.377399470108</v>
      </c>
      <c r="AA549" s="9">
        <f t="shared" si="73"/>
        <v>30791.160678566386</v>
      </c>
      <c r="AB549" s="9">
        <f t="shared" si="70"/>
        <v>7146.9028253207871</v>
      </c>
    </row>
    <row r="550" spans="1:28" x14ac:dyDescent="0.3">
      <c r="A550" s="1">
        <v>45210</v>
      </c>
      <c r="B550" s="2">
        <v>67.48</v>
      </c>
      <c r="C550" s="2">
        <v>73.69</v>
      </c>
      <c r="D550" s="9">
        <f>B550-B549</f>
        <v>0.10000000000000853</v>
      </c>
      <c r="E550" s="9">
        <f>C550-C549</f>
        <v>0.17000000000000171</v>
      </c>
      <c r="F550" s="3">
        <f>F$1/B550</f>
        <v>1481.9205690574984</v>
      </c>
      <c r="G550" s="3">
        <f>F$1/C550</f>
        <v>1357.0362328674175</v>
      </c>
      <c r="H550" s="2">
        <f>D550*F549</f>
        <v>148.41199168894113</v>
      </c>
      <c r="I550" s="2">
        <f>E550*G549</f>
        <v>231.22959738846808</v>
      </c>
      <c r="J550" s="2">
        <f>I550-H550</f>
        <v>82.817605699526951</v>
      </c>
      <c r="K550" s="2">
        <f t="shared" si="68"/>
        <v>-82.817605699526951</v>
      </c>
      <c r="L550" s="14">
        <f>C550/B550</f>
        <v>1.0920272673384706</v>
      </c>
      <c r="M550" s="14">
        <f t="shared" si="71"/>
        <v>1.0938243847495621</v>
      </c>
      <c r="N550" s="14">
        <f t="shared" si="75"/>
        <v>1.0921354012332756</v>
      </c>
      <c r="O550" s="14">
        <f t="shared" si="67"/>
        <v>1.0910951077751525</v>
      </c>
      <c r="P550" s="14">
        <f t="shared" si="69"/>
        <v>1.0854620526660546</v>
      </c>
      <c r="Q550" s="4" t="str">
        <f t="shared" si="74"/>
        <v>UNDER</v>
      </c>
      <c r="R550" s="4" t="str">
        <f t="shared" si="74"/>
        <v>UNDER</v>
      </c>
      <c r="S550" s="4" t="str">
        <f t="shared" si="72"/>
        <v>OVER</v>
      </c>
      <c r="T550" s="4" t="str">
        <f t="shared" si="72"/>
        <v>OVER</v>
      </c>
      <c r="U550" s="2">
        <f>IF(Q550="OVER",$J550,$K550)</f>
        <v>-82.817605699526951</v>
      </c>
      <c r="V550" s="2">
        <f>IF(R550="OVER",$J550,$K550)</f>
        <v>-82.817605699526951</v>
      </c>
      <c r="W550" s="2">
        <f>IF(S550="OVER",$J550,$K550)</f>
        <v>82.817605699526951</v>
      </c>
      <c r="X550" s="2">
        <f>IF(T550="OVER",$J550,$K550)</f>
        <v>82.817605699526951</v>
      </c>
      <c r="Y550" s="9">
        <f t="shared" si="73"/>
        <v>-21368.077707733253</v>
      </c>
      <c r="Z550" s="9">
        <f t="shared" si="73"/>
        <v>-21025.195005169633</v>
      </c>
      <c r="AA550" s="9">
        <f t="shared" si="73"/>
        <v>30873.978284265911</v>
      </c>
      <c r="AB550" s="9">
        <f t="shared" si="70"/>
        <v>7229.7204310203142</v>
      </c>
    </row>
    <row r="551" spans="1:28" x14ac:dyDescent="0.3">
      <c r="A551" s="1">
        <v>45211</v>
      </c>
      <c r="B551" s="2">
        <v>67.05</v>
      </c>
      <c r="C551" s="2">
        <v>73.31</v>
      </c>
      <c r="D551" s="9">
        <f>B551-B550</f>
        <v>-0.43000000000000682</v>
      </c>
      <c r="E551" s="9">
        <f>C551-C550</f>
        <v>-0.37999999999999545</v>
      </c>
      <c r="F551" s="3">
        <f>F$1/B551</f>
        <v>1491.4243102162566</v>
      </c>
      <c r="G551" s="3">
        <f>F$1/C551</f>
        <v>1364.0703860319193</v>
      </c>
      <c r="H551" s="2">
        <f>D551*F550</f>
        <v>-637.22584469473441</v>
      </c>
      <c r="I551" s="2">
        <f>E551*G550</f>
        <v>-515.67376848961248</v>
      </c>
      <c r="J551" s="2">
        <f>I551-H551</f>
        <v>121.55207620512192</v>
      </c>
      <c r="K551" s="2">
        <f t="shared" si="68"/>
        <v>-121.55207620512192</v>
      </c>
      <c r="L551" s="14">
        <f>C551/B551</f>
        <v>1.0933631618195376</v>
      </c>
      <c r="M551" s="14">
        <f t="shared" si="71"/>
        <v>1.0937926054829961</v>
      </c>
      <c r="N551" s="14">
        <f t="shared" si="75"/>
        <v>1.0923805655193255</v>
      </c>
      <c r="O551" s="14">
        <f t="shared" si="67"/>
        <v>1.0911709460787571</v>
      </c>
      <c r="P551" s="14">
        <f t="shared" si="69"/>
        <v>1.08554270534251</v>
      </c>
      <c r="Q551" s="4" t="str">
        <f t="shared" si="74"/>
        <v>UNDER</v>
      </c>
      <c r="R551" s="4" t="str">
        <f t="shared" si="74"/>
        <v>UNDER</v>
      </c>
      <c r="S551" s="4" t="str">
        <f t="shared" si="72"/>
        <v>OVER</v>
      </c>
      <c r="T551" s="4" t="str">
        <f t="shared" si="72"/>
        <v>OVER</v>
      </c>
      <c r="U551" s="2">
        <f>IF(Q551="OVER",$J551,$K551)</f>
        <v>-121.55207620512192</v>
      </c>
      <c r="V551" s="2">
        <f>IF(R551="OVER",$J551,$K551)</f>
        <v>-121.55207620512192</v>
      </c>
      <c r="W551" s="2">
        <f>IF(S551="OVER",$J551,$K551)</f>
        <v>121.55207620512192</v>
      </c>
      <c r="X551" s="2">
        <f>IF(T551="OVER",$J551,$K551)</f>
        <v>121.55207620512192</v>
      </c>
      <c r="Y551" s="9">
        <f t="shared" si="73"/>
        <v>-21489.629783938377</v>
      </c>
      <c r="Z551" s="9">
        <f t="shared" si="73"/>
        <v>-21146.747081374757</v>
      </c>
      <c r="AA551" s="9">
        <f t="shared" si="73"/>
        <v>30995.530360471035</v>
      </c>
      <c r="AB551" s="9">
        <f t="shared" si="70"/>
        <v>7351.2725072254361</v>
      </c>
    </row>
    <row r="552" spans="1:28" x14ac:dyDescent="0.3">
      <c r="A552" s="1">
        <v>45212</v>
      </c>
      <c r="B552" s="2">
        <v>66.819999999999993</v>
      </c>
      <c r="C552" s="2">
        <v>72.95</v>
      </c>
      <c r="D552" s="9">
        <f>B552-B551</f>
        <v>-0.23000000000000398</v>
      </c>
      <c r="E552" s="9">
        <f>C552-C551</f>
        <v>-0.35999999999999943</v>
      </c>
      <c r="F552" s="3">
        <f>F$1/B552</f>
        <v>1496.55791679138</v>
      </c>
      <c r="G552" s="3">
        <f>F$1/C552</f>
        <v>1370.8019191226867</v>
      </c>
      <c r="H552" s="2">
        <f>D552*F551</f>
        <v>-343.02759134974497</v>
      </c>
      <c r="I552" s="2">
        <f>E552*G551</f>
        <v>-491.06533897149018</v>
      </c>
      <c r="J552" s="2">
        <f>I552-H552</f>
        <v>-148.03774762174521</v>
      </c>
      <c r="K552" s="2">
        <f t="shared" si="68"/>
        <v>148.03774762174521</v>
      </c>
      <c r="L552" s="14">
        <f>C552/B552</f>
        <v>1.0917390002993117</v>
      </c>
      <c r="M552" s="14">
        <f t="shared" si="71"/>
        <v>1.0935122282267913</v>
      </c>
      <c r="N552" s="14">
        <f t="shared" si="75"/>
        <v>1.092446431633407</v>
      </c>
      <c r="O552" s="14">
        <f t="shared" si="67"/>
        <v>1.0911436766950187</v>
      </c>
      <c r="P552" s="14">
        <f t="shared" si="69"/>
        <v>1.0855982875035397</v>
      </c>
      <c r="Q552" s="4" t="str">
        <f t="shared" si="74"/>
        <v>UNDER</v>
      </c>
      <c r="R552" s="4" t="str">
        <f t="shared" si="74"/>
        <v>OVER</v>
      </c>
      <c r="S552" s="4" t="str">
        <f t="shared" si="72"/>
        <v>OVER</v>
      </c>
      <c r="T552" s="4" t="str">
        <f t="shared" si="72"/>
        <v>OVER</v>
      </c>
      <c r="U552" s="2">
        <f>IF(Q552="OVER",$J552,$K552)</f>
        <v>148.03774762174521</v>
      </c>
      <c r="V552" s="2">
        <f>IF(R552="OVER",$J552,$K552)</f>
        <v>-148.03774762174521</v>
      </c>
      <c r="W552" s="2">
        <f>IF(S552="OVER",$J552,$K552)</f>
        <v>-148.03774762174521</v>
      </c>
      <c r="X552" s="2">
        <f>IF(T552="OVER",$J552,$K552)</f>
        <v>-148.03774762174521</v>
      </c>
      <c r="Y552" s="9">
        <f t="shared" si="73"/>
        <v>-21341.592036316633</v>
      </c>
      <c r="Z552" s="9">
        <f t="shared" si="73"/>
        <v>-21294.7848289965</v>
      </c>
      <c r="AA552" s="9">
        <f t="shared" si="73"/>
        <v>30847.492612849292</v>
      </c>
      <c r="AB552" s="9">
        <f t="shared" si="70"/>
        <v>7203.2347596036907</v>
      </c>
    </row>
    <row r="553" spans="1:28" x14ac:dyDescent="0.3">
      <c r="A553" s="1">
        <v>45215</v>
      </c>
      <c r="B553" s="2">
        <v>67.09</v>
      </c>
      <c r="C553" s="2">
        <v>73.25</v>
      </c>
      <c r="D553" s="9">
        <f>B553-B552</f>
        <v>0.27000000000001023</v>
      </c>
      <c r="E553" s="9">
        <f>C553-C552</f>
        <v>0.29999999999999716</v>
      </c>
      <c r="F553" s="3">
        <f>F$1/B553</f>
        <v>1490.5351021016545</v>
      </c>
      <c r="G553" s="3">
        <f>F$1/C553</f>
        <v>1365.1877133105802</v>
      </c>
      <c r="H553" s="2">
        <f>D553*F552</f>
        <v>404.07063753368789</v>
      </c>
      <c r="I553" s="2">
        <f>E553*G552</f>
        <v>411.2405757368021</v>
      </c>
      <c r="J553" s="2">
        <f>I553-H553</f>
        <v>7.1699382031142136</v>
      </c>
      <c r="K553" s="2">
        <f t="shared" si="68"/>
        <v>-7.1699382031142136</v>
      </c>
      <c r="L553" s="14">
        <f>C553/B553</f>
        <v>1.0918169622894618</v>
      </c>
      <c r="M553" s="14">
        <f t="shared" si="71"/>
        <v>1.0930662727720111</v>
      </c>
      <c r="N553" s="14">
        <f t="shared" si="75"/>
        <v>1.0923918741850434</v>
      </c>
      <c r="O553" s="14">
        <f t="shared" si="67"/>
        <v>1.0911564028540368</v>
      </c>
      <c r="P553" s="14">
        <f t="shared" si="69"/>
        <v>1.0856547667585597</v>
      </c>
      <c r="Q553" s="4" t="str">
        <f t="shared" si="74"/>
        <v>UNDER</v>
      </c>
      <c r="R553" s="4" t="str">
        <f t="shared" si="74"/>
        <v>UNDER</v>
      </c>
      <c r="S553" s="4" t="str">
        <f t="shared" si="72"/>
        <v>OVER</v>
      </c>
      <c r="T553" s="4" t="str">
        <f t="shared" si="72"/>
        <v>OVER</v>
      </c>
      <c r="U553" s="2">
        <f>IF(Q553="OVER",$J553,$K553)</f>
        <v>-7.1699382031142136</v>
      </c>
      <c r="V553" s="2">
        <f>IF(R553="OVER",$J553,$K553)</f>
        <v>-7.1699382031142136</v>
      </c>
      <c r="W553" s="2">
        <f>IF(S553="OVER",$J553,$K553)</f>
        <v>7.1699382031142136</v>
      </c>
      <c r="X553" s="2">
        <f>IF(T553="OVER",$J553,$K553)</f>
        <v>7.1699382031142136</v>
      </c>
      <c r="Y553" s="9">
        <f t="shared" si="73"/>
        <v>-21348.761974519748</v>
      </c>
      <c r="Z553" s="9">
        <f t="shared" si="73"/>
        <v>-21301.954767199615</v>
      </c>
      <c r="AA553" s="9">
        <f t="shared" si="73"/>
        <v>30854.662551052406</v>
      </c>
      <c r="AB553" s="9">
        <f t="shared" si="70"/>
        <v>7210.4046978068045</v>
      </c>
    </row>
    <row r="554" spans="1:28" x14ac:dyDescent="0.3">
      <c r="A554" s="1">
        <v>45216</v>
      </c>
      <c r="B554" s="2">
        <v>67.22</v>
      </c>
      <c r="C554" s="2">
        <v>73.52</v>
      </c>
      <c r="D554" s="9">
        <f>B554-B553</f>
        <v>0.12999999999999545</v>
      </c>
      <c r="E554" s="9">
        <f>C554-C553</f>
        <v>0.26999999999999602</v>
      </c>
      <c r="F554" s="3">
        <f>F$1/B554</f>
        <v>1487.652484379649</v>
      </c>
      <c r="G554" s="3">
        <f>F$1/C554</f>
        <v>1360.1741022850927</v>
      </c>
      <c r="H554" s="2">
        <f>D554*F553</f>
        <v>193.76956327320832</v>
      </c>
      <c r="I554" s="2">
        <f>E554*G553</f>
        <v>368.60068259385122</v>
      </c>
      <c r="J554" s="2">
        <f>I554-H554</f>
        <v>174.8311193206429</v>
      </c>
      <c r="K554" s="2">
        <f t="shared" si="68"/>
        <v>-174.8311193206429</v>
      </c>
      <c r="L554" s="14">
        <f>C554/B554</f>
        <v>1.0937221065159179</v>
      </c>
      <c r="M554" s="14">
        <f t="shared" si="71"/>
        <v>1.0928167482089528</v>
      </c>
      <c r="N554" s="14">
        <f t="shared" si="75"/>
        <v>1.0926401526659817</v>
      </c>
      <c r="O554" s="14">
        <f t="shared" si="67"/>
        <v>1.0912638904324652</v>
      </c>
      <c r="P554" s="14">
        <f t="shared" si="69"/>
        <v>1.0857356539034158</v>
      </c>
      <c r="Q554" s="4" t="str">
        <f t="shared" si="74"/>
        <v>UNDER</v>
      </c>
      <c r="R554" s="4" t="str">
        <f t="shared" si="74"/>
        <v>UNDER</v>
      </c>
      <c r="S554" s="4" t="str">
        <f t="shared" si="72"/>
        <v>OVER</v>
      </c>
      <c r="T554" s="4" t="str">
        <f t="shared" si="72"/>
        <v>OVER</v>
      </c>
      <c r="U554" s="2">
        <f>IF(Q554="OVER",$J554,$K554)</f>
        <v>-174.8311193206429</v>
      </c>
      <c r="V554" s="2">
        <f>IF(R554="OVER",$J554,$K554)</f>
        <v>-174.8311193206429</v>
      </c>
      <c r="W554" s="2">
        <f>IF(S554="OVER",$J554,$K554)</f>
        <v>174.8311193206429</v>
      </c>
      <c r="X554" s="2">
        <f>IF(T554="OVER",$J554,$K554)</f>
        <v>174.8311193206429</v>
      </c>
      <c r="Y554" s="9">
        <f t="shared" si="73"/>
        <v>-21523.593093840391</v>
      </c>
      <c r="Z554" s="9">
        <f t="shared" si="73"/>
        <v>-21476.785886520258</v>
      </c>
      <c r="AA554" s="9">
        <f t="shared" si="73"/>
        <v>31029.493670373049</v>
      </c>
      <c r="AB554" s="9">
        <f t="shared" si="70"/>
        <v>7385.2358171274473</v>
      </c>
    </row>
    <row r="555" spans="1:28" x14ac:dyDescent="0.3">
      <c r="A555" s="1">
        <v>45217</v>
      </c>
      <c r="B555" s="2">
        <v>66.67</v>
      </c>
      <c r="C555" s="2">
        <v>72.91</v>
      </c>
      <c r="D555" s="9">
        <f>B555-B554</f>
        <v>-0.54999999999999716</v>
      </c>
      <c r="E555" s="9">
        <f>C555-C554</f>
        <v>-0.60999999999999943</v>
      </c>
      <c r="F555" s="3">
        <f>F$1/B555</f>
        <v>1499.9250037498125</v>
      </c>
      <c r="G555" s="3">
        <f>F$1/C555</f>
        <v>1371.553970648745</v>
      </c>
      <c r="H555" s="2">
        <f>D555*F554</f>
        <v>-818.20886640880269</v>
      </c>
      <c r="I555" s="2">
        <f>E555*G554</f>
        <v>-829.70620239390576</v>
      </c>
      <c r="J555" s="2">
        <f>I555-H555</f>
        <v>-11.497335985103064</v>
      </c>
      <c r="K555" s="2">
        <f t="shared" si="68"/>
        <v>11.497335985103064</v>
      </c>
      <c r="L555" s="14">
        <f>C555/B555</f>
        <v>1.0935953202339883</v>
      </c>
      <c r="M555" s="14">
        <f t="shared" si="71"/>
        <v>1.0925574326933358</v>
      </c>
      <c r="N555" s="14">
        <f t="shared" si="75"/>
        <v>1.092775790304231</v>
      </c>
      <c r="O555" s="14">
        <f t="shared" si="67"/>
        <v>1.0912800385703263</v>
      </c>
      <c r="P555" s="14">
        <f t="shared" si="69"/>
        <v>1.0858049671536378</v>
      </c>
      <c r="Q555" s="4" t="str">
        <f t="shared" si="74"/>
        <v>OVER</v>
      </c>
      <c r="R555" s="4" t="str">
        <f t="shared" si="74"/>
        <v>OVER</v>
      </c>
      <c r="S555" s="4" t="str">
        <f t="shared" si="72"/>
        <v>OVER</v>
      </c>
      <c r="T555" s="4" t="str">
        <f t="shared" si="72"/>
        <v>OVER</v>
      </c>
      <c r="U555" s="2">
        <f>IF(Q555="OVER",$J555,$K555)</f>
        <v>-11.497335985103064</v>
      </c>
      <c r="V555" s="2">
        <f>IF(R555="OVER",$J555,$K555)</f>
        <v>-11.497335985103064</v>
      </c>
      <c r="W555" s="2">
        <f>IF(S555="OVER",$J555,$K555)</f>
        <v>-11.497335985103064</v>
      </c>
      <c r="X555" s="2">
        <f>IF(T555="OVER",$J555,$K555)</f>
        <v>-11.497335985103064</v>
      </c>
      <c r="Y555" s="9">
        <f t="shared" si="73"/>
        <v>-21535.090429825494</v>
      </c>
      <c r="Z555" s="9">
        <f t="shared" si="73"/>
        <v>-21488.283222505361</v>
      </c>
      <c r="AA555" s="9">
        <f t="shared" si="73"/>
        <v>31017.996334387946</v>
      </c>
      <c r="AB555" s="9">
        <f t="shared" si="70"/>
        <v>7373.7384811423444</v>
      </c>
    </row>
    <row r="556" spans="1:28" x14ac:dyDescent="0.3">
      <c r="A556" s="1">
        <v>45218</v>
      </c>
      <c r="B556" s="2">
        <v>66.16</v>
      </c>
      <c r="C556" s="2">
        <v>72.47</v>
      </c>
      <c r="D556" s="9">
        <f>B556-B555</f>
        <v>-0.51000000000000512</v>
      </c>
      <c r="E556" s="9">
        <f>C556-C555</f>
        <v>-0.43999999999999773</v>
      </c>
      <c r="F556" s="3">
        <f>F$1/B556</f>
        <v>1511.4873035066507</v>
      </c>
      <c r="G556" s="3">
        <f>F$1/C556</f>
        <v>1379.8813302056024</v>
      </c>
      <c r="H556" s="2">
        <f>D556*F555</f>
        <v>-764.96175191241207</v>
      </c>
      <c r="I556" s="2">
        <f>E556*G555</f>
        <v>-603.48374708544463</v>
      </c>
      <c r="J556" s="2">
        <f>I556-H556</f>
        <v>161.47800482696744</v>
      </c>
      <c r="K556" s="2">
        <f t="shared" si="68"/>
        <v>-161.47800482696744</v>
      </c>
      <c r="L556" s="14">
        <f>C556/B556</f>
        <v>1.0953748488512698</v>
      </c>
      <c r="M556" s="14">
        <f t="shared" si="71"/>
        <v>1.0929000342075073</v>
      </c>
      <c r="N556" s="14">
        <f t="shared" si="75"/>
        <v>1.0930672499942582</v>
      </c>
      <c r="O556" s="14">
        <f t="shared" si="67"/>
        <v>1.0913560861268337</v>
      </c>
      <c r="P556" s="14">
        <f t="shared" si="69"/>
        <v>1.0858755085325065</v>
      </c>
      <c r="Q556" s="4" t="str">
        <f t="shared" si="74"/>
        <v>OVER</v>
      </c>
      <c r="R556" s="4" t="str">
        <f t="shared" si="74"/>
        <v>OVER</v>
      </c>
      <c r="S556" s="4" t="str">
        <f t="shared" si="72"/>
        <v>OVER</v>
      </c>
      <c r="T556" s="4" t="str">
        <f t="shared" si="72"/>
        <v>OVER</v>
      </c>
      <c r="U556" s="2">
        <f>IF(Q556="OVER",$J556,$K556)</f>
        <v>161.47800482696744</v>
      </c>
      <c r="V556" s="2">
        <f>IF(R556="OVER",$J556,$K556)</f>
        <v>161.47800482696744</v>
      </c>
      <c r="W556" s="2">
        <f>IF(S556="OVER",$J556,$K556)</f>
        <v>161.47800482696744</v>
      </c>
      <c r="X556" s="2">
        <f>IF(T556="OVER",$J556,$K556)</f>
        <v>161.47800482696744</v>
      </c>
      <c r="Y556" s="9">
        <f t="shared" si="73"/>
        <v>-21373.612424998526</v>
      </c>
      <c r="Z556" s="9">
        <f t="shared" si="73"/>
        <v>-21326.805217678393</v>
      </c>
      <c r="AA556" s="9">
        <f t="shared" si="73"/>
        <v>31179.474339214914</v>
      </c>
      <c r="AB556" s="9">
        <f t="shared" si="70"/>
        <v>7535.2164859693121</v>
      </c>
    </row>
    <row r="557" spans="1:28" x14ac:dyDescent="0.3">
      <c r="A557" s="1">
        <v>45219</v>
      </c>
      <c r="B557" s="2">
        <v>65.72</v>
      </c>
      <c r="C557" s="2">
        <v>71.94</v>
      </c>
      <c r="D557" s="9">
        <f>B557-B556</f>
        <v>-0.43999999999999773</v>
      </c>
      <c r="E557" s="9">
        <f>C557-C556</f>
        <v>-0.53000000000000114</v>
      </c>
      <c r="F557" s="3">
        <f>F$1/B557</f>
        <v>1521.6068167985393</v>
      </c>
      <c r="G557" s="3">
        <f>F$1/C557</f>
        <v>1390.0472616068946</v>
      </c>
      <c r="H557" s="2">
        <f>D557*F556</f>
        <v>-665.05441354292293</v>
      </c>
      <c r="I557" s="2">
        <f>E557*G556</f>
        <v>-731.33710500897087</v>
      </c>
      <c r="J557" s="2">
        <f>I557-H557</f>
        <v>-66.282691466047936</v>
      </c>
      <c r="K557" s="2">
        <f t="shared" si="68"/>
        <v>66.282691466047936</v>
      </c>
      <c r="L557" s="14">
        <f>C557/B557</f>
        <v>1.0946439440048692</v>
      </c>
      <c r="M557" s="14">
        <f t="shared" si="71"/>
        <v>1.0931812122424573</v>
      </c>
      <c r="N557" s="14">
        <f t="shared" si="75"/>
        <v>1.093234550439339</v>
      </c>
      <c r="O557" s="14">
        <f t="shared" si="67"/>
        <v>1.0914055017041788</v>
      </c>
      <c r="P557" s="14">
        <f t="shared" si="69"/>
        <v>1.0859515355948106</v>
      </c>
      <c r="Q557" s="4" t="str">
        <f t="shared" si="74"/>
        <v>OVER</v>
      </c>
      <c r="R557" s="4" t="str">
        <f t="shared" si="74"/>
        <v>OVER</v>
      </c>
      <c r="S557" s="4" t="str">
        <f t="shared" si="72"/>
        <v>OVER</v>
      </c>
      <c r="T557" s="4" t="str">
        <f t="shared" si="72"/>
        <v>OVER</v>
      </c>
      <c r="U557" s="2">
        <f>IF(Q557="OVER",$J557,$K557)</f>
        <v>-66.282691466047936</v>
      </c>
      <c r="V557" s="2">
        <f>IF(R557="OVER",$J557,$K557)</f>
        <v>-66.282691466047936</v>
      </c>
      <c r="W557" s="2">
        <f>IF(S557="OVER",$J557,$K557)</f>
        <v>-66.282691466047936</v>
      </c>
      <c r="X557" s="2">
        <f>IF(T557="OVER",$J557,$K557)</f>
        <v>-66.282691466047936</v>
      </c>
      <c r="Y557" s="9">
        <f t="shared" si="73"/>
        <v>-21439.895116464573</v>
      </c>
      <c r="Z557" s="9">
        <f t="shared" si="73"/>
        <v>-21393.08790914444</v>
      </c>
      <c r="AA557" s="9">
        <f t="shared" si="73"/>
        <v>31113.191647748867</v>
      </c>
      <c r="AB557" s="9">
        <f t="shared" si="70"/>
        <v>7468.9337945032639</v>
      </c>
    </row>
    <row r="558" spans="1:28" x14ac:dyDescent="0.3">
      <c r="A558" s="1">
        <v>45222</v>
      </c>
      <c r="B558" s="2">
        <v>65.47</v>
      </c>
      <c r="C558" s="2">
        <v>71.72</v>
      </c>
      <c r="D558" s="9">
        <f>B558-B557</f>
        <v>-0.25</v>
      </c>
      <c r="E558" s="9">
        <f>C558-C557</f>
        <v>-0.21999999999999886</v>
      </c>
      <c r="F558" s="3">
        <f>F$1/B558</f>
        <v>1527.4171376202842</v>
      </c>
      <c r="G558" s="3">
        <f>F$1/C558</f>
        <v>1394.3112102621305</v>
      </c>
      <c r="H558" s="2">
        <f>D558*F557</f>
        <v>-380.40170419963482</v>
      </c>
      <c r="I558" s="2">
        <f>E558*G557</f>
        <v>-305.81039755351526</v>
      </c>
      <c r="J558" s="2">
        <f>I558-H558</f>
        <v>74.591306646119563</v>
      </c>
      <c r="K558" s="2">
        <f t="shared" si="68"/>
        <v>-74.591306646119563</v>
      </c>
      <c r="L558" s="14">
        <f>C558/B558</f>
        <v>1.0954635711012677</v>
      </c>
      <c r="M558" s="14">
        <f t="shared" si="71"/>
        <v>1.0932871145351095</v>
      </c>
      <c r="N558" s="14">
        <f t="shared" si="75"/>
        <v>1.0934971157868554</v>
      </c>
      <c r="O558" s="14">
        <f t="shared" si="67"/>
        <v>1.0915312059919358</v>
      </c>
      <c r="P558" s="14">
        <f t="shared" si="69"/>
        <v>1.08604912623395</v>
      </c>
      <c r="Q558" s="4" t="str">
        <f t="shared" si="74"/>
        <v>OVER</v>
      </c>
      <c r="R558" s="4" t="str">
        <f t="shared" si="74"/>
        <v>OVER</v>
      </c>
      <c r="S558" s="4" t="str">
        <f t="shared" si="72"/>
        <v>OVER</v>
      </c>
      <c r="T558" s="4" t="str">
        <f t="shared" si="72"/>
        <v>OVER</v>
      </c>
      <c r="U558" s="2">
        <f>IF(Q558="OVER",$J558,$K558)</f>
        <v>74.591306646119563</v>
      </c>
      <c r="V558" s="2">
        <f>IF(R558="OVER",$J558,$K558)</f>
        <v>74.591306646119563</v>
      </c>
      <c r="W558" s="2">
        <f>IF(S558="OVER",$J558,$K558)</f>
        <v>74.591306646119563</v>
      </c>
      <c r="X558" s="2">
        <f>IF(T558="OVER",$J558,$K558)</f>
        <v>74.591306646119563</v>
      </c>
      <c r="Y558" s="9">
        <f t="shared" si="73"/>
        <v>-21365.303809818455</v>
      </c>
      <c r="Z558" s="9">
        <f t="shared" si="73"/>
        <v>-21318.496602498322</v>
      </c>
      <c r="AA558" s="9">
        <f t="shared" si="73"/>
        <v>31187.782954394985</v>
      </c>
      <c r="AB558" s="9">
        <f t="shared" si="70"/>
        <v>7543.5251011493838</v>
      </c>
    </row>
    <row r="559" spans="1:28" x14ac:dyDescent="0.3">
      <c r="A559" s="1">
        <v>45223</v>
      </c>
      <c r="B559" s="2">
        <v>65.77</v>
      </c>
      <c r="C559" s="2">
        <v>71.92</v>
      </c>
      <c r="D559" s="9">
        <f>B559-B558</f>
        <v>0.29999999999999716</v>
      </c>
      <c r="E559" s="9">
        <f>C559-C558</f>
        <v>0.20000000000000284</v>
      </c>
      <c r="F559" s="3">
        <f>F$1/B559</f>
        <v>1520.450053215752</v>
      </c>
      <c r="G559" s="3">
        <f>F$1/C559</f>
        <v>1390.4338153503893</v>
      </c>
      <c r="H559" s="2">
        <f>D559*F558</f>
        <v>458.22514128608088</v>
      </c>
      <c r="I559" s="2">
        <f>E559*G558</f>
        <v>278.86224205243008</v>
      </c>
      <c r="J559" s="2">
        <f>I559-H559</f>
        <v>-179.36289923365081</v>
      </c>
      <c r="K559" s="2">
        <f t="shared" si="68"/>
        <v>179.36289923365081</v>
      </c>
      <c r="L559" s="14">
        <f>C559/B559</f>
        <v>1.0935076782727688</v>
      </c>
      <c r="M559" s="14">
        <f t="shared" si="71"/>
        <v>1.0935253860726863</v>
      </c>
      <c r="N559" s="14">
        <f t="shared" si="75"/>
        <v>1.0936209899313996</v>
      </c>
      <c r="O559" s="14">
        <f t="shared" si="67"/>
        <v>1.0916187570720319</v>
      </c>
      <c r="P559" s="14">
        <f t="shared" si="69"/>
        <v>1.0861212191721674</v>
      </c>
      <c r="Q559" s="4" t="str">
        <f t="shared" si="74"/>
        <v>OVER</v>
      </c>
      <c r="R559" s="4" t="str">
        <f t="shared" si="74"/>
        <v>OVER</v>
      </c>
      <c r="S559" s="4" t="str">
        <f t="shared" si="72"/>
        <v>OVER</v>
      </c>
      <c r="T559" s="4" t="str">
        <f t="shared" si="72"/>
        <v>OVER</v>
      </c>
      <c r="U559" s="2">
        <f>IF(Q559="OVER",$J559,$K559)</f>
        <v>-179.36289923365081</v>
      </c>
      <c r="V559" s="2">
        <f>IF(R559="OVER",$J559,$K559)</f>
        <v>-179.36289923365081</v>
      </c>
      <c r="W559" s="2">
        <f>IF(S559="OVER",$J559,$K559)</f>
        <v>-179.36289923365081</v>
      </c>
      <c r="X559" s="2">
        <f>IF(T559="OVER",$J559,$K559)</f>
        <v>-179.36289923365081</v>
      </c>
      <c r="Y559" s="9">
        <f t="shared" si="73"/>
        <v>-21544.666709052108</v>
      </c>
      <c r="Z559" s="9">
        <f t="shared" si="73"/>
        <v>-21497.859501731975</v>
      </c>
      <c r="AA559" s="9">
        <f t="shared" si="73"/>
        <v>31008.420055161332</v>
      </c>
      <c r="AB559" s="9">
        <f t="shared" si="70"/>
        <v>7364.162201915733</v>
      </c>
    </row>
    <row r="560" spans="1:28" x14ac:dyDescent="0.3">
      <c r="A560" s="1">
        <v>45224</v>
      </c>
      <c r="B560" s="2">
        <v>65.33</v>
      </c>
      <c r="C560" s="2">
        <v>71.239999999999995</v>
      </c>
      <c r="D560" s="9">
        <f>B560-B559</f>
        <v>-0.43999999999999773</v>
      </c>
      <c r="E560" s="9">
        <f>C560-C559</f>
        <v>-0.68000000000000682</v>
      </c>
      <c r="F560" s="3">
        <f>F$1/B560</f>
        <v>1530.6903413439461</v>
      </c>
      <c r="G560" s="3">
        <f>F$1/C560</f>
        <v>1403.7057832678272</v>
      </c>
      <c r="H560" s="2">
        <f>D560*F559</f>
        <v>-668.99802341492739</v>
      </c>
      <c r="I560" s="2">
        <f>E560*G559</f>
        <v>-945.49499443827426</v>
      </c>
      <c r="J560" s="2">
        <f>I560-H560</f>
        <v>-276.49697102334687</v>
      </c>
      <c r="K560" s="2">
        <f t="shared" si="68"/>
        <v>276.49697102334687</v>
      </c>
      <c r="L560" s="14">
        <f>C560/B560</f>
        <v>1.0904637991734272</v>
      </c>
      <c r="M560" s="14">
        <f t="shared" si="71"/>
        <v>1.0933690392561821</v>
      </c>
      <c r="N560" s="14">
        <f t="shared" si="75"/>
        <v>1.093596712002872</v>
      </c>
      <c r="O560" s="14">
        <f t="shared" si="67"/>
        <v>1.0916111600350573</v>
      </c>
      <c r="P560" s="14">
        <f t="shared" si="69"/>
        <v>1.0861893340739313</v>
      </c>
      <c r="Q560" s="4" t="str">
        <f t="shared" si="74"/>
        <v>UNDER</v>
      </c>
      <c r="R560" s="4" t="str">
        <f t="shared" si="74"/>
        <v>UNDER</v>
      </c>
      <c r="S560" s="4" t="str">
        <f t="shared" si="72"/>
        <v>UNDER</v>
      </c>
      <c r="T560" s="4" t="str">
        <f t="shared" si="72"/>
        <v>OVER</v>
      </c>
      <c r="U560" s="2">
        <f>IF(Q560="OVER",$J560,$K560)</f>
        <v>276.49697102334687</v>
      </c>
      <c r="V560" s="2">
        <f>IF(R560="OVER",$J560,$K560)</f>
        <v>276.49697102334687</v>
      </c>
      <c r="W560" s="2">
        <f>IF(S560="OVER",$J560,$K560)</f>
        <v>276.49697102334687</v>
      </c>
      <c r="X560" s="2">
        <f>IF(T560="OVER",$J560,$K560)</f>
        <v>-276.49697102334687</v>
      </c>
      <c r="Y560" s="9">
        <f t="shared" si="73"/>
        <v>-21268.169738028762</v>
      </c>
      <c r="Z560" s="9">
        <f t="shared" si="73"/>
        <v>-21221.362530708629</v>
      </c>
      <c r="AA560" s="9">
        <f t="shared" si="73"/>
        <v>31284.917026184678</v>
      </c>
      <c r="AB560" s="9">
        <f t="shared" si="70"/>
        <v>7087.6652308923858</v>
      </c>
    </row>
    <row r="561" spans="1:28" x14ac:dyDescent="0.3">
      <c r="A561" s="1">
        <v>45225</v>
      </c>
      <c r="B561" s="2">
        <v>65.12</v>
      </c>
      <c r="C561" s="2">
        <v>71.180000000000007</v>
      </c>
      <c r="D561" s="9">
        <f>B561-B560</f>
        <v>-0.20999999999999375</v>
      </c>
      <c r="E561" s="9">
        <f>C561-C560</f>
        <v>-5.9999999999988063E-2</v>
      </c>
      <c r="F561" s="3">
        <f>F$1/B561</f>
        <v>1535.6265356265355</v>
      </c>
      <c r="G561" s="3">
        <f>F$1/C561</f>
        <v>1404.8890137679123</v>
      </c>
      <c r="H561" s="2">
        <f>D561*F560</f>
        <v>-321.44497168221909</v>
      </c>
      <c r="I561" s="2">
        <f>E561*G560</f>
        <v>-84.222346996052877</v>
      </c>
      <c r="J561" s="2">
        <f>I561-H561</f>
        <v>237.22262468616623</v>
      </c>
      <c r="K561" s="2">
        <f t="shared" si="68"/>
        <v>-237.22262468616623</v>
      </c>
      <c r="L561" s="14">
        <f>C561/B561</f>
        <v>1.0930589680589682</v>
      </c>
      <c r="M561" s="14">
        <f t="shared" si="71"/>
        <v>1.0933386198801252</v>
      </c>
      <c r="N561" s="14">
        <f t="shared" si="75"/>
        <v>1.0935656126815603</v>
      </c>
      <c r="O561" s="14">
        <f t="shared" si="67"/>
        <v>1.0916964897939228</v>
      </c>
      <c r="P561" s="14">
        <f t="shared" si="69"/>
        <v>1.086281562490204</v>
      </c>
      <c r="Q561" s="4" t="str">
        <f t="shared" si="74"/>
        <v>UNDER</v>
      </c>
      <c r="R561" s="4" t="str">
        <f t="shared" si="74"/>
        <v>UNDER</v>
      </c>
      <c r="S561" s="4" t="str">
        <f t="shared" si="72"/>
        <v>OVER</v>
      </c>
      <c r="T561" s="4" t="str">
        <f t="shared" si="72"/>
        <v>OVER</v>
      </c>
      <c r="U561" s="2">
        <f>IF(Q561="OVER",$J561,$K561)</f>
        <v>-237.22262468616623</v>
      </c>
      <c r="V561" s="2">
        <f>IF(R561="OVER",$J561,$K561)</f>
        <v>-237.22262468616623</v>
      </c>
      <c r="W561" s="2">
        <f>IF(S561="OVER",$J561,$K561)</f>
        <v>237.22262468616623</v>
      </c>
      <c r="X561" s="2">
        <f>IF(T561="OVER",$J561,$K561)</f>
        <v>237.22262468616623</v>
      </c>
      <c r="Y561" s="9">
        <f t="shared" si="73"/>
        <v>-21505.392362714927</v>
      </c>
      <c r="Z561" s="9">
        <f t="shared" si="73"/>
        <v>-21458.585155394794</v>
      </c>
      <c r="AA561" s="9">
        <f t="shared" si="73"/>
        <v>31522.139650870842</v>
      </c>
      <c r="AB561" s="9">
        <f t="shared" si="70"/>
        <v>7324.8878555785523</v>
      </c>
    </row>
    <row r="562" spans="1:28" x14ac:dyDescent="0.3">
      <c r="A562" s="1">
        <v>45226</v>
      </c>
      <c r="B562" s="2">
        <v>64.89</v>
      </c>
      <c r="C562" s="2">
        <v>70.88</v>
      </c>
      <c r="D562" s="9">
        <f>B562-B561</f>
        <v>-0.23000000000000398</v>
      </c>
      <c r="E562" s="9">
        <f>C562-C561</f>
        <v>-0.30000000000001137</v>
      </c>
      <c r="F562" s="3">
        <f>F$1/B562</f>
        <v>1541.0695022345508</v>
      </c>
      <c r="G562" s="3">
        <f>F$1/C562</f>
        <v>1410.8352144469527</v>
      </c>
      <c r="H562" s="2">
        <f>D562*F561</f>
        <v>-353.19410319410929</v>
      </c>
      <c r="I562" s="2">
        <f>E562*G561</f>
        <v>-421.46670413038964</v>
      </c>
      <c r="J562" s="2">
        <f>I562-H562</f>
        <v>-68.272600936280355</v>
      </c>
      <c r="K562" s="2">
        <f t="shared" si="68"/>
        <v>68.272600936280355</v>
      </c>
      <c r="L562" s="14">
        <f>C562/B562</f>
        <v>1.0923100631838496</v>
      </c>
      <c r="M562" s="14">
        <f t="shared" si="71"/>
        <v>1.0933957261685787</v>
      </c>
      <c r="N562" s="14">
        <f t="shared" si="75"/>
        <v>1.0934539771976852</v>
      </c>
      <c r="O562" s="14">
        <f t="shared" si="67"/>
        <v>1.091743857238358</v>
      </c>
      <c r="P562" s="14">
        <f t="shared" si="69"/>
        <v>1.0864201426884055</v>
      </c>
      <c r="Q562" s="4" t="str">
        <f t="shared" si="74"/>
        <v>UNDER</v>
      </c>
      <c r="R562" s="4" t="str">
        <f t="shared" si="74"/>
        <v>UNDER</v>
      </c>
      <c r="S562" s="4" t="str">
        <f t="shared" si="72"/>
        <v>OVER</v>
      </c>
      <c r="T562" s="4" t="str">
        <f t="shared" si="72"/>
        <v>OVER</v>
      </c>
      <c r="U562" s="2">
        <f>IF(Q562="OVER",$J562,$K562)</f>
        <v>68.272600936280355</v>
      </c>
      <c r="V562" s="2">
        <f>IF(R562="OVER",$J562,$K562)</f>
        <v>68.272600936280355</v>
      </c>
      <c r="W562" s="2">
        <f>IF(S562="OVER",$J562,$K562)</f>
        <v>-68.272600936280355</v>
      </c>
      <c r="X562" s="2">
        <f>IF(T562="OVER",$J562,$K562)</f>
        <v>-68.272600936280355</v>
      </c>
      <c r="Y562" s="9">
        <f t="shared" si="73"/>
        <v>-21437.119761778646</v>
      </c>
      <c r="Z562" s="9">
        <f t="shared" si="73"/>
        <v>-21390.312554458513</v>
      </c>
      <c r="AA562" s="9">
        <f t="shared" si="73"/>
        <v>31453.867049934561</v>
      </c>
      <c r="AB562" s="9">
        <f t="shared" si="70"/>
        <v>7256.6152546422718</v>
      </c>
    </row>
    <row r="563" spans="1:28" x14ac:dyDescent="0.3">
      <c r="A563" s="1">
        <v>45229</v>
      </c>
      <c r="B563" s="2">
        <v>64.680000000000007</v>
      </c>
      <c r="C563" s="2">
        <v>70.69</v>
      </c>
      <c r="D563" s="9">
        <f>B563-B562</f>
        <v>-0.20999999999999375</v>
      </c>
      <c r="E563" s="9">
        <f>C563-C562</f>
        <v>-0.18999999999999773</v>
      </c>
      <c r="F563" s="3">
        <f>F$1/B563</f>
        <v>1546.0729746444031</v>
      </c>
      <c r="G563" s="3">
        <f>F$1/C563</f>
        <v>1414.6272457207526</v>
      </c>
      <c r="H563" s="2">
        <f>D563*F562</f>
        <v>-323.624595469246</v>
      </c>
      <c r="I563" s="2">
        <f>E563*G562</f>
        <v>-268.05869074491778</v>
      </c>
      <c r="J563" s="2">
        <f>I563-H563</f>
        <v>55.56590472432822</v>
      </c>
      <c r="K563" s="2">
        <f t="shared" si="68"/>
        <v>-55.56590472432822</v>
      </c>
      <c r="L563" s="14">
        <f>C563/B563</f>
        <v>1.0929189857761286</v>
      </c>
      <c r="M563" s="14">
        <f t="shared" si="71"/>
        <v>1.0935059285172455</v>
      </c>
      <c r="N563" s="14">
        <f t="shared" si="75"/>
        <v>1.0932861006446284</v>
      </c>
      <c r="O563" s="14">
        <f t="shared" si="67"/>
        <v>1.0918293837682849</v>
      </c>
      <c r="P563" s="14">
        <f t="shared" si="69"/>
        <v>1.0865384626959849</v>
      </c>
      <c r="Q563" s="4" t="str">
        <f t="shared" si="74"/>
        <v>UNDER</v>
      </c>
      <c r="R563" s="4" t="str">
        <f t="shared" si="74"/>
        <v>UNDER</v>
      </c>
      <c r="S563" s="4" t="str">
        <f t="shared" si="72"/>
        <v>OVER</v>
      </c>
      <c r="T563" s="4" t="str">
        <f t="shared" si="72"/>
        <v>OVER</v>
      </c>
      <c r="U563" s="2">
        <f>IF(Q563="OVER",$J563,$K563)</f>
        <v>-55.56590472432822</v>
      </c>
      <c r="V563" s="2">
        <f>IF(R563="OVER",$J563,$K563)</f>
        <v>-55.56590472432822</v>
      </c>
      <c r="W563" s="2">
        <f>IF(S563="OVER",$J563,$K563)</f>
        <v>55.56590472432822</v>
      </c>
      <c r="X563" s="2">
        <f>IF(T563="OVER",$J563,$K563)</f>
        <v>55.56590472432822</v>
      </c>
      <c r="Y563" s="9">
        <f t="shared" si="73"/>
        <v>-21492.685666502974</v>
      </c>
      <c r="Z563" s="9">
        <f t="shared" si="73"/>
        <v>-21445.878459182841</v>
      </c>
      <c r="AA563" s="9">
        <f t="shared" si="73"/>
        <v>31509.432954658889</v>
      </c>
      <c r="AB563" s="9">
        <f t="shared" si="70"/>
        <v>7312.1811593665998</v>
      </c>
    </row>
    <row r="564" spans="1:28" x14ac:dyDescent="0.3">
      <c r="A564" s="1">
        <v>45230</v>
      </c>
      <c r="B564" s="2">
        <v>64.819999999999993</v>
      </c>
      <c r="C564" s="2">
        <v>70.88</v>
      </c>
      <c r="D564" s="9">
        <f>B564-B563</f>
        <v>0.13999999999998636</v>
      </c>
      <c r="E564" s="9">
        <f>C564-C563</f>
        <v>0.18999999999999773</v>
      </c>
      <c r="F564" s="3">
        <f>F$1/B564</f>
        <v>1542.7337241592102</v>
      </c>
      <c r="G564" s="3">
        <f>F$1/C564</f>
        <v>1410.8352144469527</v>
      </c>
      <c r="H564" s="2">
        <f>D564*F563</f>
        <v>216.45021645019534</v>
      </c>
      <c r="I564" s="2">
        <f>E564*G563</f>
        <v>268.77917668693976</v>
      </c>
      <c r="J564" s="2">
        <f>I564-H564</f>
        <v>52.328960236744422</v>
      </c>
      <c r="K564" s="2">
        <f t="shared" si="68"/>
        <v>-52.328960236744422</v>
      </c>
      <c r="L564" s="14">
        <f>C564/B564</f>
        <v>1.0934896636840481</v>
      </c>
      <c r="M564" s="14">
        <f t="shared" si="71"/>
        <v>1.0934826842340586</v>
      </c>
      <c r="N564" s="14">
        <f t="shared" si="75"/>
        <v>1.0931497162215056</v>
      </c>
      <c r="O564" s="14">
        <f t="shared" si="67"/>
        <v>1.0919021768963417</v>
      </c>
      <c r="P564" s="14">
        <f t="shared" si="69"/>
        <v>1.0866413665086647</v>
      </c>
      <c r="Q564" s="4" t="str">
        <f t="shared" si="74"/>
        <v>UNDER</v>
      </c>
      <c r="R564" s="4" t="str">
        <f t="shared" si="74"/>
        <v>UNDER</v>
      </c>
      <c r="S564" s="4" t="str">
        <f t="shared" si="72"/>
        <v>OVER</v>
      </c>
      <c r="T564" s="4" t="str">
        <f t="shared" si="72"/>
        <v>OVER</v>
      </c>
      <c r="U564" s="2">
        <f>IF(Q564="OVER",$J564,$K564)</f>
        <v>-52.328960236744422</v>
      </c>
      <c r="V564" s="2">
        <f>IF(R564="OVER",$J564,$K564)</f>
        <v>-52.328960236744422</v>
      </c>
      <c r="W564" s="2">
        <f>IF(S564="OVER",$J564,$K564)</f>
        <v>52.328960236744422</v>
      </c>
      <c r="X564" s="2">
        <f>IF(T564="OVER",$J564,$K564)</f>
        <v>52.328960236744422</v>
      </c>
      <c r="Y564" s="9">
        <f t="shared" si="73"/>
        <v>-21545.014626739718</v>
      </c>
      <c r="Z564" s="9">
        <f t="shared" si="73"/>
        <v>-21498.207419419585</v>
      </c>
      <c r="AA564" s="9">
        <f t="shared" si="73"/>
        <v>31561.761914895633</v>
      </c>
      <c r="AB564" s="9">
        <f t="shared" si="70"/>
        <v>7364.5101196033438</v>
      </c>
    </row>
    <row r="565" spans="1:28" x14ac:dyDescent="0.3">
      <c r="A565" s="1">
        <v>45231</v>
      </c>
      <c r="B565" s="2">
        <v>64.91</v>
      </c>
      <c r="C565" s="2">
        <v>70.819999999999993</v>
      </c>
      <c r="D565" s="9">
        <f>B565-B564</f>
        <v>9.0000000000003411E-2</v>
      </c>
      <c r="E565" s="9">
        <f>C565-C564</f>
        <v>-6.0000000000002274E-2</v>
      </c>
      <c r="F565" s="3">
        <f>F$1/B565</f>
        <v>1540.5946695424434</v>
      </c>
      <c r="G565" s="3">
        <f>F$1/C565</f>
        <v>1412.0304998587972</v>
      </c>
      <c r="H565" s="2">
        <f>D565*F564</f>
        <v>138.84603517433419</v>
      </c>
      <c r="I565" s="2">
        <f>E565*G564</f>
        <v>-84.650112866820365</v>
      </c>
      <c r="J565" s="2">
        <f>I565-H565</f>
        <v>-223.49614804115456</v>
      </c>
      <c r="K565" s="2">
        <f t="shared" si="68"/>
        <v>223.49614804115456</v>
      </c>
      <c r="L565" s="14">
        <f>C565/B565</f>
        <v>1.0910491449699584</v>
      </c>
      <c r="M565" s="14">
        <f t="shared" si="71"/>
        <v>1.0932280667076555</v>
      </c>
      <c r="N565" s="14">
        <f t="shared" si="75"/>
        <v>1.0928927497004957</v>
      </c>
      <c r="O565" s="14">
        <f t="shared" ref="O565:O628" si="76">AVERAGE(L516:L565)</f>
        <v>1.0917600774634819</v>
      </c>
      <c r="P565" s="14">
        <f t="shared" si="69"/>
        <v>1.086728746597367</v>
      </c>
      <c r="Q565" s="4" t="str">
        <f t="shared" si="74"/>
        <v>OVER</v>
      </c>
      <c r="R565" s="4" t="str">
        <f t="shared" si="74"/>
        <v>OVER</v>
      </c>
      <c r="S565" s="4" t="str">
        <f t="shared" si="72"/>
        <v>UNDER</v>
      </c>
      <c r="T565" s="4" t="str">
        <f t="shared" si="72"/>
        <v>OVER</v>
      </c>
      <c r="U565" s="2">
        <f>IF(Q565="OVER",$J565,$K565)</f>
        <v>-223.49614804115456</v>
      </c>
      <c r="V565" s="2">
        <f>IF(R565="OVER",$J565,$K565)</f>
        <v>-223.49614804115456</v>
      </c>
      <c r="W565" s="2">
        <f>IF(S565="OVER",$J565,$K565)</f>
        <v>223.49614804115456</v>
      </c>
      <c r="X565" s="2">
        <f>IF(T565="OVER",$J565,$K565)</f>
        <v>-223.49614804115456</v>
      </c>
      <c r="Y565" s="9">
        <f t="shared" si="73"/>
        <v>-21768.510774780872</v>
      </c>
      <c r="Z565" s="9">
        <f t="shared" si="73"/>
        <v>-21721.70356746074</v>
      </c>
      <c r="AA565" s="9">
        <f t="shared" si="73"/>
        <v>31785.258062936788</v>
      </c>
      <c r="AB565" s="9">
        <f t="shared" si="70"/>
        <v>7141.013971562189</v>
      </c>
    </row>
    <row r="566" spans="1:28" x14ac:dyDescent="0.3">
      <c r="A566" s="1">
        <v>45232</v>
      </c>
      <c r="B566" s="2">
        <v>65.66</v>
      </c>
      <c r="C566" s="2">
        <v>71.650000000000006</v>
      </c>
      <c r="D566" s="9">
        <f>B566-B565</f>
        <v>0.75</v>
      </c>
      <c r="E566" s="9">
        <f>C566-C565</f>
        <v>0.83000000000001251</v>
      </c>
      <c r="F566" s="3">
        <f>F$1/B566</f>
        <v>1522.9972586049346</v>
      </c>
      <c r="G566" s="3">
        <f>F$1/C566</f>
        <v>1395.6734124214934</v>
      </c>
      <c r="H566" s="2">
        <f>D566*F565</f>
        <v>1155.4460021568325</v>
      </c>
      <c r="I566" s="2">
        <f>E566*G565</f>
        <v>1171.9853148828192</v>
      </c>
      <c r="J566" s="2">
        <f>I566-H566</f>
        <v>16.539312725986747</v>
      </c>
      <c r="K566" s="2">
        <f t="shared" si="68"/>
        <v>-16.539312725986747</v>
      </c>
      <c r="L566" s="14">
        <f>C566/B566</f>
        <v>1.0912275357904357</v>
      </c>
      <c r="M566" s="14">
        <f t="shared" si="71"/>
        <v>1.0928133354015721</v>
      </c>
      <c r="N566" s="14">
        <f t="shared" si="75"/>
        <v>1.0928566848045398</v>
      </c>
      <c r="O566" s="14">
        <f t="shared" si="76"/>
        <v>1.0917149809155369</v>
      </c>
      <c r="P566" s="14">
        <f t="shared" si="69"/>
        <v>1.0868278479018409</v>
      </c>
      <c r="Q566" s="4" t="str">
        <f t="shared" si="74"/>
        <v>UNDER</v>
      </c>
      <c r="R566" s="4" t="str">
        <f t="shared" si="74"/>
        <v>UNDER</v>
      </c>
      <c r="S566" s="4" t="str">
        <f t="shared" si="72"/>
        <v>UNDER</v>
      </c>
      <c r="T566" s="4" t="str">
        <f t="shared" si="72"/>
        <v>OVER</v>
      </c>
      <c r="U566" s="2">
        <f>IF(Q566="OVER",$J566,$K566)</f>
        <v>-16.539312725986747</v>
      </c>
      <c r="V566" s="2">
        <f>IF(R566="OVER",$J566,$K566)</f>
        <v>-16.539312725986747</v>
      </c>
      <c r="W566" s="2">
        <f>IF(S566="OVER",$J566,$K566)</f>
        <v>-16.539312725986747</v>
      </c>
      <c r="X566" s="2">
        <f>IF(T566="OVER",$J566,$K566)</f>
        <v>16.539312725986747</v>
      </c>
      <c r="Y566" s="9">
        <f t="shared" si="73"/>
        <v>-21785.050087506861</v>
      </c>
      <c r="Z566" s="9">
        <f t="shared" si="73"/>
        <v>-21738.242880186728</v>
      </c>
      <c r="AA566" s="9">
        <f t="shared" si="73"/>
        <v>31768.718750210799</v>
      </c>
      <c r="AB566" s="9">
        <f t="shared" si="70"/>
        <v>7157.5532842881757</v>
      </c>
    </row>
    <row r="567" spans="1:28" x14ac:dyDescent="0.3">
      <c r="A567" s="1">
        <v>45233</v>
      </c>
      <c r="B567" s="2">
        <v>66.47</v>
      </c>
      <c r="C567" s="2">
        <v>72.47</v>
      </c>
      <c r="D567" s="9">
        <f>B567-B566</f>
        <v>0.81000000000000227</v>
      </c>
      <c r="E567" s="9">
        <f>C567-C566</f>
        <v>0.81999999999999318</v>
      </c>
      <c r="F567" s="3">
        <f>F$1/B567</f>
        <v>1504.4380923724989</v>
      </c>
      <c r="G567" s="3">
        <f>F$1/C567</f>
        <v>1379.8813302056024</v>
      </c>
      <c r="H567" s="2">
        <f>D567*F566</f>
        <v>1233.6277794700004</v>
      </c>
      <c r="I567" s="2">
        <f>E567*G566</f>
        <v>1144.4521981856151</v>
      </c>
      <c r="J567" s="2">
        <f>I567-H567</f>
        <v>-89.175581284385316</v>
      </c>
      <c r="K567" s="2">
        <f t="shared" si="68"/>
        <v>89.175581284385316</v>
      </c>
      <c r="L567" s="14">
        <f>C567/B567</f>
        <v>1.0902662855423499</v>
      </c>
      <c r="M567" s="14">
        <f t="shared" si="71"/>
        <v>1.0923755695553203</v>
      </c>
      <c r="N567" s="14">
        <f t="shared" si="75"/>
        <v>1.0927783908988888</v>
      </c>
      <c r="O567" s="14">
        <f t="shared" si="76"/>
        <v>1.0917154214428237</v>
      </c>
      <c r="P567" s="14">
        <f t="shared" si="69"/>
        <v>1.0869087534147359</v>
      </c>
      <c r="Q567" s="4" t="str">
        <f t="shared" si="74"/>
        <v>UNDER</v>
      </c>
      <c r="R567" s="4" t="str">
        <f t="shared" si="74"/>
        <v>UNDER</v>
      </c>
      <c r="S567" s="4" t="str">
        <f t="shared" si="72"/>
        <v>UNDER</v>
      </c>
      <c r="T567" s="4" t="str">
        <f t="shared" si="72"/>
        <v>OVER</v>
      </c>
      <c r="U567" s="2">
        <f>IF(Q567="OVER",$J567,$K567)</f>
        <v>89.175581284385316</v>
      </c>
      <c r="V567" s="2">
        <f>IF(R567="OVER",$J567,$K567)</f>
        <v>89.175581284385316</v>
      </c>
      <c r="W567" s="2">
        <f>IF(S567="OVER",$J567,$K567)</f>
        <v>89.175581284385316</v>
      </c>
      <c r="X567" s="2">
        <f>IF(T567="OVER",$J567,$K567)</f>
        <v>-89.175581284385316</v>
      </c>
      <c r="Y567" s="9">
        <f t="shared" si="73"/>
        <v>-21695.874506222477</v>
      </c>
      <c r="Z567" s="9">
        <f t="shared" si="73"/>
        <v>-21649.067298902344</v>
      </c>
      <c r="AA567" s="9">
        <f t="shared" si="73"/>
        <v>31857.894331495183</v>
      </c>
      <c r="AB567" s="9">
        <f t="shared" si="70"/>
        <v>7068.3777030037909</v>
      </c>
    </row>
    <row r="568" spans="1:28" x14ac:dyDescent="0.3">
      <c r="A568" s="1">
        <v>45236</v>
      </c>
      <c r="B568" s="2">
        <v>66.02</v>
      </c>
      <c r="C568" s="2">
        <v>71.930000000000007</v>
      </c>
      <c r="D568" s="9">
        <f>B568-B567</f>
        <v>-0.45000000000000284</v>
      </c>
      <c r="E568" s="9">
        <f>C568-C567</f>
        <v>-0.53999999999999204</v>
      </c>
      <c r="F568" s="3">
        <f>F$1/B568</f>
        <v>1514.6925174189641</v>
      </c>
      <c r="G568" s="3">
        <f>F$1/C568</f>
        <v>1390.2405116085081</v>
      </c>
      <c r="H568" s="2">
        <f>D568*F567</f>
        <v>-676.99714156762877</v>
      </c>
      <c r="I568" s="2">
        <f>E568*G567</f>
        <v>-745.13591831101428</v>
      </c>
      <c r="J568" s="2">
        <f>I568-H568</f>
        <v>-68.138776743385506</v>
      </c>
      <c r="K568" s="2">
        <f t="shared" si="68"/>
        <v>68.138776743385506</v>
      </c>
      <c r="L568" s="14">
        <f>C568/B568</f>
        <v>1.0895183277794609</v>
      </c>
      <c r="M568" s="14">
        <f t="shared" si="71"/>
        <v>1.0917810452231396</v>
      </c>
      <c r="N568" s="14">
        <f t="shared" si="75"/>
        <v>1.0925340798791243</v>
      </c>
      <c r="O568" s="14">
        <f t="shared" si="76"/>
        <v>1.0916945002632519</v>
      </c>
      <c r="P568" s="14">
        <f t="shared" si="69"/>
        <v>1.0869722440135141</v>
      </c>
      <c r="Q568" s="4" t="str">
        <f t="shared" si="74"/>
        <v>UNDER</v>
      </c>
      <c r="R568" s="4" t="str">
        <f t="shared" si="74"/>
        <v>UNDER</v>
      </c>
      <c r="S568" s="4" t="str">
        <f t="shared" si="72"/>
        <v>UNDER</v>
      </c>
      <c r="T568" s="4" t="str">
        <f t="shared" si="72"/>
        <v>OVER</v>
      </c>
      <c r="U568" s="2">
        <f>IF(Q568="OVER",$J568,$K568)</f>
        <v>68.138776743385506</v>
      </c>
      <c r="V568" s="2">
        <f>IF(R568="OVER",$J568,$K568)</f>
        <v>68.138776743385506</v>
      </c>
      <c r="W568" s="2">
        <f>IF(S568="OVER",$J568,$K568)</f>
        <v>68.138776743385506</v>
      </c>
      <c r="X568" s="2">
        <f>IF(T568="OVER",$J568,$K568)</f>
        <v>-68.138776743385506</v>
      </c>
      <c r="Y568" s="9">
        <f t="shared" si="73"/>
        <v>-21627.735729479093</v>
      </c>
      <c r="Z568" s="9">
        <f t="shared" si="73"/>
        <v>-21580.92852215896</v>
      </c>
      <c r="AA568" s="9">
        <f t="shared" si="73"/>
        <v>31926.033108238567</v>
      </c>
      <c r="AB568" s="9">
        <f t="shared" si="70"/>
        <v>7000.2389262604056</v>
      </c>
    </row>
    <row r="569" spans="1:28" x14ac:dyDescent="0.3">
      <c r="A569" s="1">
        <v>45237</v>
      </c>
      <c r="B569" s="2">
        <v>66.22</v>
      </c>
      <c r="C569" s="2">
        <v>72.489999999999995</v>
      </c>
      <c r="D569" s="9">
        <f>B569-B568</f>
        <v>0.20000000000000284</v>
      </c>
      <c r="E569" s="9">
        <f>C569-C568</f>
        <v>0.55999999999998806</v>
      </c>
      <c r="F569" s="3">
        <f>F$1/B569</f>
        <v>1510.1177891875566</v>
      </c>
      <c r="G569" s="3">
        <f>F$1/C569</f>
        <v>1379.5006207752795</v>
      </c>
      <c r="H569" s="2">
        <f>D569*F568</f>
        <v>302.93850348379715</v>
      </c>
      <c r="I569" s="2">
        <f>E569*G568</f>
        <v>778.53468650074797</v>
      </c>
      <c r="J569" s="2">
        <f>I569-H569</f>
        <v>475.59618301695082</v>
      </c>
      <c r="K569" s="2">
        <f t="shared" si="68"/>
        <v>-475.59618301695082</v>
      </c>
      <c r="L569" s="14">
        <f>C569/B569</f>
        <v>1.0946843853820598</v>
      </c>
      <c r="M569" s="14">
        <f t="shared" si="71"/>
        <v>1.0918987159340685</v>
      </c>
      <c r="N569" s="14">
        <f t="shared" si="75"/>
        <v>1.0927120510033774</v>
      </c>
      <c r="O569" s="14">
        <f t="shared" si="76"/>
        <v>1.0917985764475406</v>
      </c>
      <c r="P569" s="14">
        <f t="shared" si="69"/>
        <v>1.0870722127878023</v>
      </c>
      <c r="Q569" s="4" t="str">
        <f t="shared" si="74"/>
        <v>UNDER</v>
      </c>
      <c r="R569" s="4" t="str">
        <f t="shared" si="74"/>
        <v>UNDER</v>
      </c>
      <c r="S569" s="4" t="str">
        <f t="shared" si="72"/>
        <v>OVER</v>
      </c>
      <c r="T569" s="4" t="str">
        <f t="shared" si="72"/>
        <v>OVER</v>
      </c>
      <c r="U569" s="2">
        <f>IF(Q569="OVER",$J569,$K569)</f>
        <v>-475.59618301695082</v>
      </c>
      <c r="V569" s="2">
        <f>IF(R569="OVER",$J569,$K569)</f>
        <v>-475.59618301695082</v>
      </c>
      <c r="W569" s="2">
        <f>IF(S569="OVER",$J569,$K569)</f>
        <v>475.59618301695082</v>
      </c>
      <c r="X569" s="2">
        <f>IF(T569="OVER",$J569,$K569)</f>
        <v>475.59618301695082</v>
      </c>
      <c r="Y569" s="9">
        <f t="shared" si="73"/>
        <v>-22103.331912496044</v>
      </c>
      <c r="Z569" s="9">
        <f t="shared" si="73"/>
        <v>-22056.524705175911</v>
      </c>
      <c r="AA569" s="9">
        <f t="shared" si="73"/>
        <v>32401.629291255518</v>
      </c>
      <c r="AB569" s="9">
        <f t="shared" si="70"/>
        <v>7475.8351092773564</v>
      </c>
    </row>
    <row r="570" spans="1:28" x14ac:dyDescent="0.3">
      <c r="A570" s="1">
        <v>45238</v>
      </c>
      <c r="B570" s="2">
        <v>66.17</v>
      </c>
      <c r="C570" s="2">
        <v>72.22</v>
      </c>
      <c r="D570" s="9">
        <f>B570-B569</f>
        <v>-4.9999999999997158E-2</v>
      </c>
      <c r="E570" s="9">
        <f>C570-C569</f>
        <v>-0.26999999999999602</v>
      </c>
      <c r="F570" s="3">
        <f>F$1/B570</f>
        <v>1511.2588786459121</v>
      </c>
      <c r="G570" s="3">
        <f>F$1/C570</f>
        <v>1384.6579894765994</v>
      </c>
      <c r="H570" s="2">
        <f>D570*F569</f>
        <v>-75.505889459373535</v>
      </c>
      <c r="I570" s="2">
        <f>E570*G569</f>
        <v>-372.46516760931996</v>
      </c>
      <c r="J570" s="2">
        <f>I570-H570</f>
        <v>-296.95927814994644</v>
      </c>
      <c r="K570" s="2">
        <f t="shared" si="68"/>
        <v>296.95927814994644</v>
      </c>
      <c r="L570" s="14">
        <f>C570/B570</f>
        <v>1.0914311621580777</v>
      </c>
      <c r="M570" s="14">
        <f t="shared" si="71"/>
        <v>1.0919954522325335</v>
      </c>
      <c r="N570" s="14">
        <f t="shared" si="75"/>
        <v>1.0926822457443577</v>
      </c>
      <c r="O570" s="14">
        <f t="shared" si="76"/>
        <v>1.0918785342744564</v>
      </c>
      <c r="P570" s="14">
        <f t="shared" si="69"/>
        <v>1.0871496870887136</v>
      </c>
      <c r="Q570" s="4" t="str">
        <f t="shared" si="74"/>
        <v>OVER</v>
      </c>
      <c r="R570" s="4" t="str">
        <f t="shared" si="74"/>
        <v>OVER</v>
      </c>
      <c r="S570" s="4" t="str">
        <f t="shared" si="72"/>
        <v>UNDER</v>
      </c>
      <c r="T570" s="4" t="str">
        <f t="shared" si="72"/>
        <v>OVER</v>
      </c>
      <c r="U570" s="2">
        <f>IF(Q570="OVER",$J570,$K570)</f>
        <v>-296.95927814994644</v>
      </c>
      <c r="V570" s="2">
        <f>IF(R570="OVER",$J570,$K570)</f>
        <v>-296.95927814994644</v>
      </c>
      <c r="W570" s="2">
        <f>IF(S570="OVER",$J570,$K570)</f>
        <v>296.95927814994644</v>
      </c>
      <c r="X570" s="2">
        <f>IF(T570="OVER",$J570,$K570)</f>
        <v>-296.95927814994644</v>
      </c>
      <c r="Y570" s="9">
        <f t="shared" si="73"/>
        <v>-22400.291190645989</v>
      </c>
      <c r="Z570" s="9">
        <f t="shared" si="73"/>
        <v>-22353.483983325856</v>
      </c>
      <c r="AA570" s="9">
        <f t="shared" si="73"/>
        <v>32698.588569405463</v>
      </c>
      <c r="AB570" s="9">
        <f t="shared" si="70"/>
        <v>7178.8758311274096</v>
      </c>
    </row>
    <row r="571" spans="1:28" x14ac:dyDescent="0.3">
      <c r="A571" s="1">
        <v>45239</v>
      </c>
      <c r="B571" s="2">
        <v>65.64</v>
      </c>
      <c r="C571" s="2">
        <v>71.63</v>
      </c>
      <c r="D571" s="9">
        <f>B571-B570</f>
        <v>-0.53000000000000114</v>
      </c>
      <c r="E571" s="9">
        <f>C571-C570</f>
        <v>-0.59000000000000341</v>
      </c>
      <c r="F571" s="3">
        <f>F$1/B571</f>
        <v>1523.4613040828763</v>
      </c>
      <c r="G571" s="3">
        <f>F$1/C571</f>
        <v>1396.0631020522128</v>
      </c>
      <c r="H571" s="2">
        <f>D571*F570</f>
        <v>-800.96720568233513</v>
      </c>
      <c r="I571" s="2">
        <f>E571*G570</f>
        <v>-816.94821379119833</v>
      </c>
      <c r="J571" s="2">
        <f>I571-H571</f>
        <v>-15.981008108863193</v>
      </c>
      <c r="K571" s="2">
        <f t="shared" si="68"/>
        <v>15.981008108863193</v>
      </c>
      <c r="L571" s="14">
        <f>C571/B571</f>
        <v>1.0912553321145642</v>
      </c>
      <c r="M571" s="14">
        <f t="shared" si="71"/>
        <v>1.0918150886380933</v>
      </c>
      <c r="N571" s="14">
        <f t="shared" si="75"/>
        <v>1.092576854259109</v>
      </c>
      <c r="O571" s="14">
        <f t="shared" si="76"/>
        <v>1.0919256716506265</v>
      </c>
      <c r="P571" s="14">
        <f t="shared" si="69"/>
        <v>1.0872219164819306</v>
      </c>
      <c r="Q571" s="4" t="str">
        <f t="shared" si="74"/>
        <v>UNDER</v>
      </c>
      <c r="R571" s="4" t="str">
        <f t="shared" si="74"/>
        <v>UNDER</v>
      </c>
      <c r="S571" s="4" t="str">
        <f t="shared" si="72"/>
        <v>UNDER</v>
      </c>
      <c r="T571" s="4" t="str">
        <f t="shared" si="72"/>
        <v>OVER</v>
      </c>
      <c r="U571" s="2">
        <f>IF(Q571="OVER",$J571,$K571)</f>
        <v>15.981008108863193</v>
      </c>
      <c r="V571" s="2">
        <f>IF(R571="OVER",$J571,$K571)</f>
        <v>15.981008108863193</v>
      </c>
      <c r="W571" s="2">
        <f>IF(S571="OVER",$J571,$K571)</f>
        <v>15.981008108863193</v>
      </c>
      <c r="X571" s="2">
        <f>IF(T571="OVER",$J571,$K571)</f>
        <v>-15.981008108863193</v>
      </c>
      <c r="Y571" s="9">
        <f t="shared" si="73"/>
        <v>-22384.310182537127</v>
      </c>
      <c r="Z571" s="9">
        <f t="shared" si="73"/>
        <v>-22337.502975216994</v>
      </c>
      <c r="AA571" s="9">
        <f t="shared" si="73"/>
        <v>32714.569577514325</v>
      </c>
      <c r="AB571" s="9">
        <f t="shared" si="70"/>
        <v>7162.894823018546</v>
      </c>
    </row>
    <row r="572" spans="1:28" x14ac:dyDescent="0.3">
      <c r="A572" s="1">
        <v>45240</v>
      </c>
      <c r="B572" s="2">
        <v>65.89</v>
      </c>
      <c r="C572" s="2">
        <v>71.91</v>
      </c>
      <c r="D572" s="9">
        <f>B572-B571</f>
        <v>0.25</v>
      </c>
      <c r="E572" s="9">
        <f>C572-C571</f>
        <v>0.28000000000000114</v>
      </c>
      <c r="F572" s="3">
        <f>F$1/B572</f>
        <v>1517.6809834572773</v>
      </c>
      <c r="G572" s="3">
        <f>F$1/C572</f>
        <v>1390.6271728549577</v>
      </c>
      <c r="H572" s="2">
        <f>D572*F571</f>
        <v>380.86532602071907</v>
      </c>
      <c r="I572" s="2">
        <f>E572*G571</f>
        <v>390.89766857462115</v>
      </c>
      <c r="J572" s="2">
        <f>I572-H572</f>
        <v>10.032342553902083</v>
      </c>
      <c r="K572" s="2">
        <f t="shared" si="68"/>
        <v>-10.032342553902083</v>
      </c>
      <c r="L572" s="14">
        <f>C572/B572</f>
        <v>1.0913643952041281</v>
      </c>
      <c r="M572" s="14">
        <f t="shared" si="71"/>
        <v>1.0917205218401209</v>
      </c>
      <c r="N572" s="14">
        <f t="shared" si="75"/>
        <v>1.0925581240043498</v>
      </c>
      <c r="O572" s="14">
        <f t="shared" si="76"/>
        <v>1.0920017414406364</v>
      </c>
      <c r="P572" s="14">
        <f t="shared" si="69"/>
        <v>1.0872906677657568</v>
      </c>
      <c r="Q572" s="4" t="str">
        <f t="shared" si="74"/>
        <v>UNDER</v>
      </c>
      <c r="R572" s="4" t="str">
        <f t="shared" si="74"/>
        <v>UNDER</v>
      </c>
      <c r="S572" s="4" t="str">
        <f t="shared" si="72"/>
        <v>UNDER</v>
      </c>
      <c r="T572" s="4" t="str">
        <f t="shared" si="72"/>
        <v>OVER</v>
      </c>
      <c r="U572" s="2">
        <f>IF(Q572="OVER",$J572,$K572)</f>
        <v>-10.032342553902083</v>
      </c>
      <c r="V572" s="2">
        <f>IF(R572="OVER",$J572,$K572)</f>
        <v>-10.032342553902083</v>
      </c>
      <c r="W572" s="2">
        <f>IF(S572="OVER",$J572,$K572)</f>
        <v>-10.032342553902083</v>
      </c>
      <c r="X572" s="2">
        <f>IF(T572="OVER",$J572,$K572)</f>
        <v>10.032342553902083</v>
      </c>
      <c r="Y572" s="9">
        <f t="shared" si="73"/>
        <v>-22394.34252509103</v>
      </c>
      <c r="Z572" s="9">
        <f t="shared" si="73"/>
        <v>-22347.535317770897</v>
      </c>
      <c r="AA572" s="9">
        <f t="shared" si="73"/>
        <v>32704.537234960422</v>
      </c>
      <c r="AB572" s="9">
        <f t="shared" si="70"/>
        <v>7172.9271655724478</v>
      </c>
    </row>
    <row r="573" spans="1:28" x14ac:dyDescent="0.3">
      <c r="A573" s="1">
        <v>45243</v>
      </c>
      <c r="B573" s="2">
        <v>66.05</v>
      </c>
      <c r="C573" s="2">
        <v>72.05</v>
      </c>
      <c r="D573" s="9">
        <f>B573-B572</f>
        <v>0.15999999999999659</v>
      </c>
      <c r="E573" s="9">
        <f>C573-C572</f>
        <v>0.14000000000000057</v>
      </c>
      <c r="F573" s="3">
        <f>F$1/B573</f>
        <v>1514.0045420136262</v>
      </c>
      <c r="G573" s="3">
        <f>F$1/C573</f>
        <v>1387.9250520471894</v>
      </c>
      <c r="H573" s="2">
        <f>D573*F572</f>
        <v>242.82895735315918</v>
      </c>
      <c r="I573" s="2">
        <f>E573*G572</f>
        <v>194.68780419969488</v>
      </c>
      <c r="J573" s="2">
        <f>I573-H573</f>
        <v>-48.141153153464302</v>
      </c>
      <c r="K573" s="2">
        <f t="shared" si="68"/>
        <v>48.141153153464302</v>
      </c>
      <c r="L573" s="14">
        <f>C573/B573</f>
        <v>1.0908402725208175</v>
      </c>
      <c r="M573" s="14">
        <f t="shared" si="71"/>
        <v>1.09151265051459</v>
      </c>
      <c r="N573" s="14">
        <f t="shared" si="75"/>
        <v>1.0925092895159179</v>
      </c>
      <c r="O573" s="14">
        <f t="shared" si="76"/>
        <v>1.0920136688422724</v>
      </c>
      <c r="P573" s="14">
        <f t="shared" si="69"/>
        <v>1.0873613796670025</v>
      </c>
      <c r="Q573" s="4" t="str">
        <f t="shared" si="74"/>
        <v>UNDER</v>
      </c>
      <c r="R573" s="4" t="str">
        <f t="shared" si="74"/>
        <v>UNDER</v>
      </c>
      <c r="S573" s="4" t="str">
        <f t="shared" si="72"/>
        <v>UNDER</v>
      </c>
      <c r="T573" s="4" t="str">
        <f t="shared" si="72"/>
        <v>OVER</v>
      </c>
      <c r="U573" s="2">
        <f>IF(Q573="OVER",$J573,$K573)</f>
        <v>48.141153153464302</v>
      </c>
      <c r="V573" s="2">
        <f>IF(R573="OVER",$J573,$K573)</f>
        <v>48.141153153464302</v>
      </c>
      <c r="W573" s="2">
        <f>IF(S573="OVER",$J573,$K573)</f>
        <v>48.141153153464302</v>
      </c>
      <c r="X573" s="2">
        <f>IF(T573="OVER",$J573,$K573)</f>
        <v>-48.141153153464302</v>
      </c>
      <c r="Y573" s="9">
        <f t="shared" si="73"/>
        <v>-22346.201371937565</v>
      </c>
      <c r="Z573" s="9">
        <f t="shared" si="73"/>
        <v>-22299.394164617432</v>
      </c>
      <c r="AA573" s="9">
        <f t="shared" si="73"/>
        <v>32752.678388113887</v>
      </c>
      <c r="AB573" s="9">
        <f t="shared" si="70"/>
        <v>7124.7860124189838</v>
      </c>
    </row>
    <row r="574" spans="1:28" x14ac:dyDescent="0.3">
      <c r="A574" s="1">
        <v>45244</v>
      </c>
      <c r="B574" s="2">
        <v>67.09</v>
      </c>
      <c r="C574" s="2">
        <v>73.099999999999994</v>
      </c>
      <c r="D574" s="9">
        <f>B574-B573</f>
        <v>1.0400000000000063</v>
      </c>
      <c r="E574" s="9">
        <f>C574-C573</f>
        <v>1.0499999999999972</v>
      </c>
      <c r="F574" s="3">
        <f>F$1/B574</f>
        <v>1490.5351021016545</v>
      </c>
      <c r="G574" s="3">
        <f>F$1/C574</f>
        <v>1367.9890560875515</v>
      </c>
      <c r="H574" s="2">
        <f>D574*F573</f>
        <v>1574.5647236941807</v>
      </c>
      <c r="I574" s="2">
        <f>E574*G573</f>
        <v>1457.321304649545</v>
      </c>
      <c r="J574" s="2">
        <f>I574-H574</f>
        <v>-117.24341904463563</v>
      </c>
      <c r="K574" s="2">
        <f t="shared" si="68"/>
        <v>117.24341904463563</v>
      </c>
      <c r="L574" s="14">
        <f>C574/B574</f>
        <v>1.0895811596363092</v>
      </c>
      <c r="M574" s="14">
        <f t="shared" si="71"/>
        <v>1.0911218001098157</v>
      </c>
      <c r="N574" s="14">
        <f t="shared" si="75"/>
        <v>1.0923022421719373</v>
      </c>
      <c r="O574" s="14">
        <f t="shared" si="76"/>
        <v>1.0920422779423899</v>
      </c>
      <c r="P574" s="14">
        <f t="shared" si="69"/>
        <v>1.0874141800545987</v>
      </c>
      <c r="Q574" s="4" t="str">
        <f t="shared" si="74"/>
        <v>UNDER</v>
      </c>
      <c r="R574" s="4" t="str">
        <f t="shared" si="74"/>
        <v>UNDER</v>
      </c>
      <c r="S574" s="4" t="str">
        <f t="shared" si="72"/>
        <v>UNDER</v>
      </c>
      <c r="T574" s="4" t="str">
        <f t="shared" si="72"/>
        <v>OVER</v>
      </c>
      <c r="U574" s="2">
        <f>IF(Q574="OVER",$J574,$K574)</f>
        <v>117.24341904463563</v>
      </c>
      <c r="V574" s="2">
        <f>IF(R574="OVER",$J574,$K574)</f>
        <v>117.24341904463563</v>
      </c>
      <c r="W574" s="2">
        <f>IF(S574="OVER",$J574,$K574)</f>
        <v>117.24341904463563</v>
      </c>
      <c r="X574" s="2">
        <f>IF(T574="OVER",$J574,$K574)</f>
        <v>-117.24341904463563</v>
      </c>
      <c r="Y574" s="9">
        <f t="shared" si="73"/>
        <v>-22228.957952892928</v>
      </c>
      <c r="Z574" s="9">
        <f t="shared" si="73"/>
        <v>-22182.150745572795</v>
      </c>
      <c r="AA574" s="9">
        <f t="shared" si="73"/>
        <v>32869.92180715852</v>
      </c>
      <c r="AB574" s="9">
        <f t="shared" si="70"/>
        <v>7007.5425933743481</v>
      </c>
    </row>
    <row r="575" spans="1:28" x14ac:dyDescent="0.3">
      <c r="A575" s="1">
        <v>45245</v>
      </c>
      <c r="B575" s="2">
        <v>67.319999999999993</v>
      </c>
      <c r="C575" s="2">
        <v>73.459999999999994</v>
      </c>
      <c r="D575" s="9">
        <f>B575-B574</f>
        <v>0.22999999999998977</v>
      </c>
      <c r="E575" s="9">
        <f>C575-C574</f>
        <v>0.35999999999999943</v>
      </c>
      <c r="F575" s="3">
        <f>F$1/B575</f>
        <v>1485.4426619132503</v>
      </c>
      <c r="G575" s="3">
        <f>F$1/C575</f>
        <v>1361.2850530901171</v>
      </c>
      <c r="H575" s="2">
        <f>D575*F574</f>
        <v>342.82307348336531</v>
      </c>
      <c r="I575" s="2">
        <f>E575*G574</f>
        <v>492.47606019151777</v>
      </c>
      <c r="J575" s="2">
        <f>I575-H575</f>
        <v>149.65298670815247</v>
      </c>
      <c r="K575" s="2">
        <f t="shared" si="68"/>
        <v>-149.65298670815247</v>
      </c>
      <c r="L575" s="14">
        <f>C575/B575</f>
        <v>1.0912061794414736</v>
      </c>
      <c r="M575" s="14">
        <f t="shared" si="71"/>
        <v>1.0911375035569673</v>
      </c>
      <c r="N575" s="14">
        <f t="shared" si="75"/>
        <v>1.0921827851323118</v>
      </c>
      <c r="O575" s="14">
        <f t="shared" si="76"/>
        <v>1.0920589642294032</v>
      </c>
      <c r="P575" s="14">
        <f t="shared" si="69"/>
        <v>1.0874670442607053</v>
      </c>
      <c r="Q575" s="4" t="str">
        <f t="shared" si="74"/>
        <v>UNDER</v>
      </c>
      <c r="R575" s="4" t="str">
        <f t="shared" si="74"/>
        <v>UNDER</v>
      </c>
      <c r="S575" s="4" t="str">
        <f t="shared" si="72"/>
        <v>UNDER</v>
      </c>
      <c r="T575" s="4" t="str">
        <f t="shared" si="72"/>
        <v>OVER</v>
      </c>
      <c r="U575" s="2">
        <f>IF(Q575="OVER",$J575,$K575)</f>
        <v>-149.65298670815247</v>
      </c>
      <c r="V575" s="2">
        <f>IF(R575="OVER",$J575,$K575)</f>
        <v>-149.65298670815247</v>
      </c>
      <c r="W575" s="2">
        <f>IF(S575="OVER",$J575,$K575)</f>
        <v>-149.65298670815247</v>
      </c>
      <c r="X575" s="2">
        <f>IF(T575="OVER",$J575,$K575)</f>
        <v>149.65298670815247</v>
      </c>
      <c r="Y575" s="9">
        <f t="shared" si="73"/>
        <v>-22378.61093960108</v>
      </c>
      <c r="Z575" s="9">
        <f t="shared" si="73"/>
        <v>-22331.803732280947</v>
      </c>
      <c r="AA575" s="9">
        <f t="shared" si="73"/>
        <v>32720.268820450368</v>
      </c>
      <c r="AB575" s="9">
        <f t="shared" si="70"/>
        <v>7157.1955800825008</v>
      </c>
    </row>
    <row r="576" spans="1:28" x14ac:dyDescent="0.3">
      <c r="A576" s="1">
        <v>45246</v>
      </c>
      <c r="B576" s="2">
        <v>67.06</v>
      </c>
      <c r="C576" s="2">
        <v>73.14</v>
      </c>
      <c r="D576" s="9">
        <f>B576-B575</f>
        <v>-0.25999999999999091</v>
      </c>
      <c r="E576" s="9">
        <f>C576-C575</f>
        <v>-0.31999999999999318</v>
      </c>
      <c r="F576" s="3">
        <f>F$1/B576</f>
        <v>1491.2019087384431</v>
      </c>
      <c r="G576" s="3">
        <f>F$1/C576</f>
        <v>1367.2409078479627</v>
      </c>
      <c r="H576" s="2">
        <f>D576*F575</f>
        <v>-386.21509209743158</v>
      </c>
      <c r="I576" s="2">
        <f>E576*G575</f>
        <v>-435.61121698882818</v>
      </c>
      <c r="J576" s="2">
        <f>I576-H576</f>
        <v>-49.396124891396596</v>
      </c>
      <c r="K576" s="2">
        <f t="shared" si="68"/>
        <v>49.396124891396596</v>
      </c>
      <c r="L576" s="14">
        <f>C576/B576</f>
        <v>1.0906650760512973</v>
      </c>
      <c r="M576" s="14">
        <f t="shared" si="71"/>
        <v>1.0910812575830537</v>
      </c>
      <c r="N576" s="14">
        <f t="shared" si="75"/>
        <v>1.0919472964923131</v>
      </c>
      <c r="O576" s="14">
        <f t="shared" si="76"/>
        <v>1.0920561904426811</v>
      </c>
      <c r="P576" s="14">
        <f t="shared" si="69"/>
        <v>1.0875228161241421</v>
      </c>
      <c r="Q576" s="4" t="str">
        <f t="shared" si="74"/>
        <v>OVER</v>
      </c>
      <c r="R576" s="4" t="str">
        <f t="shared" si="74"/>
        <v>UNDER</v>
      </c>
      <c r="S576" s="4" t="str">
        <f t="shared" si="72"/>
        <v>UNDER</v>
      </c>
      <c r="T576" s="4" t="str">
        <f t="shared" si="72"/>
        <v>OVER</v>
      </c>
      <c r="U576" s="2">
        <f>IF(Q576="OVER",$J576,$K576)</f>
        <v>-49.396124891396596</v>
      </c>
      <c r="V576" s="2">
        <f>IF(R576="OVER",$J576,$K576)</f>
        <v>49.396124891396596</v>
      </c>
      <c r="W576" s="2">
        <f>IF(S576="OVER",$J576,$K576)</f>
        <v>49.396124891396596</v>
      </c>
      <c r="X576" s="2">
        <f>IF(T576="OVER",$J576,$K576)</f>
        <v>-49.396124891396596</v>
      </c>
      <c r="Y576" s="9">
        <f t="shared" si="73"/>
        <v>-22428.007064492478</v>
      </c>
      <c r="Z576" s="9">
        <f t="shared" si="73"/>
        <v>-22282.407607389549</v>
      </c>
      <c r="AA576" s="9">
        <f t="shared" si="73"/>
        <v>32769.664945341763</v>
      </c>
      <c r="AB576" s="9">
        <f t="shared" si="70"/>
        <v>7107.7994551911042</v>
      </c>
    </row>
    <row r="577" spans="1:28" x14ac:dyDescent="0.3">
      <c r="A577" s="1">
        <v>45247</v>
      </c>
      <c r="B577" s="2">
        <v>67.34</v>
      </c>
      <c r="C577" s="2">
        <v>73.39</v>
      </c>
      <c r="D577" s="9">
        <f>B577-B576</f>
        <v>0.28000000000000114</v>
      </c>
      <c r="E577" s="9">
        <f>C577-C576</f>
        <v>0.25</v>
      </c>
      <c r="F577" s="3">
        <f>F$1/B577</f>
        <v>1485.001485001485</v>
      </c>
      <c r="G577" s="3">
        <f>F$1/C577</f>
        <v>1362.583458236817</v>
      </c>
      <c r="H577" s="2">
        <f>D577*F576</f>
        <v>417.53653444676576</v>
      </c>
      <c r="I577" s="2">
        <f>E577*G576</f>
        <v>341.81022696199068</v>
      </c>
      <c r="J577" s="2">
        <f>I577-H577</f>
        <v>-75.726307484775077</v>
      </c>
      <c r="K577" s="2">
        <f t="shared" si="68"/>
        <v>75.726307484775077</v>
      </c>
      <c r="L577" s="14">
        <f>C577/B577</f>
        <v>1.0898425898425899</v>
      </c>
      <c r="M577" s="14">
        <f t="shared" si="71"/>
        <v>1.0910388880130779</v>
      </c>
      <c r="N577" s="14">
        <f t="shared" si="75"/>
        <v>1.0917072287841991</v>
      </c>
      <c r="O577" s="14">
        <f t="shared" si="76"/>
        <v>1.0920424976277137</v>
      </c>
      <c r="P577" s="14">
        <f t="shared" si="69"/>
        <v>1.087571540146119</v>
      </c>
      <c r="Q577" s="4" t="str">
        <f t="shared" si="74"/>
        <v>UNDER</v>
      </c>
      <c r="R577" s="4" t="str">
        <f t="shared" si="74"/>
        <v>UNDER</v>
      </c>
      <c r="S577" s="4" t="str">
        <f t="shared" si="72"/>
        <v>UNDER</v>
      </c>
      <c r="T577" s="4" t="str">
        <f t="shared" si="72"/>
        <v>OVER</v>
      </c>
      <c r="U577" s="2">
        <f>IF(Q577="OVER",$J577,$K577)</f>
        <v>75.726307484775077</v>
      </c>
      <c r="V577" s="2">
        <f>IF(R577="OVER",$J577,$K577)</f>
        <v>75.726307484775077</v>
      </c>
      <c r="W577" s="2">
        <f>IF(S577="OVER",$J577,$K577)</f>
        <v>75.726307484775077</v>
      </c>
      <c r="X577" s="2">
        <f>IF(T577="OVER",$J577,$K577)</f>
        <v>-75.726307484775077</v>
      </c>
      <c r="Y577" s="9">
        <f t="shared" si="73"/>
        <v>-22352.280757007702</v>
      </c>
      <c r="Z577" s="9">
        <f t="shared" si="73"/>
        <v>-22206.681299904772</v>
      </c>
      <c r="AA577" s="9">
        <f t="shared" si="73"/>
        <v>32845.391252826535</v>
      </c>
      <c r="AB577" s="9">
        <f t="shared" si="70"/>
        <v>7032.0731477063291</v>
      </c>
    </row>
    <row r="578" spans="1:28" x14ac:dyDescent="0.3">
      <c r="A578" s="1">
        <v>45250</v>
      </c>
      <c r="B578" s="2">
        <v>67.709999999999994</v>
      </c>
      <c r="C578" s="2">
        <v>73.760000000000005</v>
      </c>
      <c r="D578" s="9">
        <f>B578-B577</f>
        <v>0.36999999999999034</v>
      </c>
      <c r="E578" s="9">
        <f>C578-C577</f>
        <v>0.37000000000000455</v>
      </c>
      <c r="F578" s="3">
        <f>F$1/B578</f>
        <v>1476.8867227883622</v>
      </c>
      <c r="G578" s="3">
        <f>F$1/C578</f>
        <v>1355.7483731019522</v>
      </c>
      <c r="H578" s="2">
        <f>D578*F577</f>
        <v>549.45054945053505</v>
      </c>
      <c r="I578" s="2">
        <f>E578*G577</f>
        <v>504.1558795476285</v>
      </c>
      <c r="J578" s="2">
        <f>I578-H578</f>
        <v>-45.294669902906548</v>
      </c>
      <c r="K578" s="2">
        <f t="shared" si="68"/>
        <v>45.294669902906548</v>
      </c>
      <c r="L578" s="14">
        <f>C578/B578</f>
        <v>1.0893516467286961</v>
      </c>
      <c r="M578" s="14">
        <f t="shared" si="71"/>
        <v>1.0910222199080013</v>
      </c>
      <c r="N578" s="14">
        <f t="shared" si="75"/>
        <v>1.0914016325655704</v>
      </c>
      <c r="O578" s="14">
        <f t="shared" si="76"/>
        <v>1.0920244764106628</v>
      </c>
      <c r="P578" s="14">
        <f t="shared" si="69"/>
        <v>1.0876260563765781</v>
      </c>
      <c r="Q578" s="4" t="str">
        <f t="shared" si="74"/>
        <v>UNDER</v>
      </c>
      <c r="R578" s="4" t="str">
        <f t="shared" si="74"/>
        <v>UNDER</v>
      </c>
      <c r="S578" s="4" t="str">
        <f t="shared" si="72"/>
        <v>UNDER</v>
      </c>
      <c r="T578" s="4" t="str">
        <f t="shared" si="72"/>
        <v>OVER</v>
      </c>
      <c r="U578" s="2">
        <f>IF(Q578="OVER",$J578,$K578)</f>
        <v>45.294669902906548</v>
      </c>
      <c r="V578" s="2">
        <f>IF(R578="OVER",$J578,$K578)</f>
        <v>45.294669902906548</v>
      </c>
      <c r="W578" s="2">
        <f>IF(S578="OVER",$J578,$K578)</f>
        <v>45.294669902906548</v>
      </c>
      <c r="X578" s="2">
        <f>IF(T578="OVER",$J578,$K578)</f>
        <v>-45.294669902906548</v>
      </c>
      <c r="Y578" s="9">
        <f t="shared" si="73"/>
        <v>-22306.986087104797</v>
      </c>
      <c r="Z578" s="9">
        <f t="shared" si="73"/>
        <v>-22161.386630001867</v>
      </c>
      <c r="AA578" s="9">
        <f t="shared" si="73"/>
        <v>32890.685922729441</v>
      </c>
      <c r="AB578" s="9">
        <f t="shared" si="70"/>
        <v>6986.7784778034229</v>
      </c>
    </row>
    <row r="579" spans="1:28" x14ac:dyDescent="0.3">
      <c r="A579" s="1">
        <v>45251</v>
      </c>
      <c r="B579" s="2">
        <v>67.430000000000007</v>
      </c>
      <c r="C579" s="2">
        <v>73.47</v>
      </c>
      <c r="D579" s="9">
        <f>B579-B578</f>
        <v>-0.27999999999998693</v>
      </c>
      <c r="E579" s="9">
        <f>C579-C578</f>
        <v>-0.29000000000000625</v>
      </c>
      <c r="F579" s="3">
        <f>F$1/B579</f>
        <v>1483.0194275545009</v>
      </c>
      <c r="G579" s="3">
        <f>F$1/C579</f>
        <v>1361.0997686130393</v>
      </c>
      <c r="H579" s="2">
        <f>D579*F578</f>
        <v>-413.52828238072215</v>
      </c>
      <c r="I579" s="2">
        <f>E579*G578</f>
        <v>-393.16702819957464</v>
      </c>
      <c r="J579" s="2">
        <f>I579-H579</f>
        <v>20.361254181147501</v>
      </c>
      <c r="K579" s="2">
        <f t="shared" si="68"/>
        <v>-20.361254181147501</v>
      </c>
      <c r="L579" s="14">
        <f>C579/B579</f>
        <v>1.0895743734242918</v>
      </c>
      <c r="M579" s="14">
        <f t="shared" si="71"/>
        <v>1.0905112187122243</v>
      </c>
      <c r="N579" s="14">
        <f t="shared" si="75"/>
        <v>1.0912049673231465</v>
      </c>
      <c r="O579" s="14">
        <f t="shared" si="76"/>
        <v>1.0919909458025037</v>
      </c>
      <c r="P579" s="14">
        <f t="shared" si="69"/>
        <v>1.0876545875202455</v>
      </c>
      <c r="Q579" s="4" t="str">
        <f t="shared" si="74"/>
        <v>UNDER</v>
      </c>
      <c r="R579" s="4" t="str">
        <f t="shared" si="74"/>
        <v>UNDER</v>
      </c>
      <c r="S579" s="4" t="str">
        <f t="shared" si="72"/>
        <v>UNDER</v>
      </c>
      <c r="T579" s="4" t="str">
        <f t="shared" si="72"/>
        <v>OVER</v>
      </c>
      <c r="U579" s="2">
        <f>IF(Q579="OVER",$J579,$K579)</f>
        <v>-20.361254181147501</v>
      </c>
      <c r="V579" s="2">
        <f>IF(R579="OVER",$J579,$K579)</f>
        <v>-20.361254181147501</v>
      </c>
      <c r="W579" s="2">
        <f>IF(S579="OVER",$J579,$K579)</f>
        <v>-20.361254181147501</v>
      </c>
      <c r="X579" s="2">
        <f>IF(T579="OVER",$J579,$K579)</f>
        <v>20.361254181147501</v>
      </c>
      <c r="Y579" s="9">
        <f t="shared" si="73"/>
        <v>-22327.347341285946</v>
      </c>
      <c r="Z579" s="9">
        <f t="shared" si="73"/>
        <v>-22181.747884183016</v>
      </c>
      <c r="AA579" s="9">
        <f t="shared" si="73"/>
        <v>32870.324668548295</v>
      </c>
      <c r="AB579" s="9">
        <f t="shared" si="70"/>
        <v>7007.1397319845701</v>
      </c>
    </row>
    <row r="580" spans="1:28" x14ac:dyDescent="0.3">
      <c r="A580" s="1">
        <v>45252</v>
      </c>
      <c r="B580" s="2">
        <v>67.569999999999993</v>
      </c>
      <c r="C580" s="2">
        <v>73.61</v>
      </c>
      <c r="D580" s="9">
        <f>B580-B579</f>
        <v>0.13999999999998636</v>
      </c>
      <c r="E580" s="9">
        <f>C580-C579</f>
        <v>0.14000000000000057</v>
      </c>
      <c r="F580" s="3">
        <f>F$1/B580</f>
        <v>1479.946721918011</v>
      </c>
      <c r="G580" s="3">
        <f>F$1/C580</f>
        <v>1358.5110718652356</v>
      </c>
      <c r="H580" s="2">
        <f>D580*F579</f>
        <v>207.62271985760989</v>
      </c>
      <c r="I580" s="2">
        <f>E580*G579</f>
        <v>190.55396760582627</v>
      </c>
      <c r="J580" s="2">
        <f>I580-H580</f>
        <v>-17.068752251783621</v>
      </c>
      <c r="K580" s="2">
        <f t="shared" si="68"/>
        <v>17.068752251783621</v>
      </c>
      <c r="L580" s="14">
        <f>C580/B580</f>
        <v>1.0893887820038479</v>
      </c>
      <c r="M580" s="14">
        <f t="shared" si="71"/>
        <v>1.0903069806968015</v>
      </c>
      <c r="N580" s="14">
        <f t="shared" si="75"/>
        <v>1.0911512164646675</v>
      </c>
      <c r="O580" s="14">
        <f t="shared" si="76"/>
        <v>1.0919884549304135</v>
      </c>
      <c r="P580" s="14">
        <f t="shared" si="69"/>
        <v>1.0876734791046834</v>
      </c>
      <c r="Q580" s="4" t="str">
        <f t="shared" si="74"/>
        <v>UNDER</v>
      </c>
      <c r="R580" s="4" t="str">
        <f t="shared" si="74"/>
        <v>UNDER</v>
      </c>
      <c r="S580" s="4" t="str">
        <f t="shared" si="72"/>
        <v>UNDER</v>
      </c>
      <c r="T580" s="4" t="str">
        <f t="shared" si="72"/>
        <v>OVER</v>
      </c>
      <c r="U580" s="2">
        <f>IF(Q580="OVER",$J580,$K580)</f>
        <v>17.068752251783621</v>
      </c>
      <c r="V580" s="2">
        <f>IF(R580="OVER",$J580,$K580)</f>
        <v>17.068752251783621</v>
      </c>
      <c r="W580" s="2">
        <f>IF(S580="OVER",$J580,$K580)</f>
        <v>17.068752251783621</v>
      </c>
      <c r="X580" s="2">
        <f>IF(T580="OVER",$J580,$K580)</f>
        <v>-17.068752251783621</v>
      </c>
      <c r="Y580" s="9">
        <f t="shared" si="73"/>
        <v>-22310.278589034162</v>
      </c>
      <c r="Z580" s="9">
        <f t="shared" si="73"/>
        <v>-22164.679131931232</v>
      </c>
      <c r="AA580" s="9">
        <f t="shared" si="73"/>
        <v>32887.393420800079</v>
      </c>
      <c r="AB580" s="9">
        <f t="shared" si="70"/>
        <v>6990.0709797327863</v>
      </c>
    </row>
    <row r="581" spans="1:28" x14ac:dyDescent="0.3">
      <c r="A581" s="1">
        <v>45254</v>
      </c>
      <c r="B581" s="2">
        <v>67.709999999999994</v>
      </c>
      <c r="C581" s="2">
        <v>73.72</v>
      </c>
      <c r="D581" s="9">
        <f>B581-B580</f>
        <v>0.14000000000000057</v>
      </c>
      <c r="E581" s="9">
        <f>C581-C580</f>
        <v>0.10999999999999943</v>
      </c>
      <c r="F581" s="3">
        <f>F$1/B581</f>
        <v>1476.8867227883622</v>
      </c>
      <c r="G581" s="3">
        <f>F$1/C581</f>
        <v>1356.4839934888769</v>
      </c>
      <c r="H581" s="2">
        <f>D581*F580</f>
        <v>207.19254106852239</v>
      </c>
      <c r="I581" s="2">
        <f>E581*G580</f>
        <v>149.43621790517514</v>
      </c>
      <c r="J581" s="2">
        <f>I581-H581</f>
        <v>-57.756323163347247</v>
      </c>
      <c r="K581" s="2">
        <f t="shared" ref="K581:K644" si="77">H581-I581</f>
        <v>57.756323163347247</v>
      </c>
      <c r="L581" s="14">
        <f>C581/B581</f>
        <v>1.0887608920395806</v>
      </c>
      <c r="M581" s="14">
        <f t="shared" si="71"/>
        <v>1.0900575366893031</v>
      </c>
      <c r="N581" s="14">
        <f t="shared" si="75"/>
        <v>1.0909363126636982</v>
      </c>
      <c r="O581" s="14">
        <f t="shared" si="76"/>
        <v>1.0919944752492343</v>
      </c>
      <c r="P581" s="14">
        <f t="shared" si="69"/>
        <v>1.0877041864253432</v>
      </c>
      <c r="Q581" s="4" t="str">
        <f t="shared" si="74"/>
        <v>UNDER</v>
      </c>
      <c r="R581" s="4" t="str">
        <f t="shared" si="74"/>
        <v>UNDER</v>
      </c>
      <c r="S581" s="4" t="str">
        <f t="shared" si="72"/>
        <v>UNDER</v>
      </c>
      <c r="T581" s="4" t="str">
        <f t="shared" si="72"/>
        <v>OVER</v>
      </c>
      <c r="U581" s="2">
        <f>IF(Q581="OVER",$J581,$K581)</f>
        <v>57.756323163347247</v>
      </c>
      <c r="V581" s="2">
        <f>IF(R581="OVER",$J581,$K581)</f>
        <v>57.756323163347247</v>
      </c>
      <c r="W581" s="2">
        <f>IF(S581="OVER",$J581,$K581)</f>
        <v>57.756323163347247</v>
      </c>
      <c r="X581" s="2">
        <f>IF(T581="OVER",$J581,$K581)</f>
        <v>-57.756323163347247</v>
      </c>
      <c r="Y581" s="9">
        <f t="shared" si="73"/>
        <v>-22252.522265870815</v>
      </c>
      <c r="Z581" s="9">
        <f t="shared" si="73"/>
        <v>-22106.922808767886</v>
      </c>
      <c r="AA581" s="9">
        <f t="shared" si="73"/>
        <v>32945.149743963426</v>
      </c>
      <c r="AB581" s="9">
        <f t="shared" si="70"/>
        <v>6932.3146565694387</v>
      </c>
    </row>
    <row r="582" spans="1:28" x14ac:dyDescent="0.3">
      <c r="A582" s="1">
        <v>45257</v>
      </c>
      <c r="B582" s="2">
        <v>67.709999999999994</v>
      </c>
      <c r="C582" s="2">
        <v>73.8</v>
      </c>
      <c r="D582" s="9">
        <f>B582-B581</f>
        <v>0</v>
      </c>
      <c r="E582" s="9">
        <f>C582-C581</f>
        <v>7.9999999999998295E-2</v>
      </c>
      <c r="F582" s="3">
        <f>F$1/B582</f>
        <v>1476.8867227883622</v>
      </c>
      <c r="G582" s="3">
        <f>F$1/C582</f>
        <v>1355.0135501355014</v>
      </c>
      <c r="H582" s="2">
        <f>D582*F581</f>
        <v>0</v>
      </c>
      <c r="I582" s="2">
        <f>E582*G581</f>
        <v>108.51871947910784</v>
      </c>
      <c r="J582" s="2">
        <f>I582-H582</f>
        <v>108.51871947910784</v>
      </c>
      <c r="K582" s="2">
        <f t="shared" si="77"/>
        <v>-108.51871947910784</v>
      </c>
      <c r="L582" s="14">
        <f>C582/B582</f>
        <v>1.0899424014178114</v>
      </c>
      <c r="M582" s="14">
        <f t="shared" si="71"/>
        <v>1.0899153373106716</v>
      </c>
      <c r="N582" s="14">
        <f t="shared" si="75"/>
        <v>1.0908179295753961</v>
      </c>
      <c r="O582" s="14">
        <f t="shared" si="76"/>
        <v>1.0919848897172368</v>
      </c>
      <c r="P582" s="14">
        <f t="shared" si="69"/>
        <v>1.0877375969425112</v>
      </c>
      <c r="Q582" s="4" t="str">
        <f t="shared" si="74"/>
        <v>UNDER</v>
      </c>
      <c r="R582" s="4" t="str">
        <f t="shared" si="74"/>
        <v>UNDER</v>
      </c>
      <c r="S582" s="4" t="str">
        <f t="shared" si="72"/>
        <v>UNDER</v>
      </c>
      <c r="T582" s="4" t="str">
        <f t="shared" si="72"/>
        <v>OVER</v>
      </c>
      <c r="U582" s="2">
        <f>IF(Q582="OVER",$J582,$K582)</f>
        <v>-108.51871947910784</v>
      </c>
      <c r="V582" s="2">
        <f>IF(R582="OVER",$J582,$K582)</f>
        <v>-108.51871947910784</v>
      </c>
      <c r="W582" s="2">
        <f>IF(S582="OVER",$J582,$K582)</f>
        <v>-108.51871947910784</v>
      </c>
      <c r="X582" s="2">
        <f>IF(T582="OVER",$J582,$K582)</f>
        <v>108.51871947910784</v>
      </c>
      <c r="Y582" s="9">
        <f t="shared" si="73"/>
        <v>-22361.040985349922</v>
      </c>
      <c r="Z582" s="9">
        <f t="shared" si="73"/>
        <v>-22215.441528246993</v>
      </c>
      <c r="AA582" s="9">
        <f t="shared" si="73"/>
        <v>32836.631024484319</v>
      </c>
      <c r="AB582" s="9">
        <f t="shared" si="70"/>
        <v>7040.8333760485466</v>
      </c>
    </row>
    <row r="583" spans="1:28" x14ac:dyDescent="0.3">
      <c r="A583" s="1">
        <v>45258</v>
      </c>
      <c r="B583" s="2">
        <v>67.849999999999994</v>
      </c>
      <c r="C583" s="2">
        <v>73.959999999999994</v>
      </c>
      <c r="D583" s="9">
        <f>B583-B582</f>
        <v>0.14000000000000057</v>
      </c>
      <c r="E583" s="9">
        <f>C583-C582</f>
        <v>0.15999999999999659</v>
      </c>
      <c r="F583" s="3">
        <f>F$1/B583</f>
        <v>1473.8393515106854</v>
      </c>
      <c r="G583" s="3">
        <f>F$1/C583</f>
        <v>1352.0822065981613</v>
      </c>
      <c r="H583" s="2">
        <f>D583*F582</f>
        <v>206.76414119037156</v>
      </c>
      <c r="I583" s="2">
        <f>E583*G582</f>
        <v>216.80216802167561</v>
      </c>
      <c r="J583" s="2">
        <f>I583-H583</f>
        <v>10.038026831304052</v>
      </c>
      <c r="K583" s="2">
        <f t="shared" si="77"/>
        <v>-10.038026831304052</v>
      </c>
      <c r="L583" s="14">
        <f>C583/B583</f>
        <v>1.0900515843773029</v>
      </c>
      <c r="M583" s="14">
        <f t="shared" si="71"/>
        <v>1.08983646849632</v>
      </c>
      <c r="N583" s="14">
        <f t="shared" si="75"/>
        <v>1.090674559505455</v>
      </c>
      <c r="O583" s="14">
        <f t="shared" si="76"/>
        <v>1.0919277591796483</v>
      </c>
      <c r="P583" s="14">
        <f t="shared" si="69"/>
        <v>1.0877708828579489</v>
      </c>
      <c r="Q583" s="4" t="str">
        <f t="shared" si="74"/>
        <v>OVER</v>
      </c>
      <c r="R583" s="4" t="str">
        <f t="shared" si="74"/>
        <v>UNDER</v>
      </c>
      <c r="S583" s="4" t="str">
        <f t="shared" si="72"/>
        <v>UNDER</v>
      </c>
      <c r="T583" s="4" t="str">
        <f t="shared" si="72"/>
        <v>OVER</v>
      </c>
      <c r="U583" s="2">
        <f>IF(Q583="OVER",$J583,$K583)</f>
        <v>10.038026831304052</v>
      </c>
      <c r="V583" s="2">
        <f>IF(R583="OVER",$J583,$K583)</f>
        <v>-10.038026831304052</v>
      </c>
      <c r="W583" s="2">
        <f>IF(S583="OVER",$J583,$K583)</f>
        <v>-10.038026831304052</v>
      </c>
      <c r="X583" s="2">
        <f>IF(T583="OVER",$J583,$K583)</f>
        <v>10.038026831304052</v>
      </c>
      <c r="Y583" s="9">
        <f t="shared" si="73"/>
        <v>-22351.002958518617</v>
      </c>
      <c r="Z583" s="9">
        <f t="shared" si="73"/>
        <v>-22225.479555078298</v>
      </c>
      <c r="AA583" s="9">
        <f t="shared" si="73"/>
        <v>32826.592997653017</v>
      </c>
      <c r="AB583" s="9">
        <f t="shared" si="70"/>
        <v>7050.8714028798504</v>
      </c>
    </row>
    <row r="584" spans="1:28" x14ac:dyDescent="0.3">
      <c r="A584" s="1">
        <v>45259</v>
      </c>
      <c r="B584" s="2">
        <v>68.290000000000006</v>
      </c>
      <c r="C584" s="2">
        <v>74.38</v>
      </c>
      <c r="D584" s="9">
        <f>B584-B583</f>
        <v>0.44000000000001194</v>
      </c>
      <c r="E584" s="9">
        <f>C584-C583</f>
        <v>0.42000000000000171</v>
      </c>
      <c r="F584" s="3">
        <f>F$1/B584</f>
        <v>1464.3432420559377</v>
      </c>
      <c r="G584" s="3">
        <f>F$1/C584</f>
        <v>1344.4474321054047</v>
      </c>
      <c r="H584" s="2">
        <f>D584*F583</f>
        <v>648.48931466471925</v>
      </c>
      <c r="I584" s="2">
        <f>E584*G583</f>
        <v>567.87452677123008</v>
      </c>
      <c r="J584" s="2">
        <f>I584-H584</f>
        <v>-80.614787893489165</v>
      </c>
      <c r="K584" s="2">
        <f t="shared" si="77"/>
        <v>80.614787893489165</v>
      </c>
      <c r="L584" s="14">
        <f>C584/B584</f>
        <v>1.0891785034412065</v>
      </c>
      <c r="M584" s="14">
        <f t="shared" si="71"/>
        <v>1.0897962028768098</v>
      </c>
      <c r="N584" s="14">
        <f t="shared" si="75"/>
        <v>1.0904590014933129</v>
      </c>
      <c r="O584" s="14">
        <f t="shared" si="76"/>
        <v>1.0919361985105294</v>
      </c>
      <c r="P584" s="14">
        <f t="shared" si="69"/>
        <v>1.0878171241616683</v>
      </c>
      <c r="Q584" s="4" t="str">
        <f t="shared" si="74"/>
        <v>OVER</v>
      </c>
      <c r="R584" s="4" t="str">
        <f t="shared" si="74"/>
        <v>UNDER</v>
      </c>
      <c r="S584" s="4" t="str">
        <f t="shared" si="72"/>
        <v>UNDER</v>
      </c>
      <c r="T584" s="4" t="str">
        <f t="shared" si="72"/>
        <v>OVER</v>
      </c>
      <c r="U584" s="2">
        <f>IF(Q584="OVER",$J584,$K584)</f>
        <v>-80.614787893489165</v>
      </c>
      <c r="V584" s="2">
        <f>IF(R584="OVER",$J584,$K584)</f>
        <v>80.614787893489165</v>
      </c>
      <c r="W584" s="2">
        <f>IF(S584="OVER",$J584,$K584)</f>
        <v>80.614787893489165</v>
      </c>
      <c r="X584" s="2">
        <f>IF(T584="OVER",$J584,$K584)</f>
        <v>-80.614787893489165</v>
      </c>
      <c r="Y584" s="9">
        <f t="shared" si="73"/>
        <v>-22431.617746412106</v>
      </c>
      <c r="Z584" s="9">
        <f t="shared" si="73"/>
        <v>-22144.864767184808</v>
      </c>
      <c r="AA584" s="9">
        <f t="shared" si="73"/>
        <v>32907.207785546503</v>
      </c>
      <c r="AB584" s="9">
        <f t="shared" si="70"/>
        <v>6970.2566149863615</v>
      </c>
    </row>
    <row r="585" spans="1:28" x14ac:dyDescent="0.3">
      <c r="A585" s="1">
        <v>45260</v>
      </c>
      <c r="B585" s="2">
        <v>68.38</v>
      </c>
      <c r="C585" s="2">
        <v>74.38</v>
      </c>
      <c r="D585" s="9">
        <f>B585-B584</f>
        <v>8.99999999999892E-2</v>
      </c>
      <c r="E585" s="9">
        <f>C585-C584</f>
        <v>0</v>
      </c>
      <c r="F585" s="3">
        <f>F$1/B585</f>
        <v>1462.4159110851126</v>
      </c>
      <c r="G585" s="3">
        <f>F$1/C585</f>
        <v>1344.4474321054047</v>
      </c>
      <c r="H585" s="2">
        <f>D585*F584</f>
        <v>131.79089178501857</v>
      </c>
      <c r="I585" s="2">
        <f>E585*G584</f>
        <v>0</v>
      </c>
      <c r="J585" s="2">
        <f>I585-H585</f>
        <v>-131.79089178501857</v>
      </c>
      <c r="K585" s="2">
        <f t="shared" si="77"/>
        <v>131.79089178501857</v>
      </c>
      <c r="L585" s="14">
        <f>C585/B585</f>
        <v>1.0877449546651068</v>
      </c>
      <c r="M585" s="14">
        <f t="shared" si="71"/>
        <v>1.0894500803991731</v>
      </c>
      <c r="N585" s="14">
        <f t="shared" si="75"/>
        <v>1.0902937919780704</v>
      </c>
      <c r="O585" s="14">
        <f t="shared" si="76"/>
        <v>1.0918734462544513</v>
      </c>
      <c r="P585" s="14">
        <f t="shared" si="69"/>
        <v>1.0878604056031118</v>
      </c>
      <c r="Q585" s="4" t="str">
        <f t="shared" si="74"/>
        <v>UNDER</v>
      </c>
      <c r="R585" s="4" t="str">
        <f t="shared" si="74"/>
        <v>UNDER</v>
      </c>
      <c r="S585" s="4" t="str">
        <f t="shared" si="72"/>
        <v>UNDER</v>
      </c>
      <c r="T585" s="4" t="str">
        <f t="shared" si="72"/>
        <v>UNDER</v>
      </c>
      <c r="U585" s="2">
        <f>IF(Q585="OVER",$J585,$K585)</f>
        <v>131.79089178501857</v>
      </c>
      <c r="V585" s="2">
        <f>IF(R585="OVER",$J585,$K585)</f>
        <v>131.79089178501857</v>
      </c>
      <c r="W585" s="2">
        <f>IF(S585="OVER",$J585,$K585)</f>
        <v>131.79089178501857</v>
      </c>
      <c r="X585" s="2">
        <f>IF(T585="OVER",$J585,$K585)</f>
        <v>131.79089178501857</v>
      </c>
      <c r="Y585" s="9">
        <f t="shared" si="73"/>
        <v>-22299.826854627088</v>
      </c>
      <c r="Z585" s="9">
        <f t="shared" si="73"/>
        <v>-22013.07387539979</v>
      </c>
      <c r="AA585" s="9">
        <f t="shared" si="73"/>
        <v>33038.998677331525</v>
      </c>
      <c r="AB585" s="9">
        <f t="shared" si="70"/>
        <v>7102.0475067713796</v>
      </c>
    </row>
    <row r="586" spans="1:28" x14ac:dyDescent="0.3">
      <c r="A586" s="1">
        <v>45261</v>
      </c>
      <c r="B586" s="2">
        <v>69.02</v>
      </c>
      <c r="C586" s="2">
        <v>75.150000000000006</v>
      </c>
      <c r="D586" s="9">
        <f>B586-B585</f>
        <v>0.64000000000000057</v>
      </c>
      <c r="E586" s="9">
        <f>C586-C585</f>
        <v>0.77000000000001023</v>
      </c>
      <c r="F586" s="3">
        <f>F$1/B586</f>
        <v>1448.8554042306578</v>
      </c>
      <c r="G586" s="3">
        <f>F$1/C586</f>
        <v>1330.671989354624</v>
      </c>
      <c r="H586" s="2">
        <f>D586*F585</f>
        <v>935.94618309447287</v>
      </c>
      <c r="I586" s="2">
        <f>E586*G585</f>
        <v>1035.2245227211754</v>
      </c>
      <c r="J586" s="2">
        <f>I586-H586</f>
        <v>99.278339626702518</v>
      </c>
      <c r="K586" s="2">
        <f t="shared" si="77"/>
        <v>-99.278339626702518</v>
      </c>
      <c r="L586" s="14">
        <f>C586/B586</f>
        <v>1.0888148362793395</v>
      </c>
      <c r="M586" s="14">
        <f t="shared" si="71"/>
        <v>1.0892650564219772</v>
      </c>
      <c r="N586" s="14">
        <f t="shared" si="75"/>
        <v>1.0901731570025155</v>
      </c>
      <c r="O586" s="14">
        <f t="shared" si="76"/>
        <v>1.0918588298790235</v>
      </c>
      <c r="P586" s="14">
        <f t="shared" si="69"/>
        <v>1.0878963607437688</v>
      </c>
      <c r="Q586" s="4" t="str">
        <f t="shared" si="74"/>
        <v>UNDER</v>
      </c>
      <c r="R586" s="4" t="str">
        <f t="shared" si="74"/>
        <v>UNDER</v>
      </c>
      <c r="S586" s="4" t="str">
        <f t="shared" si="72"/>
        <v>UNDER</v>
      </c>
      <c r="T586" s="4" t="str">
        <f t="shared" si="72"/>
        <v>OVER</v>
      </c>
      <c r="U586" s="2">
        <f>IF(Q586="OVER",$J586,$K586)</f>
        <v>-99.278339626702518</v>
      </c>
      <c r="V586" s="2">
        <f>IF(R586="OVER",$J586,$K586)</f>
        <v>-99.278339626702518</v>
      </c>
      <c r="W586" s="2">
        <f>IF(S586="OVER",$J586,$K586)</f>
        <v>-99.278339626702518</v>
      </c>
      <c r="X586" s="2">
        <f>IF(T586="OVER",$J586,$K586)</f>
        <v>99.278339626702518</v>
      </c>
      <c r="Y586" s="9">
        <f t="shared" si="73"/>
        <v>-22399.105194253792</v>
      </c>
      <c r="Z586" s="9">
        <f t="shared" si="73"/>
        <v>-22112.352215026494</v>
      </c>
      <c r="AA586" s="9">
        <f t="shared" si="73"/>
        <v>32939.720337704821</v>
      </c>
      <c r="AB586" s="9">
        <f t="shared" si="70"/>
        <v>7201.3258463980819</v>
      </c>
    </row>
    <row r="587" spans="1:28" x14ac:dyDescent="0.3">
      <c r="A587" s="1">
        <v>45264</v>
      </c>
      <c r="B587" s="2">
        <v>69.11</v>
      </c>
      <c r="C587" s="2">
        <v>75.099999999999994</v>
      </c>
      <c r="D587" s="9">
        <f>B587-B586</f>
        <v>9.0000000000003411E-2</v>
      </c>
      <c r="E587" s="9">
        <f>C587-C586</f>
        <v>-5.0000000000011369E-2</v>
      </c>
      <c r="F587" s="3">
        <f>F$1/B587</f>
        <v>1446.968600781363</v>
      </c>
      <c r="G587" s="3">
        <f>F$1/C587</f>
        <v>1331.5579227696405</v>
      </c>
      <c r="H587" s="2">
        <f>D587*F586</f>
        <v>130.39698638076413</v>
      </c>
      <c r="I587" s="2">
        <f>E587*G586</f>
        <v>-66.533599467746328</v>
      </c>
      <c r="J587" s="2">
        <f>I587-H587</f>
        <v>-196.93058584851047</v>
      </c>
      <c r="K587" s="2">
        <f t="shared" si="77"/>
        <v>196.93058584851047</v>
      </c>
      <c r="L587" s="14">
        <f>C587/B587</f>
        <v>1.0866734191868035</v>
      </c>
      <c r="M587" s="14">
        <f t="shared" si="71"/>
        <v>1.0889481393563989</v>
      </c>
      <c r="N587" s="14">
        <f t="shared" si="75"/>
        <v>1.0899935136847383</v>
      </c>
      <c r="O587" s="14">
        <f t="shared" si="76"/>
        <v>1.0917663395606949</v>
      </c>
      <c r="P587" s="14">
        <f t="shared" ref="P587:P650" si="78">AVERAGE(L388:L587)</f>
        <v>1.0879174318024067</v>
      </c>
      <c r="Q587" s="4" t="str">
        <f t="shared" si="74"/>
        <v>UNDER</v>
      </c>
      <c r="R587" s="4" t="str">
        <f t="shared" si="74"/>
        <v>UNDER</v>
      </c>
      <c r="S587" s="4" t="str">
        <f t="shared" si="72"/>
        <v>UNDER</v>
      </c>
      <c r="T587" s="4" t="str">
        <f t="shared" si="72"/>
        <v>UNDER</v>
      </c>
      <c r="U587" s="2">
        <f>IF(Q587="OVER",$J587,$K587)</f>
        <v>196.93058584851047</v>
      </c>
      <c r="V587" s="2">
        <f>IF(R587="OVER",$J587,$K587)</f>
        <v>196.93058584851047</v>
      </c>
      <c r="W587" s="2">
        <f>IF(S587="OVER",$J587,$K587)</f>
        <v>196.93058584851047</v>
      </c>
      <c r="X587" s="2">
        <f>IF(T587="OVER",$J587,$K587)</f>
        <v>196.93058584851047</v>
      </c>
      <c r="Y587" s="9">
        <f t="shared" si="73"/>
        <v>-22202.174608405283</v>
      </c>
      <c r="Z587" s="9">
        <f t="shared" si="73"/>
        <v>-21915.421629177985</v>
      </c>
      <c r="AA587" s="9">
        <f t="shared" si="73"/>
        <v>33136.65092355333</v>
      </c>
      <c r="AB587" s="9">
        <f t="shared" si="70"/>
        <v>7398.2564322465923</v>
      </c>
    </row>
    <row r="588" spans="1:28" x14ac:dyDescent="0.3">
      <c r="A588" s="1">
        <v>45265</v>
      </c>
      <c r="B588" s="2">
        <v>68.930000000000007</v>
      </c>
      <c r="C588" s="2">
        <v>74.98</v>
      </c>
      <c r="D588" s="9">
        <f>B588-B587</f>
        <v>-0.17999999999999261</v>
      </c>
      <c r="E588" s="9">
        <f>C588-C587</f>
        <v>-0.11999999999999034</v>
      </c>
      <c r="F588" s="3">
        <f>F$1/B588</f>
        <v>1450.7471347744088</v>
      </c>
      <c r="G588" s="3">
        <f>F$1/C588</f>
        <v>1333.6889837289943</v>
      </c>
      <c r="H588" s="2">
        <f>D588*F587</f>
        <v>-260.45434814063464</v>
      </c>
      <c r="I588" s="2">
        <f>E588*G587</f>
        <v>-159.786950732344</v>
      </c>
      <c r="J588" s="2">
        <f>I588-H588</f>
        <v>100.66739740829064</v>
      </c>
      <c r="K588" s="2">
        <f t="shared" si="77"/>
        <v>-100.66739740829064</v>
      </c>
      <c r="L588" s="14">
        <f>C588/B588</f>
        <v>1.0877702016538517</v>
      </c>
      <c r="M588" s="14">
        <f t="shared" si="71"/>
        <v>1.0887899948489141</v>
      </c>
      <c r="N588" s="14">
        <f t="shared" si="75"/>
        <v>1.0899061073784579</v>
      </c>
      <c r="O588" s="14">
        <f t="shared" si="76"/>
        <v>1.0917174983107529</v>
      </c>
      <c r="P588" s="14">
        <f t="shared" si="78"/>
        <v>1.0879698093807244</v>
      </c>
      <c r="Q588" s="4" t="str">
        <f t="shared" si="74"/>
        <v>UNDER</v>
      </c>
      <c r="R588" s="4" t="str">
        <f t="shared" si="74"/>
        <v>UNDER</v>
      </c>
      <c r="S588" s="4" t="str">
        <f t="shared" si="72"/>
        <v>UNDER</v>
      </c>
      <c r="T588" s="4" t="str">
        <f t="shared" si="72"/>
        <v>UNDER</v>
      </c>
      <c r="U588" s="2">
        <f>IF(Q588="OVER",$J588,$K588)</f>
        <v>-100.66739740829064</v>
      </c>
      <c r="V588" s="2">
        <f>IF(R588="OVER",$J588,$K588)</f>
        <v>-100.66739740829064</v>
      </c>
      <c r="W588" s="2">
        <f>IF(S588="OVER",$J588,$K588)</f>
        <v>-100.66739740829064</v>
      </c>
      <c r="X588" s="2">
        <f>IF(T588="OVER",$J588,$K588)</f>
        <v>-100.66739740829064</v>
      </c>
      <c r="Y588" s="9">
        <f t="shared" si="73"/>
        <v>-22302.842005813574</v>
      </c>
      <c r="Z588" s="9">
        <f t="shared" si="73"/>
        <v>-22016.089026586276</v>
      </c>
      <c r="AA588" s="9">
        <f t="shared" si="73"/>
        <v>33035.983526145043</v>
      </c>
      <c r="AB588" s="9">
        <f t="shared" si="73"/>
        <v>7297.5890348383018</v>
      </c>
    </row>
    <row r="589" spans="1:28" x14ac:dyDescent="0.3">
      <c r="A589" s="1">
        <v>45266</v>
      </c>
      <c r="B589" s="2">
        <v>69</v>
      </c>
      <c r="C589" s="2">
        <v>74.989999999999995</v>
      </c>
      <c r="D589" s="9">
        <f>B589-B588</f>
        <v>6.9999999999993179E-2</v>
      </c>
      <c r="E589" s="9">
        <f>C589-C588</f>
        <v>9.9999999999909051E-3</v>
      </c>
      <c r="F589" s="3">
        <f>F$1/B589</f>
        <v>1449.2753623188405</v>
      </c>
      <c r="G589" s="3">
        <f>F$1/C589</f>
        <v>1333.5111348179757</v>
      </c>
      <c r="H589" s="2">
        <f>D589*F588</f>
        <v>101.55229943419872</v>
      </c>
      <c r="I589" s="2">
        <f>E589*G588</f>
        <v>13.336889837277814</v>
      </c>
      <c r="J589" s="2">
        <f>I589-H589</f>
        <v>-88.215409596920907</v>
      </c>
      <c r="K589" s="2">
        <f t="shared" si="77"/>
        <v>88.215409596920907</v>
      </c>
      <c r="L589" s="14">
        <f>C589/B589</f>
        <v>1.0868115942028984</v>
      </c>
      <c r="M589" s="14">
        <f t="shared" ref="M589:M652" si="79">AVERAGE(L580:L589)</f>
        <v>1.0885137169267751</v>
      </c>
      <c r="N589" s="14">
        <f t="shared" si="75"/>
        <v>1.0895124678194996</v>
      </c>
      <c r="O589" s="14">
        <f t="shared" si="76"/>
        <v>1.0916331262871735</v>
      </c>
      <c r="P589" s="14">
        <f t="shared" si="78"/>
        <v>1.0879873242150653</v>
      </c>
      <c r="Q589" s="4" t="str">
        <f t="shared" si="74"/>
        <v>UNDER</v>
      </c>
      <c r="R589" s="4" t="str">
        <f t="shared" si="74"/>
        <v>UNDER</v>
      </c>
      <c r="S589" s="4" t="str">
        <f t="shared" ref="S589:T652" si="80">IF($L589&gt;O589,"OVER","UNDER")</f>
        <v>UNDER</v>
      </c>
      <c r="T589" s="4" t="str">
        <f t="shared" si="80"/>
        <v>UNDER</v>
      </c>
      <c r="U589" s="2">
        <f>IF(Q589="OVER",$J589,$K589)</f>
        <v>88.215409596920907</v>
      </c>
      <c r="V589" s="2">
        <f>IF(R589="OVER",$J589,$K589)</f>
        <v>88.215409596920907</v>
      </c>
      <c r="W589" s="2">
        <f>IF(S589="OVER",$J589,$K589)</f>
        <v>88.215409596920907</v>
      </c>
      <c r="X589" s="2">
        <f>IF(T589="OVER",$J589,$K589)</f>
        <v>88.215409596920907</v>
      </c>
      <c r="Y589" s="9">
        <f t="shared" ref="Y589:AB652" si="81">Y588+U589</f>
        <v>-22214.626596216654</v>
      </c>
      <c r="Z589" s="9">
        <f t="shared" si="81"/>
        <v>-21927.873616989356</v>
      </c>
      <c r="AA589" s="9">
        <f t="shared" si="81"/>
        <v>33124.198935741966</v>
      </c>
      <c r="AB589" s="9">
        <f t="shared" si="81"/>
        <v>7385.8044444352226</v>
      </c>
    </row>
    <row r="590" spans="1:28" x14ac:dyDescent="0.3">
      <c r="A590" s="1">
        <v>45267</v>
      </c>
      <c r="B590" s="2">
        <v>69.36</v>
      </c>
      <c r="C590" s="2">
        <v>75.400000000000006</v>
      </c>
      <c r="D590" s="9">
        <f>B590-B589</f>
        <v>0.35999999999999943</v>
      </c>
      <c r="E590" s="9">
        <f>C590-C589</f>
        <v>0.4100000000000108</v>
      </c>
      <c r="F590" s="3">
        <f>F$1/B590</f>
        <v>1441.753171856978</v>
      </c>
      <c r="G590" s="3">
        <f>F$1/C590</f>
        <v>1326.259946949602</v>
      </c>
      <c r="H590" s="2">
        <f>D590*F589</f>
        <v>521.73913043478171</v>
      </c>
      <c r="I590" s="2">
        <f>E590*G589</f>
        <v>546.73956527538451</v>
      </c>
      <c r="J590" s="2">
        <f>I590-H590</f>
        <v>25.000434840602793</v>
      </c>
      <c r="K590" s="2">
        <f t="shared" si="77"/>
        <v>-25.000434840602793</v>
      </c>
      <c r="L590" s="14">
        <f>C590/B590</f>
        <v>1.0870818915801617</v>
      </c>
      <c r="M590" s="14">
        <f t="shared" si="79"/>
        <v>1.0882830278844065</v>
      </c>
      <c r="N590" s="14">
        <f t="shared" si="75"/>
        <v>1.089295004290604</v>
      </c>
      <c r="O590" s="14">
        <f t="shared" si="76"/>
        <v>1.0915557769638971</v>
      </c>
      <c r="P590" s="14">
        <f t="shared" si="78"/>
        <v>1.0880000837839949</v>
      </c>
      <c r="Q590" s="4" t="str">
        <f t="shared" ref="Q590:R653" si="82">IF($L589&gt;M589,"OVER","UNDER")</f>
        <v>UNDER</v>
      </c>
      <c r="R590" s="4" t="str">
        <f t="shared" si="82"/>
        <v>UNDER</v>
      </c>
      <c r="S590" s="4" t="str">
        <f t="shared" si="80"/>
        <v>UNDER</v>
      </c>
      <c r="T590" s="4" t="str">
        <f t="shared" si="80"/>
        <v>UNDER</v>
      </c>
      <c r="U590" s="2">
        <f>IF(Q590="OVER",$J590,$K590)</f>
        <v>-25.000434840602793</v>
      </c>
      <c r="V590" s="2">
        <f>IF(R590="OVER",$J590,$K590)</f>
        <v>-25.000434840602793</v>
      </c>
      <c r="W590" s="2">
        <f>IF(S590="OVER",$J590,$K590)</f>
        <v>-25.000434840602793</v>
      </c>
      <c r="X590" s="2">
        <f>IF(T590="OVER",$J590,$K590)</f>
        <v>-25.000434840602793</v>
      </c>
      <c r="Y590" s="9">
        <f t="shared" si="81"/>
        <v>-22239.627031057258</v>
      </c>
      <c r="Z590" s="9">
        <f t="shared" si="81"/>
        <v>-21952.87405182996</v>
      </c>
      <c r="AA590" s="9">
        <f t="shared" si="81"/>
        <v>33099.198500901366</v>
      </c>
      <c r="AB590" s="9">
        <f t="shared" si="81"/>
        <v>7360.8040095946199</v>
      </c>
    </row>
    <row r="591" spans="1:28" x14ac:dyDescent="0.3">
      <c r="A591" s="1">
        <v>45268</v>
      </c>
      <c r="B591" s="2">
        <v>69.41</v>
      </c>
      <c r="C591" s="2">
        <v>75.58</v>
      </c>
      <c r="D591" s="9">
        <f>B591-B590</f>
        <v>4.9999999999997158E-2</v>
      </c>
      <c r="E591" s="9">
        <f>C591-C590</f>
        <v>0.17999999999999261</v>
      </c>
      <c r="F591" s="3">
        <f>F$1/B591</f>
        <v>1440.7145944388417</v>
      </c>
      <c r="G591" s="3">
        <f>F$1/C591</f>
        <v>1323.1013495633765</v>
      </c>
      <c r="H591" s="2">
        <f>D591*F590</f>
        <v>72.087658592844804</v>
      </c>
      <c r="I591" s="2">
        <f>E591*G590</f>
        <v>238.72679045091854</v>
      </c>
      <c r="J591" s="2">
        <f>I591-H591</f>
        <v>166.63913185807374</v>
      </c>
      <c r="K591" s="2">
        <f t="shared" si="77"/>
        <v>-166.63913185807374</v>
      </c>
      <c r="L591" s="14">
        <f>C591/B591</f>
        <v>1.0888920904768766</v>
      </c>
      <c r="M591" s="14">
        <f t="shared" si="79"/>
        <v>1.0882961477281361</v>
      </c>
      <c r="N591" s="14">
        <f t="shared" si="75"/>
        <v>1.0891768422087194</v>
      </c>
      <c r="O591" s="14">
        <f t="shared" si="76"/>
        <v>1.0914599996837304</v>
      </c>
      <c r="P591" s="14">
        <f t="shared" si="78"/>
        <v>1.088021967404228</v>
      </c>
      <c r="Q591" s="4" t="str">
        <f t="shared" si="82"/>
        <v>UNDER</v>
      </c>
      <c r="R591" s="4" t="str">
        <f t="shared" si="82"/>
        <v>UNDER</v>
      </c>
      <c r="S591" s="4" t="str">
        <f t="shared" si="80"/>
        <v>UNDER</v>
      </c>
      <c r="T591" s="4" t="str">
        <f t="shared" si="80"/>
        <v>OVER</v>
      </c>
      <c r="U591" s="2">
        <f>IF(Q591="OVER",$J591,$K591)</f>
        <v>-166.63913185807374</v>
      </c>
      <c r="V591" s="2">
        <f>IF(R591="OVER",$J591,$K591)</f>
        <v>-166.63913185807374</v>
      </c>
      <c r="W591" s="2">
        <f>IF(S591="OVER",$J591,$K591)</f>
        <v>-166.63913185807374</v>
      </c>
      <c r="X591" s="2">
        <f>IF(T591="OVER",$J591,$K591)</f>
        <v>166.63913185807374</v>
      </c>
      <c r="Y591" s="9">
        <f t="shared" si="81"/>
        <v>-22406.266162915334</v>
      </c>
      <c r="Z591" s="9">
        <f t="shared" si="81"/>
        <v>-22119.513183688035</v>
      </c>
      <c r="AA591" s="9">
        <f t="shared" si="81"/>
        <v>32932.559369043294</v>
      </c>
      <c r="AB591" s="9">
        <f t="shared" si="81"/>
        <v>7527.4431414526935</v>
      </c>
    </row>
    <row r="592" spans="1:28" x14ac:dyDescent="0.3">
      <c r="A592" s="1">
        <v>45271</v>
      </c>
      <c r="B592" s="2">
        <v>69.599999999999994</v>
      </c>
      <c r="C592" s="2">
        <v>75.84</v>
      </c>
      <c r="D592" s="9">
        <f>B592-B591</f>
        <v>0.18999999999999773</v>
      </c>
      <c r="E592" s="9">
        <f>C592-C591</f>
        <v>0.26000000000000512</v>
      </c>
      <c r="F592" s="3">
        <f>F$1/B592</f>
        <v>1436.7816091954023</v>
      </c>
      <c r="G592" s="3">
        <f>F$1/C592</f>
        <v>1318.5654008438819</v>
      </c>
      <c r="H592" s="2">
        <f>D592*F591</f>
        <v>273.73577294337662</v>
      </c>
      <c r="I592" s="2">
        <f>E592*G591</f>
        <v>344.00635088648465</v>
      </c>
      <c r="J592" s="2">
        <f>I592-H592</f>
        <v>70.270577943108037</v>
      </c>
      <c r="K592" s="2">
        <f t="shared" si="77"/>
        <v>-70.270577943108037</v>
      </c>
      <c r="L592" s="14">
        <f>C592/B592</f>
        <v>1.0896551724137933</v>
      </c>
      <c r="M592" s="14">
        <f t="shared" si="79"/>
        <v>1.0882674248277342</v>
      </c>
      <c r="N592" s="14">
        <f t="shared" si="75"/>
        <v>1.0890913810692027</v>
      </c>
      <c r="O592" s="14">
        <f t="shared" si="76"/>
        <v>1.0913622476747791</v>
      </c>
      <c r="P592" s="14">
        <f t="shared" si="78"/>
        <v>1.088060712365329</v>
      </c>
      <c r="Q592" s="4" t="str">
        <f t="shared" si="82"/>
        <v>OVER</v>
      </c>
      <c r="R592" s="4" t="str">
        <f t="shared" si="82"/>
        <v>UNDER</v>
      </c>
      <c r="S592" s="4" t="str">
        <f t="shared" si="80"/>
        <v>UNDER</v>
      </c>
      <c r="T592" s="4" t="str">
        <f t="shared" si="80"/>
        <v>OVER</v>
      </c>
      <c r="U592" s="2">
        <f>IF(Q592="OVER",$J592,$K592)</f>
        <v>70.270577943108037</v>
      </c>
      <c r="V592" s="2">
        <f>IF(R592="OVER",$J592,$K592)</f>
        <v>-70.270577943108037</v>
      </c>
      <c r="W592" s="2">
        <f>IF(S592="OVER",$J592,$K592)</f>
        <v>-70.270577943108037</v>
      </c>
      <c r="X592" s="2">
        <f>IF(T592="OVER",$J592,$K592)</f>
        <v>70.270577943108037</v>
      </c>
      <c r="Y592" s="9">
        <f t="shared" si="81"/>
        <v>-22335.995584972225</v>
      </c>
      <c r="Z592" s="9">
        <f t="shared" si="81"/>
        <v>-22189.783761631144</v>
      </c>
      <c r="AA592" s="9">
        <f t="shared" si="81"/>
        <v>32862.288791100189</v>
      </c>
      <c r="AB592" s="9">
        <f t="shared" si="81"/>
        <v>7597.7137193958015</v>
      </c>
    </row>
    <row r="593" spans="1:28" x14ac:dyDescent="0.3">
      <c r="A593" s="1">
        <v>45272</v>
      </c>
      <c r="B593" s="2">
        <v>69.489999999999995</v>
      </c>
      <c r="C593" s="2">
        <v>75.849999999999994</v>
      </c>
      <c r="D593" s="9">
        <f>B593-B592</f>
        <v>-0.10999999999999943</v>
      </c>
      <c r="E593" s="9">
        <f>C593-C592</f>
        <v>9.9999999999909051E-3</v>
      </c>
      <c r="F593" s="3">
        <f>F$1/B593</f>
        <v>1439.0559792775939</v>
      </c>
      <c r="G593" s="3">
        <f>F$1/C593</f>
        <v>1318.3915622940015</v>
      </c>
      <c r="H593" s="2">
        <f>D593*F592</f>
        <v>-158.04597701149345</v>
      </c>
      <c r="I593" s="2">
        <f>E593*G592</f>
        <v>13.185654008426827</v>
      </c>
      <c r="J593" s="2">
        <f>I593-H593</f>
        <v>171.23163101992029</v>
      </c>
      <c r="K593" s="2">
        <f t="shared" si="77"/>
        <v>-171.23163101992029</v>
      </c>
      <c r="L593" s="14">
        <f>C593/B593</f>
        <v>1.091523960282055</v>
      </c>
      <c r="M593" s="14">
        <f t="shared" si="79"/>
        <v>1.0884146624182094</v>
      </c>
      <c r="N593" s="14">
        <f t="shared" si="75"/>
        <v>1.0891255654572647</v>
      </c>
      <c r="O593" s="14">
        <f t="shared" si="76"/>
        <v>1.0912671965436749</v>
      </c>
      <c r="P593" s="14">
        <f t="shared" si="78"/>
        <v>1.0880965826874176</v>
      </c>
      <c r="Q593" s="4" t="str">
        <f t="shared" si="82"/>
        <v>OVER</v>
      </c>
      <c r="R593" s="4" t="str">
        <f t="shared" si="82"/>
        <v>OVER</v>
      </c>
      <c r="S593" s="4" t="str">
        <f t="shared" si="80"/>
        <v>OVER</v>
      </c>
      <c r="T593" s="4" t="str">
        <f t="shared" si="80"/>
        <v>OVER</v>
      </c>
      <c r="U593" s="2">
        <f>IF(Q593="OVER",$J593,$K593)</f>
        <v>171.23163101992029</v>
      </c>
      <c r="V593" s="2">
        <f>IF(R593="OVER",$J593,$K593)</f>
        <v>171.23163101992029</v>
      </c>
      <c r="W593" s="2">
        <f>IF(S593="OVER",$J593,$K593)</f>
        <v>171.23163101992029</v>
      </c>
      <c r="X593" s="2">
        <f>IF(T593="OVER",$J593,$K593)</f>
        <v>171.23163101992029</v>
      </c>
      <c r="Y593" s="9">
        <f t="shared" si="81"/>
        <v>-22164.763953952304</v>
      </c>
      <c r="Z593" s="9">
        <f t="shared" si="81"/>
        <v>-22018.552130611224</v>
      </c>
      <c r="AA593" s="9">
        <f t="shared" si="81"/>
        <v>33033.520422120106</v>
      </c>
      <c r="AB593" s="9">
        <f t="shared" si="81"/>
        <v>7768.9453504157218</v>
      </c>
    </row>
    <row r="594" spans="1:28" x14ac:dyDescent="0.3">
      <c r="A594" s="1">
        <v>45273</v>
      </c>
      <c r="B594" s="2">
        <v>70.44</v>
      </c>
      <c r="C594" s="2">
        <v>76.650000000000006</v>
      </c>
      <c r="D594" s="9">
        <f>B594-B593</f>
        <v>0.95000000000000284</v>
      </c>
      <c r="E594" s="9">
        <f>C594-C593</f>
        <v>0.80000000000001137</v>
      </c>
      <c r="F594" s="3">
        <f>F$1/B594</f>
        <v>1419.6479273140262</v>
      </c>
      <c r="G594" s="3">
        <f>F$1/C594</f>
        <v>1304.6314416177429</v>
      </c>
      <c r="H594" s="2">
        <f>D594*F593</f>
        <v>1367.1031803137182</v>
      </c>
      <c r="I594" s="2">
        <f>E594*G593</f>
        <v>1054.7132498352162</v>
      </c>
      <c r="J594" s="2">
        <f>I594-H594</f>
        <v>-312.38993047850204</v>
      </c>
      <c r="K594" s="2">
        <f t="shared" si="77"/>
        <v>312.38993047850204</v>
      </c>
      <c r="L594" s="14">
        <f>C594/B594</f>
        <v>1.0881601362862012</v>
      </c>
      <c r="M594" s="14">
        <f t="shared" si="79"/>
        <v>1.0883128257027088</v>
      </c>
      <c r="N594" s="14">
        <f t="shared" si="75"/>
        <v>1.0890545142897592</v>
      </c>
      <c r="O594" s="14">
        <f t="shared" si="76"/>
        <v>1.0911060522264688</v>
      </c>
      <c r="P594" s="14">
        <f t="shared" si="78"/>
        <v>1.0881003960459552</v>
      </c>
      <c r="Q594" s="4" t="str">
        <f t="shared" si="82"/>
        <v>OVER</v>
      </c>
      <c r="R594" s="4" t="str">
        <f t="shared" si="82"/>
        <v>OVER</v>
      </c>
      <c r="S594" s="4" t="str">
        <f t="shared" si="80"/>
        <v>UNDER</v>
      </c>
      <c r="T594" s="4" t="str">
        <f t="shared" si="80"/>
        <v>OVER</v>
      </c>
      <c r="U594" s="2">
        <f>IF(Q594="OVER",$J594,$K594)</f>
        <v>-312.38993047850204</v>
      </c>
      <c r="V594" s="2">
        <f>IF(R594="OVER",$J594,$K594)</f>
        <v>-312.38993047850204</v>
      </c>
      <c r="W594" s="2">
        <f>IF(S594="OVER",$J594,$K594)</f>
        <v>312.38993047850204</v>
      </c>
      <c r="X594" s="2">
        <f>IF(T594="OVER",$J594,$K594)</f>
        <v>-312.38993047850204</v>
      </c>
      <c r="Y594" s="9">
        <f t="shared" si="81"/>
        <v>-22477.153884430805</v>
      </c>
      <c r="Z594" s="9">
        <f t="shared" si="81"/>
        <v>-22330.942061089725</v>
      </c>
      <c r="AA594" s="9">
        <f t="shared" si="81"/>
        <v>33345.910352598607</v>
      </c>
      <c r="AB594" s="9">
        <f t="shared" si="81"/>
        <v>7456.55541993722</v>
      </c>
    </row>
    <row r="595" spans="1:28" x14ac:dyDescent="0.3">
      <c r="A595" s="1">
        <v>45274</v>
      </c>
      <c r="B595" s="2">
        <v>71.47</v>
      </c>
      <c r="C595" s="2">
        <v>77.53</v>
      </c>
      <c r="D595" s="9">
        <f>B595-B594</f>
        <v>1.0300000000000011</v>
      </c>
      <c r="E595" s="9">
        <f>C595-C594</f>
        <v>0.87999999999999545</v>
      </c>
      <c r="F595" s="3">
        <f>F$1/B595</f>
        <v>1399.1884706870017</v>
      </c>
      <c r="G595" s="3">
        <f>F$1/C595</f>
        <v>1289.8232942086934</v>
      </c>
      <c r="H595" s="2">
        <f>D595*F594</f>
        <v>1462.2373651334485</v>
      </c>
      <c r="I595" s="2">
        <f>E595*G594</f>
        <v>1148.0756686236077</v>
      </c>
      <c r="J595" s="2">
        <f>I595-H595</f>
        <v>-314.16169650984079</v>
      </c>
      <c r="K595" s="2">
        <f t="shared" si="77"/>
        <v>314.16169650984079</v>
      </c>
      <c r="L595" s="14">
        <f>C595/B595</f>
        <v>1.0847908213236324</v>
      </c>
      <c r="M595" s="14">
        <f t="shared" si="79"/>
        <v>1.0880174123685613</v>
      </c>
      <c r="N595" s="14">
        <f t="shared" si="75"/>
        <v>1.0887337463838671</v>
      </c>
      <c r="O595" s="14">
        <f t="shared" si="76"/>
        <v>1.0908780991451383</v>
      </c>
      <c r="P595" s="14">
        <f t="shared" si="78"/>
        <v>1.0880826250369189</v>
      </c>
      <c r="Q595" s="4" t="str">
        <f t="shared" si="82"/>
        <v>UNDER</v>
      </c>
      <c r="R595" s="4" t="str">
        <f t="shared" si="82"/>
        <v>UNDER</v>
      </c>
      <c r="S595" s="4" t="str">
        <f t="shared" si="80"/>
        <v>UNDER</v>
      </c>
      <c r="T595" s="4" t="str">
        <f t="shared" si="80"/>
        <v>UNDER</v>
      </c>
      <c r="U595" s="2">
        <f>IF(Q595="OVER",$J595,$K595)</f>
        <v>314.16169650984079</v>
      </c>
      <c r="V595" s="2">
        <f>IF(R595="OVER",$J595,$K595)</f>
        <v>314.16169650984079</v>
      </c>
      <c r="W595" s="2">
        <f>IF(S595="OVER",$J595,$K595)</f>
        <v>314.16169650984079</v>
      </c>
      <c r="X595" s="2">
        <f>IF(T595="OVER",$J595,$K595)</f>
        <v>314.16169650984079</v>
      </c>
      <c r="Y595" s="9">
        <f t="shared" si="81"/>
        <v>-22162.992187920965</v>
      </c>
      <c r="Z595" s="9">
        <f t="shared" si="81"/>
        <v>-22016.780364579885</v>
      </c>
      <c r="AA595" s="9">
        <f t="shared" si="81"/>
        <v>33660.07204910845</v>
      </c>
      <c r="AB595" s="9">
        <f t="shared" si="81"/>
        <v>7770.717116447061</v>
      </c>
    </row>
    <row r="596" spans="1:28" x14ac:dyDescent="0.3">
      <c r="A596" s="1">
        <v>45275</v>
      </c>
      <c r="B596" s="2">
        <v>71.47</v>
      </c>
      <c r="C596" s="2">
        <v>77.53</v>
      </c>
      <c r="D596" s="9">
        <f>B596-B595</f>
        <v>0</v>
      </c>
      <c r="E596" s="9">
        <f>C596-C595</f>
        <v>0</v>
      </c>
      <c r="F596" s="3">
        <f>F$1/B596</f>
        <v>1399.1884706870017</v>
      </c>
      <c r="G596" s="3">
        <f>F$1/C596</f>
        <v>1289.8232942086934</v>
      </c>
      <c r="H596" s="2">
        <f>D596*F595</f>
        <v>0</v>
      </c>
      <c r="I596" s="2">
        <f>E596*G595</f>
        <v>0</v>
      </c>
      <c r="J596" s="2">
        <f>I596-H596</f>
        <v>0</v>
      </c>
      <c r="K596" s="2">
        <f t="shared" si="77"/>
        <v>0</v>
      </c>
      <c r="L596" s="14">
        <f>C596/B596</f>
        <v>1.0847908213236324</v>
      </c>
      <c r="M596" s="14">
        <f t="shared" si="79"/>
        <v>1.0876150108729907</v>
      </c>
      <c r="N596" s="14">
        <f t="shared" si="75"/>
        <v>1.0884400336474838</v>
      </c>
      <c r="O596" s="14">
        <f t="shared" si="76"/>
        <v>1.0907349388974199</v>
      </c>
      <c r="P596" s="14">
        <f t="shared" si="78"/>
        <v>1.0880635223490085</v>
      </c>
      <c r="Q596" s="4" t="str">
        <f t="shared" si="82"/>
        <v>UNDER</v>
      </c>
      <c r="R596" s="4" t="str">
        <f t="shared" si="82"/>
        <v>UNDER</v>
      </c>
      <c r="S596" s="4" t="str">
        <f t="shared" si="80"/>
        <v>UNDER</v>
      </c>
      <c r="T596" s="4" t="str">
        <f t="shared" si="80"/>
        <v>UNDER</v>
      </c>
      <c r="U596" s="2">
        <f>IF(Q596="OVER",$J596,$K596)</f>
        <v>0</v>
      </c>
      <c r="V596" s="2">
        <f>IF(R596="OVER",$J596,$K596)</f>
        <v>0</v>
      </c>
      <c r="W596" s="2">
        <f>IF(S596="OVER",$J596,$K596)</f>
        <v>0</v>
      </c>
      <c r="X596" s="2">
        <f>IF(T596="OVER",$J596,$K596)</f>
        <v>0</v>
      </c>
      <c r="Y596" s="9">
        <f t="shared" si="81"/>
        <v>-22162.992187920965</v>
      </c>
      <c r="Z596" s="9">
        <f t="shared" si="81"/>
        <v>-22016.780364579885</v>
      </c>
      <c r="AA596" s="9">
        <f t="shared" si="81"/>
        <v>33660.07204910845</v>
      </c>
      <c r="AB596" s="9">
        <f t="shared" si="81"/>
        <v>7770.717116447061</v>
      </c>
    </row>
    <row r="597" spans="1:28" x14ac:dyDescent="0.3">
      <c r="A597" s="1">
        <v>45278</v>
      </c>
      <c r="B597" s="2">
        <v>71.400000000000006</v>
      </c>
      <c r="C597" s="2">
        <v>77.63</v>
      </c>
      <c r="D597" s="9">
        <f>B597-B596</f>
        <v>-6.9999999999993179E-2</v>
      </c>
      <c r="E597" s="9">
        <f>C597-C596</f>
        <v>9.9999999999994316E-2</v>
      </c>
      <c r="F597" s="3">
        <f>F$1/B597</f>
        <v>1400.5602240896358</v>
      </c>
      <c r="G597" s="3">
        <f>F$1/C597</f>
        <v>1288.1617931212161</v>
      </c>
      <c r="H597" s="2">
        <f>D597*F596</f>
        <v>-97.943192948080565</v>
      </c>
      <c r="I597" s="2">
        <f>E597*G596</f>
        <v>128.98232942086202</v>
      </c>
      <c r="J597" s="2">
        <f>I597-H597</f>
        <v>226.92552236894258</v>
      </c>
      <c r="K597" s="2">
        <f t="shared" si="77"/>
        <v>-226.92552236894258</v>
      </c>
      <c r="L597" s="14">
        <f>C597/B597</f>
        <v>1.0872549019607842</v>
      </c>
      <c r="M597" s="14">
        <f t="shared" si="79"/>
        <v>1.087673159150389</v>
      </c>
      <c r="N597" s="14">
        <f t="shared" si="75"/>
        <v>1.0883106492533938</v>
      </c>
      <c r="O597" s="14">
        <f t="shared" si="76"/>
        <v>1.0906433936635282</v>
      </c>
      <c r="P597" s="14">
        <f t="shared" si="78"/>
        <v>1.0880600742676954</v>
      </c>
      <c r="Q597" s="4" t="str">
        <f t="shared" si="82"/>
        <v>UNDER</v>
      </c>
      <c r="R597" s="4" t="str">
        <f t="shared" si="82"/>
        <v>UNDER</v>
      </c>
      <c r="S597" s="4" t="str">
        <f t="shared" si="80"/>
        <v>UNDER</v>
      </c>
      <c r="T597" s="4" t="str">
        <f t="shared" si="80"/>
        <v>UNDER</v>
      </c>
      <c r="U597" s="2">
        <f>IF(Q597="OVER",$J597,$K597)</f>
        <v>-226.92552236894258</v>
      </c>
      <c r="V597" s="2">
        <f>IF(R597="OVER",$J597,$K597)</f>
        <v>-226.92552236894258</v>
      </c>
      <c r="W597" s="2">
        <f>IF(S597="OVER",$J597,$K597)</f>
        <v>-226.92552236894258</v>
      </c>
      <c r="X597" s="2">
        <f>IF(T597="OVER",$J597,$K597)</f>
        <v>-226.92552236894258</v>
      </c>
      <c r="Y597" s="9">
        <f t="shared" si="81"/>
        <v>-22389.917710289908</v>
      </c>
      <c r="Z597" s="9">
        <f t="shared" si="81"/>
        <v>-22243.705886948828</v>
      </c>
      <c r="AA597" s="9">
        <f t="shared" si="81"/>
        <v>33433.146526739511</v>
      </c>
      <c r="AB597" s="9">
        <f t="shared" si="81"/>
        <v>7543.7915940781186</v>
      </c>
    </row>
    <row r="598" spans="1:28" x14ac:dyDescent="0.3">
      <c r="A598" s="1">
        <v>45279</v>
      </c>
      <c r="B598" s="2">
        <v>71.84</v>
      </c>
      <c r="C598" s="2">
        <v>78.180000000000007</v>
      </c>
      <c r="D598" s="9">
        <f>B598-B597</f>
        <v>0.43999999999999773</v>
      </c>
      <c r="E598" s="9">
        <f>C598-C597</f>
        <v>0.55000000000001137</v>
      </c>
      <c r="F598" s="3">
        <f>F$1/B598</f>
        <v>1391.9821826280622</v>
      </c>
      <c r="G598" s="3">
        <f>F$1/C598</f>
        <v>1279.0995139421846</v>
      </c>
      <c r="H598" s="2">
        <f>D598*F597</f>
        <v>616.24649859943656</v>
      </c>
      <c r="I598" s="2">
        <f>E598*G597</f>
        <v>708.48898621668354</v>
      </c>
      <c r="J598" s="2">
        <f>I598-H598</f>
        <v>92.242487617246979</v>
      </c>
      <c r="K598" s="2">
        <f t="shared" si="77"/>
        <v>-92.242487617246979</v>
      </c>
      <c r="L598" s="14">
        <f>C598/B598</f>
        <v>1.0882516703786191</v>
      </c>
      <c r="M598" s="14">
        <f t="shared" si="79"/>
        <v>1.0877213060228654</v>
      </c>
      <c r="N598" s="14">
        <f t="shared" si="75"/>
        <v>1.0882556504358898</v>
      </c>
      <c r="O598" s="14">
        <f t="shared" si="76"/>
        <v>1.0905203361076057</v>
      </c>
      <c r="P598" s="14">
        <f t="shared" si="78"/>
        <v>1.088070247141919</v>
      </c>
      <c r="Q598" s="4" t="str">
        <f t="shared" si="82"/>
        <v>UNDER</v>
      </c>
      <c r="R598" s="4" t="str">
        <f t="shared" si="82"/>
        <v>UNDER</v>
      </c>
      <c r="S598" s="4" t="str">
        <f t="shared" si="80"/>
        <v>UNDER</v>
      </c>
      <c r="T598" s="4" t="str">
        <f t="shared" si="80"/>
        <v>OVER</v>
      </c>
      <c r="U598" s="2">
        <f>IF(Q598="OVER",$J598,$K598)</f>
        <v>-92.242487617246979</v>
      </c>
      <c r="V598" s="2">
        <f>IF(R598="OVER",$J598,$K598)</f>
        <v>-92.242487617246979</v>
      </c>
      <c r="W598" s="2">
        <f>IF(S598="OVER",$J598,$K598)</f>
        <v>-92.242487617246979</v>
      </c>
      <c r="X598" s="2">
        <f>IF(T598="OVER",$J598,$K598)</f>
        <v>92.242487617246979</v>
      </c>
      <c r="Y598" s="9">
        <f t="shared" si="81"/>
        <v>-22482.160197907157</v>
      </c>
      <c r="Z598" s="9">
        <f t="shared" si="81"/>
        <v>-22335.948374566076</v>
      </c>
      <c r="AA598" s="9">
        <f t="shared" si="81"/>
        <v>33340.904039122266</v>
      </c>
      <c r="AB598" s="9">
        <f t="shared" si="81"/>
        <v>7636.0340816953658</v>
      </c>
    </row>
    <row r="599" spans="1:28" x14ac:dyDescent="0.3">
      <c r="A599" s="1">
        <v>45280</v>
      </c>
      <c r="B599" s="2">
        <v>71.22</v>
      </c>
      <c r="C599" s="2">
        <v>77.430000000000007</v>
      </c>
      <c r="D599" s="9">
        <f>B599-B598</f>
        <v>-0.62000000000000455</v>
      </c>
      <c r="E599" s="9">
        <f>C599-C598</f>
        <v>-0.75</v>
      </c>
      <c r="F599" s="3">
        <f>F$1/B599</f>
        <v>1404.0999719180006</v>
      </c>
      <c r="G599" s="3">
        <f>F$1/C599</f>
        <v>1291.4890869172154</v>
      </c>
      <c r="H599" s="2">
        <f>D599*F598</f>
        <v>-863.02895322940492</v>
      </c>
      <c r="I599" s="2">
        <f>E599*G598</f>
        <v>-959.32463545663836</v>
      </c>
      <c r="J599" s="2">
        <f>I599-H599</f>
        <v>-96.295682227233442</v>
      </c>
      <c r="K599" s="2">
        <f t="shared" si="77"/>
        <v>96.295682227233442</v>
      </c>
      <c r="L599" s="14">
        <f>C599/B599</f>
        <v>1.0871946082561079</v>
      </c>
      <c r="M599" s="14">
        <f t="shared" si="79"/>
        <v>1.0877596074281866</v>
      </c>
      <c r="N599" s="14">
        <f t="shared" ref="N599:N662" si="83">AVERAGE(L580:L599)</f>
        <v>1.0881366621774808</v>
      </c>
      <c r="O599" s="14">
        <f t="shared" si="76"/>
        <v>1.0904417290147876</v>
      </c>
      <c r="P599" s="14">
        <f t="shared" si="78"/>
        <v>1.0880685996521209</v>
      </c>
      <c r="Q599" s="4" t="str">
        <f t="shared" si="82"/>
        <v>OVER</v>
      </c>
      <c r="R599" s="4" t="str">
        <f t="shared" si="82"/>
        <v>UNDER</v>
      </c>
      <c r="S599" s="4" t="str">
        <f t="shared" si="80"/>
        <v>UNDER</v>
      </c>
      <c r="T599" s="4" t="str">
        <f t="shared" si="80"/>
        <v>UNDER</v>
      </c>
      <c r="U599" s="2">
        <f>IF(Q599="OVER",$J599,$K599)</f>
        <v>-96.295682227233442</v>
      </c>
      <c r="V599" s="2">
        <f>IF(R599="OVER",$J599,$K599)</f>
        <v>96.295682227233442</v>
      </c>
      <c r="W599" s="2">
        <f>IF(S599="OVER",$J599,$K599)</f>
        <v>96.295682227233442</v>
      </c>
      <c r="X599" s="2">
        <f>IF(T599="OVER",$J599,$K599)</f>
        <v>96.295682227233442</v>
      </c>
      <c r="Y599" s="9">
        <f t="shared" si="81"/>
        <v>-22578.455880134388</v>
      </c>
      <c r="Z599" s="9">
        <f t="shared" si="81"/>
        <v>-22239.652692338845</v>
      </c>
      <c r="AA599" s="9">
        <f t="shared" si="81"/>
        <v>33437.199721349498</v>
      </c>
      <c r="AB599" s="9">
        <f t="shared" si="81"/>
        <v>7732.3297639225993</v>
      </c>
    </row>
    <row r="600" spans="1:28" x14ac:dyDescent="0.3">
      <c r="A600" s="1">
        <v>45281</v>
      </c>
      <c r="B600" s="2">
        <v>71.78</v>
      </c>
      <c r="C600" s="2">
        <v>78.13</v>
      </c>
      <c r="D600" s="9">
        <f>B600-B599</f>
        <v>0.56000000000000227</v>
      </c>
      <c r="E600" s="9">
        <f>C600-C599</f>
        <v>0.69999999999998863</v>
      </c>
      <c r="F600" s="3">
        <f>F$1/B600</f>
        <v>1393.1457230426302</v>
      </c>
      <c r="G600" s="3">
        <f>F$1/C600</f>
        <v>1279.9180852425445</v>
      </c>
      <c r="H600" s="2">
        <f>D600*F599</f>
        <v>786.29598427408359</v>
      </c>
      <c r="I600" s="2">
        <f>E600*G599</f>
        <v>904.04236084203615</v>
      </c>
      <c r="J600" s="2">
        <f>I600-H600</f>
        <v>117.74637656795255</v>
      </c>
      <c r="K600" s="2">
        <f t="shared" si="77"/>
        <v>-117.74637656795255</v>
      </c>
      <c r="L600" s="14">
        <f>C600/B600</f>
        <v>1.088464753413207</v>
      </c>
      <c r="M600" s="14">
        <f t="shared" si="79"/>
        <v>1.0878978936114909</v>
      </c>
      <c r="N600" s="14">
        <f t="shared" si="83"/>
        <v>1.0880904607479487</v>
      </c>
      <c r="O600" s="14">
        <f t="shared" si="76"/>
        <v>1.0903704787362825</v>
      </c>
      <c r="P600" s="14">
        <f t="shared" si="78"/>
        <v>1.0880888792120962</v>
      </c>
      <c r="Q600" s="4" t="str">
        <f t="shared" si="82"/>
        <v>UNDER</v>
      </c>
      <c r="R600" s="4" t="str">
        <f t="shared" si="82"/>
        <v>UNDER</v>
      </c>
      <c r="S600" s="4" t="str">
        <f t="shared" si="80"/>
        <v>UNDER</v>
      </c>
      <c r="T600" s="4" t="str">
        <f t="shared" si="80"/>
        <v>OVER</v>
      </c>
      <c r="U600" s="2">
        <f>IF(Q600="OVER",$J600,$K600)</f>
        <v>-117.74637656795255</v>
      </c>
      <c r="V600" s="2">
        <f>IF(R600="OVER",$J600,$K600)</f>
        <v>-117.74637656795255</v>
      </c>
      <c r="W600" s="2">
        <f>IF(S600="OVER",$J600,$K600)</f>
        <v>-117.74637656795255</v>
      </c>
      <c r="X600" s="2">
        <f>IF(T600="OVER",$J600,$K600)</f>
        <v>117.74637656795255</v>
      </c>
      <c r="Y600" s="9">
        <f t="shared" si="81"/>
        <v>-22696.202256702341</v>
      </c>
      <c r="Z600" s="9">
        <f t="shared" si="81"/>
        <v>-22357.399068906798</v>
      </c>
      <c r="AA600" s="9">
        <f t="shared" si="81"/>
        <v>33319.453344781548</v>
      </c>
      <c r="AB600" s="9">
        <f t="shared" si="81"/>
        <v>7850.0761404905516</v>
      </c>
    </row>
    <row r="601" spans="1:28" x14ac:dyDescent="0.3">
      <c r="A601" s="1">
        <v>45282</v>
      </c>
      <c r="B601" s="2">
        <v>71.87</v>
      </c>
      <c r="C601" s="2">
        <v>78.34</v>
      </c>
      <c r="D601" s="9">
        <f>B601-B600</f>
        <v>9.0000000000003411E-2</v>
      </c>
      <c r="E601" s="9">
        <f>C601-C600</f>
        <v>0.21000000000000796</v>
      </c>
      <c r="F601" s="3">
        <f>F$1/B601</f>
        <v>1391.4011409489356</v>
      </c>
      <c r="G601" s="3">
        <f>F$1/C601</f>
        <v>1276.4871074802145</v>
      </c>
      <c r="H601" s="2">
        <f>D601*F600</f>
        <v>125.38311507384147</v>
      </c>
      <c r="I601" s="2">
        <f>E601*G600</f>
        <v>268.78279790094456</v>
      </c>
      <c r="J601" s="2">
        <f>I601-H601</f>
        <v>143.39968282710311</v>
      </c>
      <c r="K601" s="2">
        <f t="shared" si="77"/>
        <v>-143.39968282710311</v>
      </c>
      <c r="L601" s="14">
        <f>C601/B601</f>
        <v>1.0900236538193961</v>
      </c>
      <c r="M601" s="14">
        <f t="shared" si="79"/>
        <v>1.0880110499457427</v>
      </c>
      <c r="N601" s="14">
        <f t="shared" si="83"/>
        <v>1.0881535988369395</v>
      </c>
      <c r="O601" s="14">
        <f t="shared" si="76"/>
        <v>1.0903036885762794</v>
      </c>
      <c r="P601" s="14">
        <f t="shared" si="78"/>
        <v>1.0881069265464172</v>
      </c>
      <c r="Q601" s="4" t="str">
        <f t="shared" si="82"/>
        <v>OVER</v>
      </c>
      <c r="R601" s="4" t="str">
        <f t="shared" si="82"/>
        <v>OVER</v>
      </c>
      <c r="S601" s="4" t="str">
        <f t="shared" si="80"/>
        <v>UNDER</v>
      </c>
      <c r="T601" s="4" t="str">
        <f t="shared" si="80"/>
        <v>OVER</v>
      </c>
      <c r="U601" s="2">
        <f>IF(Q601="OVER",$J601,$K601)</f>
        <v>143.39968282710311</v>
      </c>
      <c r="V601" s="2">
        <f>IF(R601="OVER",$J601,$K601)</f>
        <v>143.39968282710311</v>
      </c>
      <c r="W601" s="2">
        <f>IF(S601="OVER",$J601,$K601)</f>
        <v>-143.39968282710311</v>
      </c>
      <c r="X601" s="2">
        <f>IF(T601="OVER",$J601,$K601)</f>
        <v>143.39968282710311</v>
      </c>
      <c r="Y601" s="9">
        <f t="shared" si="81"/>
        <v>-22552.802573875237</v>
      </c>
      <c r="Z601" s="9">
        <f t="shared" si="81"/>
        <v>-22213.999386079693</v>
      </c>
      <c r="AA601" s="9">
        <f t="shared" si="81"/>
        <v>33176.053661954444</v>
      </c>
      <c r="AB601" s="9">
        <f t="shared" si="81"/>
        <v>7993.4758233176544</v>
      </c>
    </row>
    <row r="602" spans="1:28" x14ac:dyDescent="0.3">
      <c r="A602" s="1">
        <v>45286</v>
      </c>
      <c r="B602" s="2">
        <v>72.150000000000006</v>
      </c>
      <c r="C602" s="2">
        <v>78.5</v>
      </c>
      <c r="D602" s="9">
        <f>B602-B601</f>
        <v>0.28000000000000114</v>
      </c>
      <c r="E602" s="9">
        <f>C602-C601</f>
        <v>0.15999999999999659</v>
      </c>
      <c r="F602" s="3">
        <f>F$1/B602</f>
        <v>1386.001386001386</v>
      </c>
      <c r="G602" s="3">
        <f>F$1/C602</f>
        <v>1273.8853503184714</v>
      </c>
      <c r="H602" s="2">
        <f>D602*F601</f>
        <v>389.59231946570355</v>
      </c>
      <c r="I602" s="2">
        <f>E602*G601</f>
        <v>204.23793719682996</v>
      </c>
      <c r="J602" s="2">
        <f>I602-H602</f>
        <v>-185.35438226887359</v>
      </c>
      <c r="K602" s="2">
        <f t="shared" si="77"/>
        <v>185.35438226887359</v>
      </c>
      <c r="L602" s="14">
        <f>C602/B602</f>
        <v>1.088011088011088</v>
      </c>
      <c r="M602" s="14">
        <f t="shared" si="79"/>
        <v>1.0878466415054722</v>
      </c>
      <c r="N602" s="14">
        <f t="shared" si="83"/>
        <v>1.0880570331666033</v>
      </c>
      <c r="O602" s="14">
        <f t="shared" si="76"/>
        <v>1.0902291303305152</v>
      </c>
      <c r="P602" s="14">
        <f t="shared" si="78"/>
        <v>1.088128285275145</v>
      </c>
      <c r="Q602" s="4" t="str">
        <f t="shared" si="82"/>
        <v>OVER</v>
      </c>
      <c r="R602" s="4" t="str">
        <f t="shared" si="82"/>
        <v>OVER</v>
      </c>
      <c r="S602" s="4" t="str">
        <f t="shared" si="80"/>
        <v>UNDER</v>
      </c>
      <c r="T602" s="4" t="str">
        <f t="shared" si="80"/>
        <v>UNDER</v>
      </c>
      <c r="U602" s="2">
        <f>IF(Q602="OVER",$J602,$K602)</f>
        <v>-185.35438226887359</v>
      </c>
      <c r="V602" s="2">
        <f>IF(R602="OVER",$J602,$K602)</f>
        <v>-185.35438226887359</v>
      </c>
      <c r="W602" s="2">
        <f>IF(S602="OVER",$J602,$K602)</f>
        <v>185.35438226887359</v>
      </c>
      <c r="X602" s="2">
        <f>IF(T602="OVER",$J602,$K602)</f>
        <v>185.35438226887359</v>
      </c>
      <c r="Y602" s="9">
        <f t="shared" si="81"/>
        <v>-22738.15695614411</v>
      </c>
      <c r="Z602" s="9">
        <f t="shared" si="81"/>
        <v>-22399.353768348567</v>
      </c>
      <c r="AA602" s="9">
        <f t="shared" si="81"/>
        <v>33361.408044223317</v>
      </c>
      <c r="AB602" s="9">
        <f t="shared" si="81"/>
        <v>8178.8302055865279</v>
      </c>
    </row>
    <row r="603" spans="1:28" x14ac:dyDescent="0.3">
      <c r="A603" s="1">
        <v>45287</v>
      </c>
      <c r="B603" s="2">
        <v>72.47</v>
      </c>
      <c r="C603" s="2">
        <v>78.86</v>
      </c>
      <c r="D603" s="9">
        <f>B603-B602</f>
        <v>0.31999999999999318</v>
      </c>
      <c r="E603" s="9">
        <f>C603-C602</f>
        <v>0.35999999999999943</v>
      </c>
      <c r="F603" s="3">
        <f>F$1/B603</f>
        <v>1379.8813302056024</v>
      </c>
      <c r="G603" s="3">
        <f>F$1/C603</f>
        <v>1268.0699974638601</v>
      </c>
      <c r="H603" s="2">
        <f>D603*F602</f>
        <v>443.52044352043407</v>
      </c>
      <c r="I603" s="2">
        <f>E603*G602</f>
        <v>458.59872611464897</v>
      </c>
      <c r="J603" s="2">
        <f>I603-H603</f>
        <v>15.078282594214897</v>
      </c>
      <c r="K603" s="2">
        <f t="shared" si="77"/>
        <v>-15.078282594214897</v>
      </c>
      <c r="L603" s="14">
        <f>C603/B603</f>
        <v>1.088174417000138</v>
      </c>
      <c r="M603" s="14">
        <f t="shared" si="79"/>
        <v>1.0875116871772805</v>
      </c>
      <c r="N603" s="14">
        <f t="shared" si="83"/>
        <v>1.0879631747977452</v>
      </c>
      <c r="O603" s="14">
        <f t="shared" si="76"/>
        <v>1.0901562794247288</v>
      </c>
      <c r="P603" s="14">
        <f t="shared" si="78"/>
        <v>1.0881547969665419</v>
      </c>
      <c r="Q603" s="4" t="str">
        <f t="shared" si="82"/>
        <v>OVER</v>
      </c>
      <c r="R603" s="4" t="str">
        <f t="shared" si="82"/>
        <v>UNDER</v>
      </c>
      <c r="S603" s="4" t="str">
        <f t="shared" si="80"/>
        <v>UNDER</v>
      </c>
      <c r="T603" s="4" t="str">
        <f t="shared" si="80"/>
        <v>OVER</v>
      </c>
      <c r="U603" s="2">
        <f>IF(Q603="OVER",$J603,$K603)</f>
        <v>15.078282594214897</v>
      </c>
      <c r="V603" s="2">
        <f>IF(R603="OVER",$J603,$K603)</f>
        <v>-15.078282594214897</v>
      </c>
      <c r="W603" s="2">
        <f>IF(S603="OVER",$J603,$K603)</f>
        <v>-15.078282594214897</v>
      </c>
      <c r="X603" s="2">
        <f>IF(T603="OVER",$J603,$K603)</f>
        <v>15.078282594214897</v>
      </c>
      <c r="Y603" s="9">
        <f t="shared" si="81"/>
        <v>-22723.078673549895</v>
      </c>
      <c r="Z603" s="9">
        <f t="shared" si="81"/>
        <v>-22414.432050942782</v>
      </c>
      <c r="AA603" s="9">
        <f t="shared" si="81"/>
        <v>33346.329761629102</v>
      </c>
      <c r="AB603" s="9">
        <f t="shared" si="81"/>
        <v>8193.908488180743</v>
      </c>
    </row>
    <row r="604" spans="1:28" x14ac:dyDescent="0.3">
      <c r="A604" s="1">
        <v>45288</v>
      </c>
      <c r="B604" s="2">
        <v>72.44</v>
      </c>
      <c r="C604" s="2">
        <v>78.819999999999993</v>
      </c>
      <c r="D604" s="9">
        <f>B604-B603</f>
        <v>-3.0000000000001137E-2</v>
      </c>
      <c r="E604" s="9">
        <f>C604-C603</f>
        <v>-4.0000000000006253E-2</v>
      </c>
      <c r="F604" s="3">
        <f>F$1/B604</f>
        <v>1380.4527885146329</v>
      </c>
      <c r="G604" s="3">
        <f>F$1/C604</f>
        <v>1268.7135244861711</v>
      </c>
      <c r="H604" s="2">
        <f>D604*F603</f>
        <v>-41.39643990616964</v>
      </c>
      <c r="I604" s="2">
        <f>E604*G603</f>
        <v>-50.722799898562336</v>
      </c>
      <c r="J604" s="2">
        <f>I604-H604</f>
        <v>-9.3263599923926961</v>
      </c>
      <c r="K604" s="2">
        <f t="shared" si="77"/>
        <v>9.3263599923926961</v>
      </c>
      <c r="L604" s="14">
        <f>C604/B604</f>
        <v>1.0880728879072334</v>
      </c>
      <c r="M604" s="14">
        <f t="shared" si="79"/>
        <v>1.0875029623393839</v>
      </c>
      <c r="N604" s="14">
        <f t="shared" si="83"/>
        <v>1.0879078940210467</v>
      </c>
      <c r="O604" s="14">
        <f t="shared" si="76"/>
        <v>1.0900432950525549</v>
      </c>
      <c r="P604" s="14">
        <f t="shared" si="78"/>
        <v>1.0881922084685205</v>
      </c>
      <c r="Q604" s="4" t="str">
        <f t="shared" si="82"/>
        <v>OVER</v>
      </c>
      <c r="R604" s="4" t="str">
        <f t="shared" si="82"/>
        <v>OVER</v>
      </c>
      <c r="S604" s="4" t="str">
        <f t="shared" si="80"/>
        <v>UNDER</v>
      </c>
      <c r="T604" s="4" t="str">
        <f t="shared" si="80"/>
        <v>UNDER</v>
      </c>
      <c r="U604" s="2">
        <f>IF(Q604="OVER",$J604,$K604)</f>
        <v>-9.3263599923926961</v>
      </c>
      <c r="V604" s="2">
        <f>IF(R604="OVER",$J604,$K604)</f>
        <v>-9.3263599923926961</v>
      </c>
      <c r="W604" s="2">
        <f>IF(S604="OVER",$J604,$K604)</f>
        <v>9.3263599923926961</v>
      </c>
      <c r="X604" s="2">
        <f>IF(T604="OVER",$J604,$K604)</f>
        <v>9.3263599923926961</v>
      </c>
      <c r="Y604" s="9">
        <f t="shared" si="81"/>
        <v>-22732.405033542287</v>
      </c>
      <c r="Z604" s="9">
        <f t="shared" si="81"/>
        <v>-22423.758410935174</v>
      </c>
      <c r="AA604" s="9">
        <f t="shared" si="81"/>
        <v>33355.656121621498</v>
      </c>
      <c r="AB604" s="9">
        <f t="shared" si="81"/>
        <v>8203.2348481731351</v>
      </c>
    </row>
    <row r="605" spans="1:28" x14ac:dyDescent="0.3">
      <c r="A605" s="1">
        <v>45289</v>
      </c>
      <c r="B605" s="2">
        <v>72.150000000000006</v>
      </c>
      <c r="C605" s="2">
        <v>78.59</v>
      </c>
      <c r="D605" s="9">
        <f>B605-B604</f>
        <v>-0.28999999999999204</v>
      </c>
      <c r="E605" s="9">
        <f>C605-C604</f>
        <v>-0.22999999999998977</v>
      </c>
      <c r="F605" s="3">
        <f>F$1/B605</f>
        <v>1386.001386001386</v>
      </c>
      <c r="G605" s="3">
        <f>F$1/C605</f>
        <v>1272.4265173686219</v>
      </c>
      <c r="H605" s="2">
        <f>D605*F604</f>
        <v>-400.33130866923256</v>
      </c>
      <c r="I605" s="2">
        <f>E605*G604</f>
        <v>-291.8041106318064</v>
      </c>
      <c r="J605" s="2">
        <f>I605-H605</f>
        <v>108.52719803742616</v>
      </c>
      <c r="K605" s="2">
        <f t="shared" si="77"/>
        <v>-108.52719803742616</v>
      </c>
      <c r="L605" s="14">
        <f>C605/B605</f>
        <v>1.0892584892584891</v>
      </c>
      <c r="M605" s="14">
        <f t="shared" si="79"/>
        <v>1.0879497291328695</v>
      </c>
      <c r="N605" s="14">
        <f t="shared" si="83"/>
        <v>1.0879835707507157</v>
      </c>
      <c r="O605" s="14">
        <f t="shared" si="76"/>
        <v>1.0899565584330451</v>
      </c>
      <c r="P605" s="14">
        <f t="shared" si="78"/>
        <v>1.0882307623607819</v>
      </c>
      <c r="Q605" s="4" t="str">
        <f t="shared" si="82"/>
        <v>OVER</v>
      </c>
      <c r="R605" s="4" t="str">
        <f t="shared" si="82"/>
        <v>OVER</v>
      </c>
      <c r="S605" s="4" t="str">
        <f t="shared" si="80"/>
        <v>UNDER</v>
      </c>
      <c r="T605" s="4" t="str">
        <f t="shared" si="80"/>
        <v>OVER</v>
      </c>
      <c r="U605" s="2">
        <f>IF(Q605="OVER",$J605,$K605)</f>
        <v>108.52719803742616</v>
      </c>
      <c r="V605" s="2">
        <f>IF(R605="OVER",$J605,$K605)</f>
        <v>108.52719803742616</v>
      </c>
      <c r="W605" s="2">
        <f>IF(S605="OVER",$J605,$K605)</f>
        <v>-108.52719803742616</v>
      </c>
      <c r="X605" s="2">
        <f>IF(T605="OVER",$J605,$K605)</f>
        <v>108.52719803742616</v>
      </c>
      <c r="Y605" s="9">
        <f t="shared" si="81"/>
        <v>-22623.87783550486</v>
      </c>
      <c r="Z605" s="9">
        <f t="shared" si="81"/>
        <v>-22315.231212897746</v>
      </c>
      <c r="AA605" s="9">
        <f t="shared" si="81"/>
        <v>33247.128923584074</v>
      </c>
      <c r="AB605" s="9">
        <f t="shared" si="81"/>
        <v>8311.7620462105606</v>
      </c>
    </row>
    <row r="606" spans="1:28" x14ac:dyDescent="0.3">
      <c r="A606" s="1">
        <v>45293</v>
      </c>
      <c r="B606" s="2">
        <v>71.56</v>
      </c>
      <c r="C606" s="2">
        <v>77.819999999999993</v>
      </c>
      <c r="D606" s="9">
        <f>B606-B605</f>
        <v>-0.59000000000000341</v>
      </c>
      <c r="E606" s="9">
        <f>C606-C605</f>
        <v>-0.77000000000001023</v>
      </c>
      <c r="F606" s="3">
        <f>F$1/B606</f>
        <v>1397.4287311347121</v>
      </c>
      <c r="G606" s="3">
        <f>F$1/C606</f>
        <v>1285.016705217168</v>
      </c>
      <c r="H606" s="2">
        <f>D606*F605</f>
        <v>-817.74081774082242</v>
      </c>
      <c r="I606" s="2">
        <f>E606*G605</f>
        <v>-979.76841837385189</v>
      </c>
      <c r="J606" s="2">
        <f>I606-H606</f>
        <v>-162.02760063302946</v>
      </c>
      <c r="K606" s="2">
        <f t="shared" si="77"/>
        <v>162.02760063302946</v>
      </c>
      <c r="L606" s="14">
        <f>C606/B606</f>
        <v>1.0874790385690329</v>
      </c>
      <c r="M606" s="14">
        <f t="shared" si="79"/>
        <v>1.0882185508574094</v>
      </c>
      <c r="N606" s="14">
        <f t="shared" si="83"/>
        <v>1.0879167808652004</v>
      </c>
      <c r="O606" s="14">
        <f t="shared" si="76"/>
        <v>1.0897986422274004</v>
      </c>
      <c r="P606" s="14">
        <f t="shared" si="78"/>
        <v>1.0882397170465243</v>
      </c>
      <c r="Q606" s="4" t="str">
        <f t="shared" si="82"/>
        <v>OVER</v>
      </c>
      <c r="R606" s="4" t="str">
        <f t="shared" si="82"/>
        <v>OVER</v>
      </c>
      <c r="S606" s="4" t="str">
        <f t="shared" si="80"/>
        <v>UNDER</v>
      </c>
      <c r="T606" s="4" t="str">
        <f t="shared" si="80"/>
        <v>UNDER</v>
      </c>
      <c r="U606" s="2">
        <f>IF(Q606="OVER",$J606,$K606)</f>
        <v>-162.02760063302946</v>
      </c>
      <c r="V606" s="2">
        <f>IF(R606="OVER",$J606,$K606)</f>
        <v>-162.02760063302946</v>
      </c>
      <c r="W606" s="2">
        <f>IF(S606="OVER",$J606,$K606)</f>
        <v>162.02760063302946</v>
      </c>
      <c r="X606" s="2">
        <f>IF(T606="OVER",$J606,$K606)</f>
        <v>162.02760063302946</v>
      </c>
      <c r="Y606" s="9">
        <f t="shared" si="81"/>
        <v>-22785.905436137888</v>
      </c>
      <c r="Z606" s="9">
        <f t="shared" si="81"/>
        <v>-22477.258813530774</v>
      </c>
      <c r="AA606" s="9">
        <f t="shared" si="81"/>
        <v>33409.156524217105</v>
      </c>
      <c r="AB606" s="9">
        <f t="shared" si="81"/>
        <v>8473.7896468435902</v>
      </c>
    </row>
    <row r="607" spans="1:28" x14ac:dyDescent="0.3">
      <c r="A607" s="1">
        <v>45294</v>
      </c>
      <c r="B607" s="2">
        <v>70.81</v>
      </c>
      <c r="C607" s="2">
        <v>77.08</v>
      </c>
      <c r="D607" s="9">
        <f>B607-B606</f>
        <v>-0.75</v>
      </c>
      <c r="E607" s="9">
        <f>C607-C606</f>
        <v>-0.73999999999999488</v>
      </c>
      <c r="F607" s="3">
        <f>F$1/B607</f>
        <v>1412.2299110295155</v>
      </c>
      <c r="G607" s="3">
        <f>F$1/C607</f>
        <v>1297.3533990659055</v>
      </c>
      <c r="H607" s="2">
        <f>D607*F606</f>
        <v>-1048.0715483510339</v>
      </c>
      <c r="I607" s="2">
        <f>E607*G606</f>
        <v>-950.91236186069773</v>
      </c>
      <c r="J607" s="2">
        <f>I607-H607</f>
        <v>97.159186490336197</v>
      </c>
      <c r="K607" s="2">
        <f t="shared" si="77"/>
        <v>-97.159186490336197</v>
      </c>
      <c r="L607" s="14">
        <f>C607/B607</f>
        <v>1.0885468154215505</v>
      </c>
      <c r="M607" s="14">
        <f t="shared" si="79"/>
        <v>1.0883477422034862</v>
      </c>
      <c r="N607" s="14">
        <f t="shared" si="83"/>
        <v>1.0880104506769377</v>
      </c>
      <c r="O607" s="14">
        <f t="shared" si="76"/>
        <v>1.0896766996557341</v>
      </c>
      <c r="P607" s="14">
        <f t="shared" si="78"/>
        <v>1.0882493075630844</v>
      </c>
      <c r="Q607" s="4" t="str">
        <f t="shared" si="82"/>
        <v>UNDER</v>
      </c>
      <c r="R607" s="4" t="str">
        <f t="shared" si="82"/>
        <v>UNDER</v>
      </c>
      <c r="S607" s="4" t="str">
        <f t="shared" si="80"/>
        <v>UNDER</v>
      </c>
      <c r="T607" s="4" t="str">
        <f t="shared" si="80"/>
        <v>OVER</v>
      </c>
      <c r="U607" s="2">
        <f>IF(Q607="OVER",$J607,$K607)</f>
        <v>-97.159186490336197</v>
      </c>
      <c r="V607" s="2">
        <f>IF(R607="OVER",$J607,$K607)</f>
        <v>-97.159186490336197</v>
      </c>
      <c r="W607" s="2">
        <f>IF(S607="OVER",$J607,$K607)</f>
        <v>-97.159186490336197</v>
      </c>
      <c r="X607" s="2">
        <f>IF(T607="OVER",$J607,$K607)</f>
        <v>97.159186490336197</v>
      </c>
      <c r="Y607" s="9">
        <f t="shared" si="81"/>
        <v>-22883.064622628222</v>
      </c>
      <c r="Z607" s="9">
        <f t="shared" si="81"/>
        <v>-22574.418000021109</v>
      </c>
      <c r="AA607" s="9">
        <f t="shared" si="81"/>
        <v>33311.997337726767</v>
      </c>
      <c r="AB607" s="9">
        <f t="shared" si="81"/>
        <v>8570.9488333339268</v>
      </c>
    </row>
    <row r="608" spans="1:28" x14ac:dyDescent="0.3">
      <c r="A608" s="1">
        <v>45295</v>
      </c>
      <c r="B608" s="2">
        <v>70.62</v>
      </c>
      <c r="C608" s="2">
        <v>76.88</v>
      </c>
      <c r="D608" s="9">
        <f>B608-B607</f>
        <v>-0.18999999999999773</v>
      </c>
      <c r="E608" s="9">
        <f>C608-C607</f>
        <v>-0.20000000000000284</v>
      </c>
      <c r="F608" s="3">
        <f>F$1/B608</f>
        <v>1416.0294534126308</v>
      </c>
      <c r="G608" s="3">
        <f>F$1/C608</f>
        <v>1300.7284079084288</v>
      </c>
      <c r="H608" s="2">
        <f>D608*F607</f>
        <v>-268.32368309560474</v>
      </c>
      <c r="I608" s="2">
        <f>E608*G607</f>
        <v>-259.4706798131848</v>
      </c>
      <c r="J608" s="2">
        <f>I608-H608</f>
        <v>8.8530032824199338</v>
      </c>
      <c r="K608" s="2">
        <f t="shared" si="77"/>
        <v>-8.8530032824199338</v>
      </c>
      <c r="L608" s="14">
        <f>C608/B608</f>
        <v>1.0886434437836305</v>
      </c>
      <c r="M608" s="14">
        <f t="shared" si="79"/>
        <v>1.088386919543987</v>
      </c>
      <c r="N608" s="14">
        <f t="shared" si="83"/>
        <v>1.0880541127834267</v>
      </c>
      <c r="O608" s="14">
        <f t="shared" si="76"/>
        <v>1.0895402971093813</v>
      </c>
      <c r="P608" s="14">
        <f t="shared" si="78"/>
        <v>1.0882665192554442</v>
      </c>
      <c r="Q608" s="4" t="str">
        <f t="shared" si="82"/>
        <v>OVER</v>
      </c>
      <c r="R608" s="4" t="str">
        <f t="shared" si="82"/>
        <v>OVER</v>
      </c>
      <c r="S608" s="4" t="str">
        <f t="shared" si="80"/>
        <v>UNDER</v>
      </c>
      <c r="T608" s="4" t="str">
        <f t="shared" si="80"/>
        <v>OVER</v>
      </c>
      <c r="U608" s="2">
        <f>IF(Q608="OVER",$J608,$K608)</f>
        <v>8.8530032824199338</v>
      </c>
      <c r="V608" s="2">
        <f>IF(R608="OVER",$J608,$K608)</f>
        <v>8.8530032824199338</v>
      </c>
      <c r="W608" s="2">
        <f>IF(S608="OVER",$J608,$K608)</f>
        <v>-8.8530032824199338</v>
      </c>
      <c r="X608" s="2">
        <f>IF(T608="OVER",$J608,$K608)</f>
        <v>8.8530032824199338</v>
      </c>
      <c r="Y608" s="9">
        <f t="shared" si="81"/>
        <v>-22874.211619345802</v>
      </c>
      <c r="Z608" s="9">
        <f t="shared" si="81"/>
        <v>-22565.564996738689</v>
      </c>
      <c r="AA608" s="9">
        <f t="shared" si="81"/>
        <v>33303.144334444347</v>
      </c>
      <c r="AB608" s="9">
        <f t="shared" si="81"/>
        <v>8579.8018366163469</v>
      </c>
    </row>
    <row r="609" spans="1:28" x14ac:dyDescent="0.3">
      <c r="A609" s="1">
        <v>45296</v>
      </c>
      <c r="B609" s="2">
        <v>70.73</v>
      </c>
      <c r="C609" s="2">
        <v>76.72</v>
      </c>
      <c r="D609" s="9">
        <f>B609-B608</f>
        <v>0.10999999999999943</v>
      </c>
      <c r="E609" s="9">
        <f>C609-C608</f>
        <v>-0.15999999999999659</v>
      </c>
      <c r="F609" s="3">
        <f>F$1/B609</f>
        <v>1413.8272303124556</v>
      </c>
      <c r="G609" s="3">
        <f>F$1/C609</f>
        <v>1303.4410844629822</v>
      </c>
      <c r="H609" s="2">
        <f>D609*F608</f>
        <v>155.76323987538859</v>
      </c>
      <c r="I609" s="2">
        <f>E609*G608</f>
        <v>-208.11654526534417</v>
      </c>
      <c r="J609" s="2">
        <f>I609-H609</f>
        <v>-363.87978514073279</v>
      </c>
      <c r="K609" s="2">
        <f t="shared" si="77"/>
        <v>363.87978514073279</v>
      </c>
      <c r="L609" s="14">
        <f>C609/B609</f>
        <v>1.0846882510957161</v>
      </c>
      <c r="M609" s="14">
        <f t="shared" si="79"/>
        <v>1.0881362838279482</v>
      </c>
      <c r="N609" s="14">
        <f t="shared" si="83"/>
        <v>1.0879479456280676</v>
      </c>
      <c r="O609" s="14">
        <f t="shared" si="76"/>
        <v>1.0893639085658402</v>
      </c>
      <c r="P609" s="14">
        <f t="shared" si="78"/>
        <v>1.088281642356703</v>
      </c>
      <c r="Q609" s="4" t="str">
        <f t="shared" si="82"/>
        <v>OVER</v>
      </c>
      <c r="R609" s="4" t="str">
        <f t="shared" si="82"/>
        <v>OVER</v>
      </c>
      <c r="S609" s="4" t="str">
        <f t="shared" si="80"/>
        <v>UNDER</v>
      </c>
      <c r="T609" s="4" t="str">
        <f t="shared" si="80"/>
        <v>UNDER</v>
      </c>
      <c r="U609" s="2">
        <f>IF(Q609="OVER",$J609,$K609)</f>
        <v>-363.87978514073279</v>
      </c>
      <c r="V609" s="2">
        <f>IF(R609="OVER",$J609,$K609)</f>
        <v>-363.87978514073279</v>
      </c>
      <c r="W609" s="2">
        <f>IF(S609="OVER",$J609,$K609)</f>
        <v>363.87978514073279</v>
      </c>
      <c r="X609" s="2">
        <f>IF(T609="OVER",$J609,$K609)</f>
        <v>363.87978514073279</v>
      </c>
      <c r="Y609" s="9">
        <f t="shared" si="81"/>
        <v>-23238.091404486535</v>
      </c>
      <c r="Z609" s="9">
        <f t="shared" si="81"/>
        <v>-22929.444781879421</v>
      </c>
      <c r="AA609" s="9">
        <f t="shared" si="81"/>
        <v>33667.024119585083</v>
      </c>
      <c r="AB609" s="9">
        <f t="shared" si="81"/>
        <v>8943.6816217570795</v>
      </c>
    </row>
    <row r="610" spans="1:28" x14ac:dyDescent="0.3">
      <c r="A610" s="1">
        <v>45299</v>
      </c>
      <c r="B610" s="2">
        <v>71.19</v>
      </c>
      <c r="C610" s="2">
        <v>77.28</v>
      </c>
      <c r="D610" s="9">
        <f>B610-B609</f>
        <v>0.45999999999999375</v>
      </c>
      <c r="E610" s="9">
        <f>C610-C609</f>
        <v>0.56000000000000227</v>
      </c>
      <c r="F610" s="3">
        <f>F$1/B610</f>
        <v>1404.691670178396</v>
      </c>
      <c r="G610" s="3">
        <f>F$1/C610</f>
        <v>1293.9958592132505</v>
      </c>
      <c r="H610" s="2">
        <f>D610*F609</f>
        <v>650.36052594372075</v>
      </c>
      <c r="I610" s="2">
        <f>E610*G609</f>
        <v>729.92700729927299</v>
      </c>
      <c r="J610" s="2">
        <f>I610-H610</f>
        <v>79.566481355552241</v>
      </c>
      <c r="K610" s="2">
        <f t="shared" si="77"/>
        <v>-79.566481355552241</v>
      </c>
      <c r="L610" s="14">
        <f>C610/B610</f>
        <v>1.0855457227138643</v>
      </c>
      <c r="M610" s="14">
        <f t="shared" si="79"/>
        <v>1.0878443807580138</v>
      </c>
      <c r="N610" s="14">
        <f t="shared" si="83"/>
        <v>1.0878711371847527</v>
      </c>
      <c r="O610" s="14">
        <f t="shared" si="76"/>
        <v>1.089265547036649</v>
      </c>
      <c r="P610" s="14">
        <f t="shared" si="78"/>
        <v>1.0883062559908863</v>
      </c>
      <c r="Q610" s="4" t="str">
        <f t="shared" si="82"/>
        <v>UNDER</v>
      </c>
      <c r="R610" s="4" t="str">
        <f t="shared" si="82"/>
        <v>UNDER</v>
      </c>
      <c r="S610" s="4" t="str">
        <f t="shared" si="80"/>
        <v>UNDER</v>
      </c>
      <c r="T610" s="4" t="str">
        <f t="shared" si="80"/>
        <v>UNDER</v>
      </c>
      <c r="U610" s="2">
        <f>IF(Q610="OVER",$J610,$K610)</f>
        <v>-79.566481355552241</v>
      </c>
      <c r="V610" s="2">
        <f>IF(R610="OVER",$J610,$K610)</f>
        <v>-79.566481355552241</v>
      </c>
      <c r="W610" s="2">
        <f>IF(S610="OVER",$J610,$K610)</f>
        <v>-79.566481355552241</v>
      </c>
      <c r="X610" s="2">
        <f>IF(T610="OVER",$J610,$K610)</f>
        <v>-79.566481355552241</v>
      </c>
      <c r="Y610" s="9">
        <f t="shared" si="81"/>
        <v>-23317.657885842087</v>
      </c>
      <c r="Z610" s="9">
        <f t="shared" si="81"/>
        <v>-23009.011263234974</v>
      </c>
      <c r="AA610" s="9">
        <f t="shared" si="81"/>
        <v>33587.457638229534</v>
      </c>
      <c r="AB610" s="9">
        <f t="shared" si="81"/>
        <v>8864.1151404015272</v>
      </c>
    </row>
    <row r="611" spans="1:28" x14ac:dyDescent="0.3">
      <c r="A611" s="1">
        <v>45300</v>
      </c>
      <c r="B611" s="2">
        <v>71.13</v>
      </c>
      <c r="C611" s="2">
        <v>77.3</v>
      </c>
      <c r="D611" s="9">
        <f>B611-B610</f>
        <v>-6.0000000000002274E-2</v>
      </c>
      <c r="E611" s="9">
        <f>C611-C610</f>
        <v>1.9999999999996021E-2</v>
      </c>
      <c r="F611" s="3">
        <f>F$1/B611</f>
        <v>1405.8765640376776</v>
      </c>
      <c r="G611" s="3">
        <f>F$1/C611</f>
        <v>1293.6610608020699</v>
      </c>
      <c r="H611" s="2">
        <f>D611*F610</f>
        <v>-84.281500210706952</v>
      </c>
      <c r="I611" s="2">
        <f>E611*G610</f>
        <v>25.87991718425986</v>
      </c>
      <c r="J611" s="2">
        <f>I611-H611</f>
        <v>110.1614173949668</v>
      </c>
      <c r="K611" s="2">
        <f t="shared" si="77"/>
        <v>-110.1614173949668</v>
      </c>
      <c r="L611" s="14">
        <f>C611/B611</f>
        <v>1.0867425840011247</v>
      </c>
      <c r="M611" s="14">
        <f t="shared" si="79"/>
        <v>1.0875162737761868</v>
      </c>
      <c r="N611" s="14">
        <f t="shared" si="83"/>
        <v>1.087763661860965</v>
      </c>
      <c r="O611" s="14">
        <f t="shared" si="76"/>
        <v>1.0891392193554921</v>
      </c>
      <c r="P611" s="14">
        <f t="shared" si="78"/>
        <v>1.0883202497411728</v>
      </c>
      <c r="Q611" s="4" t="str">
        <f t="shared" si="82"/>
        <v>UNDER</v>
      </c>
      <c r="R611" s="4" t="str">
        <f t="shared" si="82"/>
        <v>UNDER</v>
      </c>
      <c r="S611" s="4" t="str">
        <f t="shared" si="80"/>
        <v>UNDER</v>
      </c>
      <c r="T611" s="4" t="str">
        <f t="shared" si="80"/>
        <v>UNDER</v>
      </c>
      <c r="U611" s="2">
        <f>IF(Q611="OVER",$J611,$K611)</f>
        <v>-110.1614173949668</v>
      </c>
      <c r="V611" s="2">
        <f>IF(R611="OVER",$J611,$K611)</f>
        <v>-110.1614173949668</v>
      </c>
      <c r="W611" s="2">
        <f>IF(S611="OVER",$J611,$K611)</f>
        <v>-110.1614173949668</v>
      </c>
      <c r="X611" s="2">
        <f>IF(T611="OVER",$J611,$K611)</f>
        <v>-110.1614173949668</v>
      </c>
      <c r="Y611" s="9">
        <f t="shared" si="81"/>
        <v>-23427.819303237055</v>
      </c>
      <c r="Z611" s="9">
        <f t="shared" si="81"/>
        <v>-23119.172680629941</v>
      </c>
      <c r="AA611" s="9">
        <f t="shared" si="81"/>
        <v>33477.296220834571</v>
      </c>
      <c r="AB611" s="9">
        <f t="shared" si="81"/>
        <v>8753.9537230065598</v>
      </c>
    </row>
    <row r="612" spans="1:28" x14ac:dyDescent="0.3">
      <c r="A612" s="1">
        <v>45301</v>
      </c>
      <c r="B612" s="2">
        <v>71.37</v>
      </c>
      <c r="C612" s="2">
        <v>77.56</v>
      </c>
      <c r="D612" s="9">
        <f>B612-B611</f>
        <v>0.24000000000000909</v>
      </c>
      <c r="E612" s="9">
        <f>C612-C611</f>
        <v>0.26000000000000512</v>
      </c>
      <c r="F612" s="3">
        <f>F$1/B612</f>
        <v>1401.1489421325487</v>
      </c>
      <c r="G612" s="3">
        <f>F$1/C612</f>
        <v>1289.3243940175348</v>
      </c>
      <c r="H612" s="2">
        <f>D612*F611</f>
        <v>337.41037536905537</v>
      </c>
      <c r="I612" s="2">
        <f>E612*G611</f>
        <v>336.35187580854478</v>
      </c>
      <c r="J612" s="2">
        <f>I612-H612</f>
        <v>-1.0584995605105973</v>
      </c>
      <c r="K612" s="2">
        <f t="shared" si="77"/>
        <v>1.0584995605105973</v>
      </c>
      <c r="L612" s="14">
        <f>C612/B612</f>
        <v>1.0867311195180047</v>
      </c>
      <c r="M612" s="14">
        <f t="shared" si="79"/>
        <v>1.0873882769268783</v>
      </c>
      <c r="N612" s="14">
        <f t="shared" si="83"/>
        <v>1.0876174592161754</v>
      </c>
      <c r="O612" s="14">
        <f t="shared" si="76"/>
        <v>1.089027640482175</v>
      </c>
      <c r="P612" s="14">
        <f t="shared" si="78"/>
        <v>1.088328763879824</v>
      </c>
      <c r="Q612" s="4" t="str">
        <f t="shared" si="82"/>
        <v>UNDER</v>
      </c>
      <c r="R612" s="4" t="str">
        <f t="shared" si="82"/>
        <v>UNDER</v>
      </c>
      <c r="S612" s="4" t="str">
        <f t="shared" si="80"/>
        <v>UNDER</v>
      </c>
      <c r="T612" s="4" t="str">
        <f t="shared" si="80"/>
        <v>UNDER</v>
      </c>
      <c r="U612" s="2">
        <f>IF(Q612="OVER",$J612,$K612)</f>
        <v>1.0584995605105973</v>
      </c>
      <c r="V612" s="2">
        <f>IF(R612="OVER",$J612,$K612)</f>
        <v>1.0584995605105973</v>
      </c>
      <c r="W612" s="2">
        <f>IF(S612="OVER",$J612,$K612)</f>
        <v>1.0584995605105973</v>
      </c>
      <c r="X612" s="2">
        <f>IF(T612="OVER",$J612,$K612)</f>
        <v>1.0584995605105973</v>
      </c>
      <c r="Y612" s="9">
        <f t="shared" si="81"/>
        <v>-23426.760803676545</v>
      </c>
      <c r="Z612" s="9">
        <f t="shared" si="81"/>
        <v>-23118.114181069432</v>
      </c>
      <c r="AA612" s="9">
        <f t="shared" si="81"/>
        <v>33478.35472039508</v>
      </c>
      <c r="AB612" s="9">
        <f t="shared" si="81"/>
        <v>8755.0122225670711</v>
      </c>
    </row>
    <row r="613" spans="1:28" x14ac:dyDescent="0.3">
      <c r="A613" s="1">
        <v>45302</v>
      </c>
      <c r="B613" s="2">
        <v>71.34</v>
      </c>
      <c r="C613" s="2">
        <v>77.55</v>
      </c>
      <c r="D613" s="9">
        <f>B613-B612</f>
        <v>-3.0000000000001137E-2</v>
      </c>
      <c r="E613" s="9">
        <f>C613-C612</f>
        <v>-1.0000000000005116E-2</v>
      </c>
      <c r="F613" s="3">
        <f>F$1/B613</f>
        <v>1401.7381553125877</v>
      </c>
      <c r="G613" s="3">
        <f>F$1/C613</f>
        <v>1289.4906511927788</v>
      </c>
      <c r="H613" s="2">
        <f>D613*F612</f>
        <v>-42.034468263978056</v>
      </c>
      <c r="I613" s="2">
        <f>E613*G612</f>
        <v>-12.893243940181945</v>
      </c>
      <c r="J613" s="2">
        <f>I613-H613</f>
        <v>29.141224323796109</v>
      </c>
      <c r="K613" s="2">
        <f t="shared" si="77"/>
        <v>-29.141224323796109</v>
      </c>
      <c r="L613" s="14">
        <f>C613/B613</f>
        <v>1.0870479394449115</v>
      </c>
      <c r="M613" s="14">
        <f t="shared" si="79"/>
        <v>1.0872756291713557</v>
      </c>
      <c r="N613" s="14">
        <f t="shared" si="83"/>
        <v>1.0873936581743182</v>
      </c>
      <c r="O613" s="14">
        <f t="shared" si="76"/>
        <v>1.0889102195555509</v>
      </c>
      <c r="P613" s="14">
        <f t="shared" si="78"/>
        <v>1.0883438419177531</v>
      </c>
      <c r="Q613" s="4" t="str">
        <f t="shared" si="82"/>
        <v>UNDER</v>
      </c>
      <c r="R613" s="4" t="str">
        <f t="shared" si="82"/>
        <v>UNDER</v>
      </c>
      <c r="S613" s="4" t="str">
        <f t="shared" si="80"/>
        <v>UNDER</v>
      </c>
      <c r="T613" s="4" t="str">
        <f t="shared" si="80"/>
        <v>UNDER</v>
      </c>
      <c r="U613" s="2">
        <f>IF(Q613="OVER",$J613,$K613)</f>
        <v>-29.141224323796109</v>
      </c>
      <c r="V613" s="2">
        <f>IF(R613="OVER",$J613,$K613)</f>
        <v>-29.141224323796109</v>
      </c>
      <c r="W613" s="2">
        <f>IF(S613="OVER",$J613,$K613)</f>
        <v>-29.141224323796109</v>
      </c>
      <c r="X613" s="2">
        <f>IF(T613="OVER",$J613,$K613)</f>
        <v>-29.141224323796109</v>
      </c>
      <c r="Y613" s="9">
        <f t="shared" si="81"/>
        <v>-23455.902028000342</v>
      </c>
      <c r="Z613" s="9">
        <f t="shared" si="81"/>
        <v>-23147.255405393229</v>
      </c>
      <c r="AA613" s="9">
        <f t="shared" si="81"/>
        <v>33449.213496071286</v>
      </c>
      <c r="AB613" s="9">
        <f t="shared" si="81"/>
        <v>8725.8709982432756</v>
      </c>
    </row>
    <row r="614" spans="1:28" x14ac:dyDescent="0.3">
      <c r="A614" s="1">
        <v>45303</v>
      </c>
      <c r="B614" s="2">
        <v>71.260000000000005</v>
      </c>
      <c r="C614" s="2">
        <v>77.37</v>
      </c>
      <c r="D614" s="9">
        <f>B614-B613</f>
        <v>-7.9999999999998295E-2</v>
      </c>
      <c r="E614" s="9">
        <f>C614-C613</f>
        <v>-0.17999999999999261</v>
      </c>
      <c r="F614" s="3">
        <f>F$1/B614</f>
        <v>1403.3118158854898</v>
      </c>
      <c r="G614" s="3">
        <f>F$1/C614</f>
        <v>1292.4906294429366</v>
      </c>
      <c r="H614" s="2">
        <f>D614*F613</f>
        <v>-112.13905242500462</v>
      </c>
      <c r="I614" s="2">
        <f>E614*G613</f>
        <v>-232.10831721469066</v>
      </c>
      <c r="J614" s="2">
        <f>I614-H614</f>
        <v>-119.96926478968604</v>
      </c>
      <c r="K614" s="2">
        <f t="shared" si="77"/>
        <v>119.96926478968604</v>
      </c>
      <c r="L614" s="14">
        <f>C614/B614</f>
        <v>1.0857423519506033</v>
      </c>
      <c r="M614" s="14">
        <f t="shared" si="79"/>
        <v>1.0870425755756927</v>
      </c>
      <c r="N614" s="14">
        <f t="shared" si="83"/>
        <v>1.0872727689575385</v>
      </c>
      <c r="O614" s="14">
        <f t="shared" si="76"/>
        <v>1.0887552733208821</v>
      </c>
      <c r="P614" s="14">
        <f t="shared" si="78"/>
        <v>1.0883331273729593</v>
      </c>
      <c r="Q614" s="4" t="str">
        <f t="shared" si="82"/>
        <v>UNDER</v>
      </c>
      <c r="R614" s="4" t="str">
        <f t="shared" si="82"/>
        <v>UNDER</v>
      </c>
      <c r="S614" s="4" t="str">
        <f t="shared" si="80"/>
        <v>UNDER</v>
      </c>
      <c r="T614" s="4" t="str">
        <f t="shared" si="80"/>
        <v>UNDER</v>
      </c>
      <c r="U614" s="2">
        <f>IF(Q614="OVER",$J614,$K614)</f>
        <v>119.96926478968604</v>
      </c>
      <c r="V614" s="2">
        <f>IF(R614="OVER",$J614,$K614)</f>
        <v>119.96926478968604</v>
      </c>
      <c r="W614" s="2">
        <f>IF(S614="OVER",$J614,$K614)</f>
        <v>119.96926478968604</v>
      </c>
      <c r="X614" s="2">
        <f>IF(T614="OVER",$J614,$K614)</f>
        <v>119.96926478968604</v>
      </c>
      <c r="Y614" s="9">
        <f t="shared" si="81"/>
        <v>-23335.932763210658</v>
      </c>
      <c r="Z614" s="9">
        <f t="shared" si="81"/>
        <v>-23027.286140603544</v>
      </c>
      <c r="AA614" s="9">
        <f t="shared" si="81"/>
        <v>33569.182760860975</v>
      </c>
      <c r="AB614" s="9">
        <f t="shared" si="81"/>
        <v>8845.840263032962</v>
      </c>
    </row>
    <row r="615" spans="1:28" x14ac:dyDescent="0.3">
      <c r="A615" s="1">
        <v>45307</v>
      </c>
      <c r="B615" s="2">
        <v>71.02</v>
      </c>
      <c r="C615" s="2">
        <v>77.290000000000006</v>
      </c>
      <c r="D615" s="9">
        <f>B615-B614</f>
        <v>-0.24000000000000909</v>
      </c>
      <c r="E615" s="9">
        <f>C615-C614</f>
        <v>-7.9999999999998295E-2</v>
      </c>
      <c r="F615" s="3">
        <f>F$1/B615</f>
        <v>1408.0540692762602</v>
      </c>
      <c r="G615" s="3">
        <f>F$1/C615</f>
        <v>1293.8284383490748</v>
      </c>
      <c r="H615" s="2">
        <f>D615*F614</f>
        <v>-336.79483581253032</v>
      </c>
      <c r="I615" s="2">
        <f>E615*G614</f>
        <v>-103.39925035543273</v>
      </c>
      <c r="J615" s="2">
        <f>I615-H615</f>
        <v>233.39558545709758</v>
      </c>
      <c r="K615" s="2">
        <f t="shared" si="77"/>
        <v>-233.39558545709758</v>
      </c>
      <c r="L615" s="14">
        <f>C615/B615</f>
        <v>1.0882849901436216</v>
      </c>
      <c r="M615" s="14">
        <f t="shared" si="79"/>
        <v>1.086945225664206</v>
      </c>
      <c r="N615" s="14">
        <f t="shared" si="83"/>
        <v>1.0874474773985376</v>
      </c>
      <c r="O615" s="14">
        <f t="shared" si="76"/>
        <v>1.0886999902243553</v>
      </c>
      <c r="P615" s="14">
        <f t="shared" si="78"/>
        <v>1.0883535953279173</v>
      </c>
      <c r="Q615" s="4" t="str">
        <f t="shared" si="82"/>
        <v>UNDER</v>
      </c>
      <c r="R615" s="4" t="str">
        <f t="shared" si="82"/>
        <v>UNDER</v>
      </c>
      <c r="S615" s="4" t="str">
        <f t="shared" si="80"/>
        <v>UNDER</v>
      </c>
      <c r="T615" s="4" t="str">
        <f t="shared" si="80"/>
        <v>UNDER</v>
      </c>
      <c r="U615" s="2">
        <f>IF(Q615="OVER",$J615,$K615)</f>
        <v>-233.39558545709758</v>
      </c>
      <c r="V615" s="2">
        <f>IF(R615="OVER",$J615,$K615)</f>
        <v>-233.39558545709758</v>
      </c>
      <c r="W615" s="2">
        <f>IF(S615="OVER",$J615,$K615)</f>
        <v>-233.39558545709758</v>
      </c>
      <c r="X615" s="2">
        <f>IF(T615="OVER",$J615,$K615)</f>
        <v>-233.39558545709758</v>
      </c>
      <c r="Y615" s="9">
        <f t="shared" si="81"/>
        <v>-23569.328348667754</v>
      </c>
      <c r="Z615" s="9">
        <f t="shared" si="81"/>
        <v>-23260.68172606064</v>
      </c>
      <c r="AA615" s="9">
        <f t="shared" si="81"/>
        <v>33335.787175403879</v>
      </c>
      <c r="AB615" s="9">
        <f t="shared" si="81"/>
        <v>8612.4446775758643</v>
      </c>
    </row>
    <row r="616" spans="1:28" x14ac:dyDescent="0.3">
      <c r="A616" s="1">
        <v>45308</v>
      </c>
      <c r="B616" s="2">
        <v>70.67</v>
      </c>
      <c r="C616" s="2">
        <v>76.88</v>
      </c>
      <c r="D616" s="9">
        <f>B616-B615</f>
        <v>-0.34999999999999432</v>
      </c>
      <c r="E616" s="9">
        <f>C616-C615</f>
        <v>-0.4100000000000108</v>
      </c>
      <c r="F616" s="3">
        <f>F$1/B616</f>
        <v>1415.0275930380642</v>
      </c>
      <c r="G616" s="3">
        <f>F$1/C616</f>
        <v>1300.7284079084288</v>
      </c>
      <c r="H616" s="2">
        <f>D616*F615</f>
        <v>-492.81892424668308</v>
      </c>
      <c r="I616" s="2">
        <f>E616*G615</f>
        <v>-530.46965972313467</v>
      </c>
      <c r="J616" s="2">
        <f>I616-H616</f>
        <v>-37.650735476451587</v>
      </c>
      <c r="K616" s="2">
        <f t="shared" si="77"/>
        <v>37.650735476451587</v>
      </c>
      <c r="L616" s="14">
        <f>C616/B616</f>
        <v>1.0878732135276636</v>
      </c>
      <c r="M616" s="14">
        <f t="shared" si="79"/>
        <v>1.0869846431600689</v>
      </c>
      <c r="N616" s="14">
        <f t="shared" si="83"/>
        <v>1.0876015970087394</v>
      </c>
      <c r="O616" s="14">
        <f t="shared" si="76"/>
        <v>1.0886329037790998</v>
      </c>
      <c r="P616" s="14">
        <f t="shared" si="78"/>
        <v>1.088376357508257</v>
      </c>
      <c r="Q616" s="4" t="str">
        <f t="shared" si="82"/>
        <v>OVER</v>
      </c>
      <c r="R616" s="4" t="str">
        <f t="shared" si="82"/>
        <v>OVER</v>
      </c>
      <c r="S616" s="4" t="str">
        <f t="shared" si="80"/>
        <v>UNDER</v>
      </c>
      <c r="T616" s="4" t="str">
        <f t="shared" si="80"/>
        <v>UNDER</v>
      </c>
      <c r="U616" s="2">
        <f>IF(Q616="OVER",$J616,$K616)</f>
        <v>-37.650735476451587</v>
      </c>
      <c r="V616" s="2">
        <f>IF(R616="OVER",$J616,$K616)</f>
        <v>-37.650735476451587</v>
      </c>
      <c r="W616" s="2">
        <f>IF(S616="OVER",$J616,$K616)</f>
        <v>37.650735476451587</v>
      </c>
      <c r="X616" s="2">
        <f>IF(T616="OVER",$J616,$K616)</f>
        <v>37.650735476451587</v>
      </c>
      <c r="Y616" s="9">
        <f t="shared" si="81"/>
        <v>-23606.979084144205</v>
      </c>
      <c r="Z616" s="9">
        <f t="shared" si="81"/>
        <v>-23298.332461537091</v>
      </c>
      <c r="AA616" s="9">
        <f t="shared" si="81"/>
        <v>33373.437910880333</v>
      </c>
      <c r="AB616" s="9">
        <f t="shared" si="81"/>
        <v>8650.0954130523151</v>
      </c>
    </row>
    <row r="617" spans="1:28" x14ac:dyDescent="0.3">
      <c r="A617" s="1">
        <v>45309</v>
      </c>
      <c r="B617" s="2">
        <v>70.760000000000005</v>
      </c>
      <c r="C617" s="2">
        <v>77.099999999999994</v>
      </c>
      <c r="D617" s="9">
        <f>B617-B616</f>
        <v>9.0000000000003411E-2</v>
      </c>
      <c r="E617" s="9">
        <f>C617-C616</f>
        <v>0.21999999999999886</v>
      </c>
      <c r="F617" s="3">
        <f>F$1/B617</f>
        <v>1413.2278123233464</v>
      </c>
      <c r="G617" s="3">
        <f>F$1/C617</f>
        <v>1297.016861219196</v>
      </c>
      <c r="H617" s="2">
        <f>D617*F616</f>
        <v>127.3524833734306</v>
      </c>
      <c r="I617" s="2">
        <f>E617*G616</f>
        <v>286.16024973985287</v>
      </c>
      <c r="J617" s="2">
        <f>I617-H617</f>
        <v>158.80776636642227</v>
      </c>
      <c r="K617" s="2">
        <f t="shared" si="77"/>
        <v>-158.80776636642227</v>
      </c>
      <c r="L617" s="14">
        <f>C617/B617</f>
        <v>1.0895986433013001</v>
      </c>
      <c r="M617" s="14">
        <f t="shared" si="79"/>
        <v>1.0870898259480442</v>
      </c>
      <c r="N617" s="14">
        <f t="shared" si="83"/>
        <v>1.0877187840757652</v>
      </c>
      <c r="O617" s="14">
        <f t="shared" si="76"/>
        <v>1.0886195509342791</v>
      </c>
      <c r="P617" s="14">
        <f t="shared" si="78"/>
        <v>1.088410603893095</v>
      </c>
      <c r="Q617" s="4" t="str">
        <f t="shared" si="82"/>
        <v>OVER</v>
      </c>
      <c r="R617" s="4" t="str">
        <f t="shared" si="82"/>
        <v>OVER</v>
      </c>
      <c r="S617" s="4" t="str">
        <f t="shared" si="80"/>
        <v>OVER</v>
      </c>
      <c r="T617" s="4" t="str">
        <f t="shared" si="80"/>
        <v>OVER</v>
      </c>
      <c r="U617" s="2">
        <f>IF(Q617="OVER",$J617,$K617)</f>
        <v>158.80776636642227</v>
      </c>
      <c r="V617" s="2">
        <f>IF(R617="OVER",$J617,$K617)</f>
        <v>158.80776636642227</v>
      </c>
      <c r="W617" s="2">
        <f>IF(S617="OVER",$J617,$K617)</f>
        <v>158.80776636642227</v>
      </c>
      <c r="X617" s="2">
        <f>IF(T617="OVER",$J617,$K617)</f>
        <v>158.80776636642227</v>
      </c>
      <c r="Y617" s="9">
        <f t="shared" si="81"/>
        <v>-23448.171317777782</v>
      </c>
      <c r="Z617" s="9">
        <f t="shared" si="81"/>
        <v>-23139.524695170669</v>
      </c>
      <c r="AA617" s="9">
        <f t="shared" si="81"/>
        <v>33532.245677246756</v>
      </c>
      <c r="AB617" s="9">
        <f t="shared" si="81"/>
        <v>8808.9031794187376</v>
      </c>
    </row>
    <row r="618" spans="1:28" x14ac:dyDescent="0.3">
      <c r="A618" s="1">
        <v>45310</v>
      </c>
      <c r="B618" s="2">
        <v>71.11</v>
      </c>
      <c r="C618" s="2">
        <v>77.37</v>
      </c>
      <c r="D618" s="9">
        <f>B618-B617</f>
        <v>0.34999999999999432</v>
      </c>
      <c r="E618" s="9">
        <f>C618-C617</f>
        <v>0.27000000000001023</v>
      </c>
      <c r="F618" s="3">
        <f>F$1/B618</f>
        <v>1406.2719729995781</v>
      </c>
      <c r="G618" s="3">
        <f>F$1/C618</f>
        <v>1292.4906294429366</v>
      </c>
      <c r="H618" s="2">
        <f>D618*F617</f>
        <v>494.62973431316317</v>
      </c>
      <c r="I618" s="2">
        <f>E618*G617</f>
        <v>350.19455252919619</v>
      </c>
      <c r="J618" s="2">
        <f>I618-H618</f>
        <v>-144.43518178396698</v>
      </c>
      <c r="K618" s="2">
        <f t="shared" si="77"/>
        <v>144.43518178396698</v>
      </c>
      <c r="L618" s="14">
        <f>C618/B618</f>
        <v>1.0880326255097736</v>
      </c>
      <c r="M618" s="14">
        <f t="shared" si="79"/>
        <v>1.0870287441206583</v>
      </c>
      <c r="N618" s="14">
        <f t="shared" si="83"/>
        <v>1.0877078318323226</v>
      </c>
      <c r="O618" s="14">
        <f t="shared" si="76"/>
        <v>1.0885898368888853</v>
      </c>
      <c r="P618" s="14">
        <f t="shared" si="78"/>
        <v>1.0884424511367072</v>
      </c>
      <c r="Q618" s="4" t="str">
        <f t="shared" si="82"/>
        <v>OVER</v>
      </c>
      <c r="R618" s="4" t="str">
        <f t="shared" si="82"/>
        <v>OVER</v>
      </c>
      <c r="S618" s="4" t="str">
        <f t="shared" si="80"/>
        <v>UNDER</v>
      </c>
      <c r="T618" s="4" t="str">
        <f t="shared" si="80"/>
        <v>UNDER</v>
      </c>
      <c r="U618" s="2">
        <f>IF(Q618="OVER",$J618,$K618)</f>
        <v>-144.43518178396698</v>
      </c>
      <c r="V618" s="2">
        <f>IF(R618="OVER",$J618,$K618)</f>
        <v>-144.43518178396698</v>
      </c>
      <c r="W618" s="2">
        <f>IF(S618="OVER",$J618,$K618)</f>
        <v>144.43518178396698</v>
      </c>
      <c r="X618" s="2">
        <f>IF(T618="OVER",$J618,$K618)</f>
        <v>144.43518178396698</v>
      </c>
      <c r="Y618" s="9">
        <f t="shared" si="81"/>
        <v>-23592.606499561749</v>
      </c>
      <c r="Z618" s="9">
        <f t="shared" si="81"/>
        <v>-23283.959876954636</v>
      </c>
      <c r="AA618" s="9">
        <f t="shared" si="81"/>
        <v>33676.680859030719</v>
      </c>
      <c r="AB618" s="9">
        <f t="shared" si="81"/>
        <v>8953.3383612027046</v>
      </c>
    </row>
    <row r="619" spans="1:28" x14ac:dyDescent="0.3">
      <c r="A619" s="1">
        <v>45313</v>
      </c>
      <c r="B619" s="2">
        <v>71.540000000000006</v>
      </c>
      <c r="C619" s="2">
        <v>77.819999999999993</v>
      </c>
      <c r="D619" s="9">
        <f>B619-B618</f>
        <v>0.43000000000000682</v>
      </c>
      <c r="E619" s="9">
        <f>C619-C618</f>
        <v>0.44999999999998863</v>
      </c>
      <c r="F619" s="3">
        <f>F$1/B619</f>
        <v>1397.819401733296</v>
      </c>
      <c r="G619" s="3">
        <f>F$1/C619</f>
        <v>1285.016705217168</v>
      </c>
      <c r="H619" s="2">
        <f>D619*F618</f>
        <v>604.69694838982821</v>
      </c>
      <c r="I619" s="2">
        <f>E619*G618</f>
        <v>581.62078324930678</v>
      </c>
      <c r="J619" s="2">
        <f>I619-H619</f>
        <v>-23.076165140521425</v>
      </c>
      <c r="K619" s="2">
        <f t="shared" si="77"/>
        <v>23.076165140521425</v>
      </c>
      <c r="L619" s="14">
        <f>C619/B619</f>
        <v>1.0877830584288508</v>
      </c>
      <c r="M619" s="14">
        <f t="shared" si="79"/>
        <v>1.087338224853972</v>
      </c>
      <c r="N619" s="14">
        <f t="shared" si="83"/>
        <v>1.08773725434096</v>
      </c>
      <c r="O619" s="14">
        <f t="shared" si="76"/>
        <v>1.0884518103498211</v>
      </c>
      <c r="P619" s="14">
        <f t="shared" si="78"/>
        <v>1.0884702736887342</v>
      </c>
      <c r="Q619" s="4" t="str">
        <f t="shared" si="82"/>
        <v>OVER</v>
      </c>
      <c r="R619" s="4" t="str">
        <f t="shared" si="82"/>
        <v>OVER</v>
      </c>
      <c r="S619" s="4" t="str">
        <f t="shared" si="80"/>
        <v>UNDER</v>
      </c>
      <c r="T619" s="4" t="str">
        <f t="shared" si="80"/>
        <v>UNDER</v>
      </c>
      <c r="U619" s="2">
        <f>IF(Q619="OVER",$J619,$K619)</f>
        <v>-23.076165140521425</v>
      </c>
      <c r="V619" s="2">
        <f>IF(R619="OVER",$J619,$K619)</f>
        <v>-23.076165140521425</v>
      </c>
      <c r="W619" s="2">
        <f>IF(S619="OVER",$J619,$K619)</f>
        <v>23.076165140521425</v>
      </c>
      <c r="X619" s="2">
        <f>IF(T619="OVER",$J619,$K619)</f>
        <v>23.076165140521425</v>
      </c>
      <c r="Y619" s="9">
        <f t="shared" si="81"/>
        <v>-23615.682664702272</v>
      </c>
      <c r="Z619" s="9">
        <f t="shared" si="81"/>
        <v>-23307.036042095158</v>
      </c>
      <c r="AA619" s="9">
        <f t="shared" si="81"/>
        <v>33699.757024171238</v>
      </c>
      <c r="AB619" s="9">
        <f t="shared" si="81"/>
        <v>8976.4145263432256</v>
      </c>
    </row>
    <row r="620" spans="1:28" x14ac:dyDescent="0.3">
      <c r="A620" s="1">
        <v>45314</v>
      </c>
      <c r="B620" s="2">
        <v>71.45</v>
      </c>
      <c r="C620" s="2">
        <v>77.88</v>
      </c>
      <c r="D620" s="9">
        <f>B620-B619</f>
        <v>-9.0000000000003411E-2</v>
      </c>
      <c r="E620" s="9">
        <f>C620-C619</f>
        <v>6.0000000000002274E-2</v>
      </c>
      <c r="F620" s="3">
        <f>F$1/B620</f>
        <v>1399.5801259622112</v>
      </c>
      <c r="G620" s="3">
        <f>F$1/C620</f>
        <v>1284.0267077555213</v>
      </c>
      <c r="H620" s="2">
        <f>D620*F619</f>
        <v>-125.80374615600141</v>
      </c>
      <c r="I620" s="2">
        <f>E620*G619</f>
        <v>77.101002313033007</v>
      </c>
      <c r="J620" s="2">
        <f>I620-H620</f>
        <v>202.90474846903442</v>
      </c>
      <c r="K620" s="2">
        <f t="shared" si="77"/>
        <v>-202.90474846903442</v>
      </c>
      <c r="L620" s="14">
        <f>C620/B620</f>
        <v>1.08999300209937</v>
      </c>
      <c r="M620" s="14">
        <f t="shared" si="79"/>
        <v>1.0877829527925222</v>
      </c>
      <c r="N620" s="14">
        <f t="shared" si="83"/>
        <v>1.087813666775268</v>
      </c>
      <c r="O620" s="14">
        <f t="shared" si="76"/>
        <v>1.0884230471486469</v>
      </c>
      <c r="P620" s="14">
        <f t="shared" si="78"/>
        <v>1.0885028802086649</v>
      </c>
      <c r="Q620" s="4" t="str">
        <f t="shared" si="82"/>
        <v>OVER</v>
      </c>
      <c r="R620" s="4" t="str">
        <f t="shared" si="82"/>
        <v>OVER</v>
      </c>
      <c r="S620" s="4" t="str">
        <f t="shared" si="80"/>
        <v>OVER</v>
      </c>
      <c r="T620" s="4" t="str">
        <f t="shared" si="80"/>
        <v>OVER</v>
      </c>
      <c r="U620" s="2">
        <f>IF(Q620="OVER",$J620,$K620)</f>
        <v>202.90474846903442</v>
      </c>
      <c r="V620" s="2">
        <f>IF(R620="OVER",$J620,$K620)</f>
        <v>202.90474846903442</v>
      </c>
      <c r="W620" s="2">
        <f>IF(S620="OVER",$J620,$K620)</f>
        <v>202.90474846903442</v>
      </c>
      <c r="X620" s="2">
        <f>IF(T620="OVER",$J620,$K620)</f>
        <v>202.90474846903442</v>
      </c>
      <c r="Y620" s="9">
        <f t="shared" si="81"/>
        <v>-23412.777916233237</v>
      </c>
      <c r="Z620" s="9">
        <f t="shared" si="81"/>
        <v>-23104.131293626124</v>
      </c>
      <c r="AA620" s="9">
        <f t="shared" si="81"/>
        <v>33902.661772640269</v>
      </c>
      <c r="AB620" s="9">
        <f t="shared" si="81"/>
        <v>9179.3192748122601</v>
      </c>
    </row>
    <row r="621" spans="1:28" x14ac:dyDescent="0.3">
      <c r="A621" s="1">
        <v>45315</v>
      </c>
      <c r="B621" s="2">
        <v>71.27</v>
      </c>
      <c r="C621" s="2">
        <v>77.59</v>
      </c>
      <c r="D621" s="9">
        <f>B621-B620</f>
        <v>-0.18000000000000682</v>
      </c>
      <c r="E621" s="9">
        <f>C621-C620</f>
        <v>-0.28999999999999204</v>
      </c>
      <c r="F621" s="3">
        <f>F$1/B621</f>
        <v>1403.1149151115478</v>
      </c>
      <c r="G621" s="3">
        <f>F$1/C621</f>
        <v>1288.8258796236628</v>
      </c>
      <c r="H621" s="2">
        <f>D621*F620</f>
        <v>-251.92442267320757</v>
      </c>
      <c r="I621" s="2">
        <f>E621*G620</f>
        <v>-372.36774524909094</v>
      </c>
      <c r="J621" s="2">
        <f>I621-H621</f>
        <v>-120.44332257588337</v>
      </c>
      <c r="K621" s="2">
        <f t="shared" si="77"/>
        <v>120.44332257588337</v>
      </c>
      <c r="L621" s="14">
        <f>C621/B621</f>
        <v>1.0886768626350498</v>
      </c>
      <c r="M621" s="14">
        <f t="shared" si="79"/>
        <v>1.0879763806559146</v>
      </c>
      <c r="N621" s="14">
        <f t="shared" si="83"/>
        <v>1.0877463272160508</v>
      </c>
      <c r="O621" s="14">
        <f t="shared" si="76"/>
        <v>1.0883714777590565</v>
      </c>
      <c r="P621" s="14">
        <f t="shared" si="78"/>
        <v>1.0885329915203319</v>
      </c>
      <c r="Q621" s="4" t="str">
        <f t="shared" si="82"/>
        <v>OVER</v>
      </c>
      <c r="R621" s="4" t="str">
        <f t="shared" si="82"/>
        <v>OVER</v>
      </c>
      <c r="S621" s="4" t="str">
        <f t="shared" si="80"/>
        <v>OVER</v>
      </c>
      <c r="T621" s="4" t="str">
        <f t="shared" si="80"/>
        <v>OVER</v>
      </c>
      <c r="U621" s="2">
        <f>IF(Q621="OVER",$J621,$K621)</f>
        <v>-120.44332257588337</v>
      </c>
      <c r="V621" s="2">
        <f>IF(R621="OVER",$J621,$K621)</f>
        <v>-120.44332257588337</v>
      </c>
      <c r="W621" s="2">
        <f>IF(S621="OVER",$J621,$K621)</f>
        <v>-120.44332257588337</v>
      </c>
      <c r="X621" s="2">
        <f>IF(T621="OVER",$J621,$K621)</f>
        <v>-120.44332257588337</v>
      </c>
      <c r="Y621" s="9">
        <f t="shared" si="81"/>
        <v>-23533.221238809121</v>
      </c>
      <c r="Z621" s="9">
        <f t="shared" si="81"/>
        <v>-23224.574616202008</v>
      </c>
      <c r="AA621" s="9">
        <f t="shared" si="81"/>
        <v>33782.218450064385</v>
      </c>
      <c r="AB621" s="9">
        <f t="shared" si="81"/>
        <v>9058.8759522363762</v>
      </c>
    </row>
    <row r="622" spans="1:28" x14ac:dyDescent="0.3">
      <c r="A622" s="1">
        <v>45316</v>
      </c>
      <c r="B622" s="2">
        <v>71.36</v>
      </c>
      <c r="C622" s="2">
        <v>77.64</v>
      </c>
      <c r="D622" s="9">
        <f>B622-B621</f>
        <v>9.0000000000003411E-2</v>
      </c>
      <c r="E622" s="9">
        <f>C622-C621</f>
        <v>4.9999999999997158E-2</v>
      </c>
      <c r="F622" s="3">
        <f>F$1/B622</f>
        <v>1401.3452914798206</v>
      </c>
      <c r="G622" s="3">
        <f>F$1/C622</f>
        <v>1287.9958784131891</v>
      </c>
      <c r="H622" s="2">
        <f>D622*F621</f>
        <v>126.28034236004409</v>
      </c>
      <c r="I622" s="2">
        <f>E622*G621</f>
        <v>64.44129398117947</v>
      </c>
      <c r="J622" s="2">
        <f>I622-H622</f>
        <v>-61.839048378864618</v>
      </c>
      <c r="K622" s="2">
        <f t="shared" si="77"/>
        <v>61.839048378864618</v>
      </c>
      <c r="L622" s="14">
        <f>C622/B622</f>
        <v>1.0880044843049328</v>
      </c>
      <c r="M622" s="14">
        <f t="shared" si="79"/>
        <v>1.0881037171346075</v>
      </c>
      <c r="N622" s="14">
        <f t="shared" si="83"/>
        <v>1.0877459970307428</v>
      </c>
      <c r="O622" s="14">
        <f t="shared" si="76"/>
        <v>1.0883042795410729</v>
      </c>
      <c r="P622" s="14">
        <f t="shared" si="78"/>
        <v>1.0885641143627827</v>
      </c>
      <c r="Q622" s="4" t="str">
        <f t="shared" si="82"/>
        <v>OVER</v>
      </c>
      <c r="R622" s="4" t="str">
        <f t="shared" si="82"/>
        <v>OVER</v>
      </c>
      <c r="S622" s="4" t="str">
        <f t="shared" si="80"/>
        <v>UNDER</v>
      </c>
      <c r="T622" s="4" t="str">
        <f t="shared" si="80"/>
        <v>UNDER</v>
      </c>
      <c r="U622" s="2">
        <f>IF(Q622="OVER",$J622,$K622)</f>
        <v>-61.839048378864618</v>
      </c>
      <c r="V622" s="2">
        <f>IF(R622="OVER",$J622,$K622)</f>
        <v>-61.839048378864618</v>
      </c>
      <c r="W622" s="2">
        <f>IF(S622="OVER",$J622,$K622)</f>
        <v>61.839048378864618</v>
      </c>
      <c r="X622" s="2">
        <f>IF(T622="OVER",$J622,$K622)</f>
        <v>61.839048378864618</v>
      </c>
      <c r="Y622" s="9">
        <f t="shared" si="81"/>
        <v>-23595.060287187986</v>
      </c>
      <c r="Z622" s="9">
        <f t="shared" si="81"/>
        <v>-23286.413664580872</v>
      </c>
      <c r="AA622" s="9">
        <f t="shared" si="81"/>
        <v>33844.057498443253</v>
      </c>
      <c r="AB622" s="9">
        <f t="shared" si="81"/>
        <v>9120.7150006152406</v>
      </c>
    </row>
    <row r="623" spans="1:28" x14ac:dyDescent="0.3">
      <c r="A623" s="1">
        <v>45317</v>
      </c>
      <c r="B623" s="2">
        <v>71.260000000000005</v>
      </c>
      <c r="C623" s="2">
        <v>77.69</v>
      </c>
      <c r="D623" s="9">
        <f>B623-B622</f>
        <v>-9.9999999999994316E-2</v>
      </c>
      <c r="E623" s="9">
        <f>C623-C622</f>
        <v>4.9999999999997158E-2</v>
      </c>
      <c r="F623" s="3">
        <f>F$1/B623</f>
        <v>1403.3118158854898</v>
      </c>
      <c r="G623" s="3">
        <f>F$1/C623</f>
        <v>1287.1669455528383</v>
      </c>
      <c r="H623" s="2">
        <f>D623*F622</f>
        <v>-140.13452914797409</v>
      </c>
      <c r="I623" s="2">
        <f>E623*G622</f>
        <v>64.399793920655796</v>
      </c>
      <c r="J623" s="2">
        <f>I623-H623</f>
        <v>204.53432306862987</v>
      </c>
      <c r="K623" s="2">
        <f t="shared" si="77"/>
        <v>-204.53432306862987</v>
      </c>
      <c r="L623" s="14">
        <f>C623/B623</f>
        <v>1.0902329497614369</v>
      </c>
      <c r="M623" s="14">
        <f t="shared" si="79"/>
        <v>1.0884222181662602</v>
      </c>
      <c r="N623" s="14">
        <f t="shared" si="83"/>
        <v>1.0878489236688078</v>
      </c>
      <c r="O623" s="14">
        <f t="shared" si="76"/>
        <v>1.0882921330858852</v>
      </c>
      <c r="P623" s="14">
        <f t="shared" si="78"/>
        <v>1.088611654729382</v>
      </c>
      <c r="Q623" s="4" t="str">
        <f t="shared" si="82"/>
        <v>UNDER</v>
      </c>
      <c r="R623" s="4" t="str">
        <f t="shared" si="82"/>
        <v>OVER</v>
      </c>
      <c r="S623" s="4" t="str">
        <f t="shared" si="80"/>
        <v>OVER</v>
      </c>
      <c r="T623" s="4" t="str">
        <f t="shared" si="80"/>
        <v>OVER</v>
      </c>
      <c r="U623" s="2">
        <f>IF(Q623="OVER",$J623,$K623)</f>
        <v>-204.53432306862987</v>
      </c>
      <c r="V623" s="2">
        <f>IF(R623="OVER",$J623,$K623)</f>
        <v>204.53432306862987</v>
      </c>
      <c r="W623" s="2">
        <f>IF(S623="OVER",$J623,$K623)</f>
        <v>204.53432306862987</v>
      </c>
      <c r="X623" s="2">
        <f>IF(T623="OVER",$J623,$K623)</f>
        <v>204.53432306862987</v>
      </c>
      <c r="Y623" s="9">
        <f t="shared" si="81"/>
        <v>-23799.594610256616</v>
      </c>
      <c r="Z623" s="9">
        <f t="shared" si="81"/>
        <v>-23081.879341512242</v>
      </c>
      <c r="AA623" s="9">
        <f t="shared" si="81"/>
        <v>34048.59182151188</v>
      </c>
      <c r="AB623" s="9">
        <f t="shared" si="81"/>
        <v>9325.2493236838709</v>
      </c>
    </row>
    <row r="624" spans="1:28" x14ac:dyDescent="0.3">
      <c r="A624" s="1">
        <v>45320</v>
      </c>
      <c r="B624" s="2">
        <v>71.760000000000005</v>
      </c>
      <c r="C624" s="2">
        <v>78.22</v>
      </c>
      <c r="D624" s="9">
        <f>B624-B623</f>
        <v>0.5</v>
      </c>
      <c r="E624" s="9">
        <f>C624-C623</f>
        <v>0.53000000000000114</v>
      </c>
      <c r="F624" s="3">
        <f>F$1/B624</f>
        <v>1393.5340022296543</v>
      </c>
      <c r="G624" s="3">
        <f>F$1/C624</f>
        <v>1278.4454103809767</v>
      </c>
      <c r="H624" s="2">
        <f>D624*F623</f>
        <v>701.65590794274488</v>
      </c>
      <c r="I624" s="2">
        <f>E624*G623</f>
        <v>682.19848114300578</v>
      </c>
      <c r="J624" s="2">
        <f>I624-H624</f>
        <v>-19.457426799739096</v>
      </c>
      <c r="K624" s="2">
        <f t="shared" si="77"/>
        <v>19.457426799739096</v>
      </c>
      <c r="L624" s="14">
        <f>C624/B624</f>
        <v>1.0900222965440356</v>
      </c>
      <c r="M624" s="14">
        <f t="shared" si="79"/>
        <v>1.0888502126256037</v>
      </c>
      <c r="N624" s="14">
        <f t="shared" si="83"/>
        <v>1.0879463941006482</v>
      </c>
      <c r="O624" s="14">
        <f t="shared" si="76"/>
        <v>1.0883009558240397</v>
      </c>
      <c r="P624" s="14">
        <f t="shared" si="78"/>
        <v>1.0886536029467961</v>
      </c>
      <c r="Q624" s="4" t="str">
        <f t="shared" si="82"/>
        <v>OVER</v>
      </c>
      <c r="R624" s="4" t="str">
        <f t="shared" si="82"/>
        <v>OVER</v>
      </c>
      <c r="S624" s="4" t="str">
        <f t="shared" si="80"/>
        <v>OVER</v>
      </c>
      <c r="T624" s="4" t="str">
        <f t="shared" si="80"/>
        <v>OVER</v>
      </c>
      <c r="U624" s="2">
        <f>IF(Q624="OVER",$J624,$K624)</f>
        <v>-19.457426799739096</v>
      </c>
      <c r="V624" s="2">
        <f>IF(R624="OVER",$J624,$K624)</f>
        <v>-19.457426799739096</v>
      </c>
      <c r="W624" s="2">
        <f>IF(S624="OVER",$J624,$K624)</f>
        <v>-19.457426799739096</v>
      </c>
      <c r="X624" s="2">
        <f>IF(T624="OVER",$J624,$K624)</f>
        <v>-19.457426799739096</v>
      </c>
      <c r="Y624" s="9">
        <f t="shared" si="81"/>
        <v>-23819.052037056354</v>
      </c>
      <c r="Z624" s="9">
        <f t="shared" si="81"/>
        <v>-23101.33676831198</v>
      </c>
      <c r="AA624" s="9">
        <f t="shared" si="81"/>
        <v>34029.134394712142</v>
      </c>
      <c r="AB624" s="9">
        <f t="shared" si="81"/>
        <v>9305.7918968841313</v>
      </c>
    </row>
    <row r="625" spans="1:28" x14ac:dyDescent="0.3">
      <c r="A625" s="1">
        <v>45321</v>
      </c>
      <c r="B625" s="2">
        <v>71.599999999999994</v>
      </c>
      <c r="C625" s="2">
        <v>78.010000000000005</v>
      </c>
      <c r="D625" s="9">
        <f>B625-B624</f>
        <v>-0.1600000000000108</v>
      </c>
      <c r="E625" s="9">
        <f>C625-C624</f>
        <v>-0.20999999999999375</v>
      </c>
      <c r="F625" s="3">
        <f>F$1/B625</f>
        <v>1396.6480446927376</v>
      </c>
      <c r="G625" s="3">
        <f>F$1/C625</f>
        <v>1281.886937572106</v>
      </c>
      <c r="H625" s="2">
        <f>D625*F624</f>
        <v>-222.96544035675976</v>
      </c>
      <c r="I625" s="2">
        <f>E625*G624</f>
        <v>-268.4735361799971</v>
      </c>
      <c r="J625" s="2">
        <f>I625-H625</f>
        <v>-45.50809582323734</v>
      </c>
      <c r="K625" s="2">
        <f t="shared" si="77"/>
        <v>45.50809582323734</v>
      </c>
      <c r="L625" s="14">
        <f>C625/B625</f>
        <v>1.0895251396648047</v>
      </c>
      <c r="M625" s="14">
        <f t="shared" si="79"/>
        <v>1.0889742275777219</v>
      </c>
      <c r="N625" s="14">
        <f t="shared" si="83"/>
        <v>1.087959726620964</v>
      </c>
      <c r="O625" s="14">
        <f t="shared" si="76"/>
        <v>1.0882673350285064</v>
      </c>
      <c r="P625" s="14">
        <f t="shared" si="78"/>
        <v>1.0886941305240347</v>
      </c>
      <c r="Q625" s="4" t="str">
        <f t="shared" si="82"/>
        <v>OVER</v>
      </c>
      <c r="R625" s="4" t="str">
        <f t="shared" si="82"/>
        <v>OVER</v>
      </c>
      <c r="S625" s="4" t="str">
        <f t="shared" si="80"/>
        <v>OVER</v>
      </c>
      <c r="T625" s="4" t="str">
        <f t="shared" si="80"/>
        <v>OVER</v>
      </c>
      <c r="U625" s="2">
        <f>IF(Q625="OVER",$J625,$K625)</f>
        <v>-45.50809582323734</v>
      </c>
      <c r="V625" s="2">
        <f>IF(R625="OVER",$J625,$K625)</f>
        <v>-45.50809582323734</v>
      </c>
      <c r="W625" s="2">
        <f>IF(S625="OVER",$J625,$K625)</f>
        <v>-45.50809582323734</v>
      </c>
      <c r="X625" s="2">
        <f>IF(T625="OVER",$J625,$K625)</f>
        <v>-45.50809582323734</v>
      </c>
      <c r="Y625" s="9">
        <f t="shared" si="81"/>
        <v>-23864.560132879589</v>
      </c>
      <c r="Z625" s="9">
        <f t="shared" si="81"/>
        <v>-23146.844864135215</v>
      </c>
      <c r="AA625" s="9">
        <f t="shared" si="81"/>
        <v>33983.626298888907</v>
      </c>
      <c r="AB625" s="9">
        <f t="shared" si="81"/>
        <v>9260.2838010608939</v>
      </c>
    </row>
    <row r="626" spans="1:28" x14ac:dyDescent="0.3">
      <c r="A626" s="1">
        <v>45322</v>
      </c>
      <c r="B626" s="2">
        <v>71.14</v>
      </c>
      <c r="C626" s="2">
        <v>77.510000000000005</v>
      </c>
      <c r="D626" s="9">
        <f>B626-B625</f>
        <v>-0.45999999999999375</v>
      </c>
      <c r="E626" s="9">
        <f>C626-C625</f>
        <v>-0.5</v>
      </c>
      <c r="F626" s="3">
        <f>F$1/B626</f>
        <v>1405.6789429294349</v>
      </c>
      <c r="G626" s="3">
        <f>F$1/C626</f>
        <v>1290.1561088891756</v>
      </c>
      <c r="H626" s="2">
        <f>D626*F625</f>
        <v>-642.45810055865059</v>
      </c>
      <c r="I626" s="2">
        <f>E626*G625</f>
        <v>-640.94346878605302</v>
      </c>
      <c r="J626" s="2">
        <f>I626-H626</f>
        <v>1.5146317725975678</v>
      </c>
      <c r="K626" s="2">
        <f t="shared" si="77"/>
        <v>-1.5146317725975678</v>
      </c>
      <c r="L626" s="14">
        <f>C626/B626</f>
        <v>1.0895417486646051</v>
      </c>
      <c r="M626" s="14">
        <f t="shared" si="79"/>
        <v>1.0891410810914159</v>
      </c>
      <c r="N626" s="14">
        <f t="shared" si="83"/>
        <v>1.0880628621257424</v>
      </c>
      <c r="O626" s="14">
        <f t="shared" si="76"/>
        <v>1.0882448684807726</v>
      </c>
      <c r="P626" s="14">
        <f t="shared" si="78"/>
        <v>1.0887410616391238</v>
      </c>
      <c r="Q626" s="4" t="str">
        <f t="shared" si="82"/>
        <v>OVER</v>
      </c>
      <c r="R626" s="4" t="str">
        <f t="shared" si="82"/>
        <v>OVER</v>
      </c>
      <c r="S626" s="4" t="str">
        <f t="shared" si="80"/>
        <v>OVER</v>
      </c>
      <c r="T626" s="4" t="str">
        <f t="shared" si="80"/>
        <v>OVER</v>
      </c>
      <c r="U626" s="2">
        <f>IF(Q626="OVER",$J626,$K626)</f>
        <v>1.5146317725975678</v>
      </c>
      <c r="V626" s="2">
        <f>IF(R626="OVER",$J626,$K626)</f>
        <v>1.5146317725975678</v>
      </c>
      <c r="W626" s="2">
        <f>IF(S626="OVER",$J626,$K626)</f>
        <v>1.5146317725975678</v>
      </c>
      <c r="X626" s="2">
        <f>IF(T626="OVER",$J626,$K626)</f>
        <v>1.5146317725975678</v>
      </c>
      <c r="Y626" s="9">
        <f t="shared" si="81"/>
        <v>-23863.045501106993</v>
      </c>
      <c r="Z626" s="9">
        <f t="shared" si="81"/>
        <v>-23145.330232362619</v>
      </c>
      <c r="AA626" s="9">
        <f t="shared" si="81"/>
        <v>33985.140930661502</v>
      </c>
      <c r="AB626" s="9">
        <f t="shared" si="81"/>
        <v>9261.7984328334915</v>
      </c>
    </row>
    <row r="627" spans="1:28" x14ac:dyDescent="0.3">
      <c r="A627" s="1">
        <v>45323</v>
      </c>
      <c r="B627" s="2">
        <v>71.52</v>
      </c>
      <c r="C627" s="2">
        <v>77.58</v>
      </c>
      <c r="D627" s="9">
        <f>B627-B626</f>
        <v>0.37999999999999545</v>
      </c>
      <c r="E627" s="9">
        <f>C627-C626</f>
        <v>6.9999999999993179E-2</v>
      </c>
      <c r="F627" s="3">
        <f>F$1/B627</f>
        <v>1398.2102908277407</v>
      </c>
      <c r="G627" s="3">
        <f>F$1/C627</f>
        <v>1288.9920082495489</v>
      </c>
      <c r="H627" s="2">
        <f>D627*F626</f>
        <v>534.15799831317884</v>
      </c>
      <c r="I627" s="2">
        <f>E627*G626</f>
        <v>90.310927622233493</v>
      </c>
      <c r="J627" s="2">
        <f>I627-H627</f>
        <v>-443.84707069094532</v>
      </c>
      <c r="K627" s="2">
        <f t="shared" si="77"/>
        <v>443.84707069094532</v>
      </c>
      <c r="L627" s="14">
        <f>C627/B627</f>
        <v>1.0847315436241611</v>
      </c>
      <c r="M627" s="14">
        <f t="shared" si="79"/>
        <v>1.088654371123702</v>
      </c>
      <c r="N627" s="14">
        <f t="shared" si="83"/>
        <v>1.087872098535873</v>
      </c>
      <c r="O627" s="14">
        <f t="shared" si="76"/>
        <v>1.088142647556404</v>
      </c>
      <c r="P627" s="14">
        <f t="shared" si="78"/>
        <v>1.0887573009154152</v>
      </c>
      <c r="Q627" s="4" t="str">
        <f t="shared" si="82"/>
        <v>OVER</v>
      </c>
      <c r="R627" s="4" t="str">
        <f t="shared" si="82"/>
        <v>OVER</v>
      </c>
      <c r="S627" s="4" t="str">
        <f t="shared" si="80"/>
        <v>UNDER</v>
      </c>
      <c r="T627" s="4" t="str">
        <f t="shared" si="80"/>
        <v>UNDER</v>
      </c>
      <c r="U627" s="2">
        <f>IF(Q627="OVER",$J627,$K627)</f>
        <v>-443.84707069094532</v>
      </c>
      <c r="V627" s="2">
        <f>IF(R627="OVER",$J627,$K627)</f>
        <v>-443.84707069094532</v>
      </c>
      <c r="W627" s="2">
        <f>IF(S627="OVER",$J627,$K627)</f>
        <v>443.84707069094532</v>
      </c>
      <c r="X627" s="2">
        <f>IF(T627="OVER",$J627,$K627)</f>
        <v>443.84707069094532</v>
      </c>
      <c r="Y627" s="9">
        <f t="shared" si="81"/>
        <v>-24306.89257179794</v>
      </c>
      <c r="Z627" s="9">
        <f t="shared" si="81"/>
        <v>-23589.177303053566</v>
      </c>
      <c r="AA627" s="9">
        <f t="shared" si="81"/>
        <v>34428.988001352445</v>
      </c>
      <c r="AB627" s="9">
        <f t="shared" si="81"/>
        <v>9705.6455035244362</v>
      </c>
    </row>
    <row r="628" spans="1:28" x14ac:dyDescent="0.3">
      <c r="A628" s="1">
        <v>45324</v>
      </c>
      <c r="B628" s="2">
        <v>71.430000000000007</v>
      </c>
      <c r="C628" s="2">
        <v>77.59</v>
      </c>
      <c r="D628" s="9">
        <f>B628-B627</f>
        <v>-8.99999999999892E-2</v>
      </c>
      <c r="E628" s="9">
        <f>C628-C627</f>
        <v>1.0000000000005116E-2</v>
      </c>
      <c r="F628" s="3">
        <f>F$1/B628</f>
        <v>1399.9720005599886</v>
      </c>
      <c r="G628" s="3">
        <f>F$1/C628</f>
        <v>1288.8258796236628</v>
      </c>
      <c r="H628" s="2">
        <f>D628*F627</f>
        <v>-125.83892617448156</v>
      </c>
      <c r="I628" s="2">
        <f>E628*G627</f>
        <v>12.889920082502083</v>
      </c>
      <c r="J628" s="2">
        <f>I628-H628</f>
        <v>138.72884625698364</v>
      </c>
      <c r="K628" s="2">
        <f t="shared" si="77"/>
        <v>-138.72884625698364</v>
      </c>
      <c r="L628" s="14">
        <f>C628/B628</f>
        <v>1.0862382752344952</v>
      </c>
      <c r="M628" s="14">
        <f t="shared" si="79"/>
        <v>1.0884749360961741</v>
      </c>
      <c r="N628" s="14">
        <f t="shared" si="83"/>
        <v>1.0877518401084161</v>
      </c>
      <c r="O628" s="14">
        <f t="shared" si="76"/>
        <v>1.08808038012652</v>
      </c>
      <c r="P628" s="14">
        <f t="shared" si="78"/>
        <v>1.0887751828317251</v>
      </c>
      <c r="Q628" s="4" t="str">
        <f t="shared" si="82"/>
        <v>UNDER</v>
      </c>
      <c r="R628" s="4" t="str">
        <f t="shared" si="82"/>
        <v>UNDER</v>
      </c>
      <c r="S628" s="4" t="str">
        <f t="shared" si="80"/>
        <v>UNDER</v>
      </c>
      <c r="T628" s="4" t="str">
        <f t="shared" si="80"/>
        <v>UNDER</v>
      </c>
      <c r="U628" s="2">
        <f>IF(Q628="OVER",$J628,$K628)</f>
        <v>-138.72884625698364</v>
      </c>
      <c r="V628" s="2">
        <f>IF(R628="OVER",$J628,$K628)</f>
        <v>-138.72884625698364</v>
      </c>
      <c r="W628" s="2">
        <f>IF(S628="OVER",$J628,$K628)</f>
        <v>-138.72884625698364</v>
      </c>
      <c r="X628" s="2">
        <f>IF(T628="OVER",$J628,$K628)</f>
        <v>-138.72884625698364</v>
      </c>
      <c r="Y628" s="9">
        <f t="shared" si="81"/>
        <v>-24445.621418054925</v>
      </c>
      <c r="Z628" s="9">
        <f t="shared" si="81"/>
        <v>-23727.906149310551</v>
      </c>
      <c r="AA628" s="9">
        <f t="shared" si="81"/>
        <v>34290.25915509546</v>
      </c>
      <c r="AB628" s="9">
        <f t="shared" si="81"/>
        <v>9566.916657267453</v>
      </c>
    </row>
    <row r="629" spans="1:28" x14ac:dyDescent="0.3">
      <c r="A629" s="1">
        <v>45327</v>
      </c>
      <c r="B629" s="2">
        <v>70.959999999999994</v>
      </c>
      <c r="C629" s="2">
        <v>77.27</v>
      </c>
      <c r="D629" s="9">
        <f>B629-B628</f>
        <v>-0.47000000000001307</v>
      </c>
      <c r="E629" s="9">
        <f>C629-C628</f>
        <v>-0.32000000000000739</v>
      </c>
      <c r="F629" s="3">
        <f>F$1/B629</f>
        <v>1409.2446448703497</v>
      </c>
      <c r="G629" s="3">
        <f>F$1/C629</f>
        <v>1294.1633234114147</v>
      </c>
      <c r="H629" s="2">
        <f>D629*F628</f>
        <v>-657.98684026321291</v>
      </c>
      <c r="I629" s="2">
        <f>E629*G628</f>
        <v>-412.42428147958162</v>
      </c>
      <c r="J629" s="2">
        <f>I629-H629</f>
        <v>245.56255878363129</v>
      </c>
      <c r="K629" s="2">
        <f t="shared" si="77"/>
        <v>-245.56255878363129</v>
      </c>
      <c r="L629" s="14">
        <f>C629/B629</f>
        <v>1.0889233370913192</v>
      </c>
      <c r="M629" s="14">
        <f t="shared" si="79"/>
        <v>1.0885889639624211</v>
      </c>
      <c r="N629" s="14">
        <f t="shared" si="83"/>
        <v>1.0879635944081965</v>
      </c>
      <c r="O629" s="14">
        <f t="shared" ref="O629:O692" si="84">AVERAGE(L580:L629)</f>
        <v>1.0880673593998604</v>
      </c>
      <c r="P629" s="14">
        <f t="shared" si="78"/>
        <v>1.0888046289606286</v>
      </c>
      <c r="Q629" s="4" t="str">
        <f t="shared" si="82"/>
        <v>UNDER</v>
      </c>
      <c r="R629" s="4" t="str">
        <f t="shared" si="82"/>
        <v>UNDER</v>
      </c>
      <c r="S629" s="4" t="str">
        <f t="shared" si="80"/>
        <v>OVER</v>
      </c>
      <c r="T629" s="4" t="str">
        <f t="shared" si="80"/>
        <v>OVER</v>
      </c>
      <c r="U629" s="2">
        <f>IF(Q629="OVER",$J629,$K629)</f>
        <v>-245.56255878363129</v>
      </c>
      <c r="V629" s="2">
        <f>IF(R629="OVER",$J629,$K629)</f>
        <v>-245.56255878363129</v>
      </c>
      <c r="W629" s="2">
        <f>IF(S629="OVER",$J629,$K629)</f>
        <v>245.56255878363129</v>
      </c>
      <c r="X629" s="2">
        <f>IF(T629="OVER",$J629,$K629)</f>
        <v>245.56255878363129</v>
      </c>
      <c r="Y629" s="9">
        <f t="shared" si="81"/>
        <v>-24691.183976838558</v>
      </c>
      <c r="Z629" s="9">
        <f t="shared" si="81"/>
        <v>-23973.468708094184</v>
      </c>
      <c r="AA629" s="9">
        <f t="shared" si="81"/>
        <v>34535.821713879093</v>
      </c>
      <c r="AB629" s="9">
        <f t="shared" si="81"/>
        <v>9812.4792160510842</v>
      </c>
    </row>
    <row r="630" spans="1:28" x14ac:dyDescent="0.3">
      <c r="A630" s="1">
        <v>45328</v>
      </c>
      <c r="B630" s="2">
        <v>71.37</v>
      </c>
      <c r="C630" s="2">
        <v>77.650000000000006</v>
      </c>
      <c r="D630" s="9">
        <f>B630-B629</f>
        <v>0.4100000000000108</v>
      </c>
      <c r="E630" s="9">
        <f>C630-C629</f>
        <v>0.38000000000000966</v>
      </c>
      <c r="F630" s="3">
        <f>F$1/B630</f>
        <v>1401.1489421325487</v>
      </c>
      <c r="G630" s="3">
        <f>F$1/C630</f>
        <v>1287.8300064391499</v>
      </c>
      <c r="H630" s="2">
        <f>D630*F629</f>
        <v>577.79030439685857</v>
      </c>
      <c r="I630" s="2">
        <f>E630*G629</f>
        <v>491.78206289635011</v>
      </c>
      <c r="J630" s="2">
        <f>I630-H630</f>
        <v>-86.008241500508461</v>
      </c>
      <c r="K630" s="2">
        <f t="shared" si="77"/>
        <v>86.008241500508461</v>
      </c>
      <c r="L630" s="14">
        <f>C630/B630</f>
        <v>1.087992153565924</v>
      </c>
      <c r="M630" s="14">
        <f t="shared" si="79"/>
        <v>1.0883888791090766</v>
      </c>
      <c r="N630" s="14">
        <f t="shared" si="83"/>
        <v>1.0880859159507994</v>
      </c>
      <c r="O630" s="14">
        <f t="shared" si="84"/>
        <v>1.088039426831102</v>
      </c>
      <c r="P630" s="14">
        <f t="shared" si="78"/>
        <v>1.0888419202623516</v>
      </c>
      <c r="Q630" s="4" t="str">
        <f t="shared" si="82"/>
        <v>OVER</v>
      </c>
      <c r="R630" s="4" t="str">
        <f t="shared" si="82"/>
        <v>OVER</v>
      </c>
      <c r="S630" s="4" t="str">
        <f t="shared" si="80"/>
        <v>UNDER</v>
      </c>
      <c r="T630" s="4" t="str">
        <f t="shared" si="80"/>
        <v>UNDER</v>
      </c>
      <c r="U630" s="2">
        <f>IF(Q630="OVER",$J630,$K630)</f>
        <v>-86.008241500508461</v>
      </c>
      <c r="V630" s="2">
        <f>IF(R630="OVER",$J630,$K630)</f>
        <v>-86.008241500508461</v>
      </c>
      <c r="W630" s="2">
        <f>IF(S630="OVER",$J630,$K630)</f>
        <v>86.008241500508461</v>
      </c>
      <c r="X630" s="2">
        <f>IF(T630="OVER",$J630,$K630)</f>
        <v>86.008241500508461</v>
      </c>
      <c r="Y630" s="9">
        <f t="shared" si="81"/>
        <v>-24777.192218339067</v>
      </c>
      <c r="Z630" s="9">
        <f t="shared" si="81"/>
        <v>-24059.476949594693</v>
      </c>
      <c r="AA630" s="9">
        <f t="shared" si="81"/>
        <v>34621.829955379602</v>
      </c>
      <c r="AB630" s="9">
        <f t="shared" si="81"/>
        <v>9898.4874575515933</v>
      </c>
    </row>
    <row r="631" spans="1:28" x14ac:dyDescent="0.3">
      <c r="A631" s="1">
        <v>45329</v>
      </c>
      <c r="B631" s="2">
        <v>71.510000000000005</v>
      </c>
      <c r="C631" s="2">
        <v>77.739999999999995</v>
      </c>
      <c r="D631" s="9">
        <f>B631-B630</f>
        <v>0.14000000000000057</v>
      </c>
      <c r="E631" s="9">
        <f>C631-C630</f>
        <v>8.99999999999892E-2</v>
      </c>
      <c r="F631" s="3">
        <f>F$1/B631</f>
        <v>1398.4058173682001</v>
      </c>
      <c r="G631" s="3">
        <f>F$1/C631</f>
        <v>1286.3390789812195</v>
      </c>
      <c r="H631" s="2">
        <f>D631*F630</f>
        <v>196.16085189855761</v>
      </c>
      <c r="I631" s="2">
        <f>E631*G630</f>
        <v>115.90470057950958</v>
      </c>
      <c r="J631" s="2">
        <f>I631-H631</f>
        <v>-80.25615131904803</v>
      </c>
      <c r="K631" s="2">
        <f t="shared" si="77"/>
        <v>80.25615131904803</v>
      </c>
      <c r="L631" s="14">
        <f>C631/B631</f>
        <v>1.0871206824220387</v>
      </c>
      <c r="M631" s="14">
        <f t="shared" si="79"/>
        <v>1.0882332610877756</v>
      </c>
      <c r="N631" s="14">
        <f t="shared" si="83"/>
        <v>1.0881048208718451</v>
      </c>
      <c r="O631" s="14">
        <f t="shared" si="84"/>
        <v>1.088006622638751</v>
      </c>
      <c r="P631" s="14">
        <f t="shared" si="78"/>
        <v>1.0888692378744018</v>
      </c>
      <c r="Q631" s="4" t="str">
        <f t="shared" si="82"/>
        <v>UNDER</v>
      </c>
      <c r="R631" s="4" t="str">
        <f t="shared" si="82"/>
        <v>UNDER</v>
      </c>
      <c r="S631" s="4" t="str">
        <f t="shared" si="80"/>
        <v>UNDER</v>
      </c>
      <c r="T631" s="4" t="str">
        <f t="shared" si="80"/>
        <v>UNDER</v>
      </c>
      <c r="U631" s="2">
        <f>IF(Q631="OVER",$J631,$K631)</f>
        <v>80.25615131904803</v>
      </c>
      <c r="V631" s="2">
        <f>IF(R631="OVER",$J631,$K631)</f>
        <v>80.25615131904803</v>
      </c>
      <c r="W631" s="2">
        <f>IF(S631="OVER",$J631,$K631)</f>
        <v>80.25615131904803</v>
      </c>
      <c r="X631" s="2">
        <f>IF(T631="OVER",$J631,$K631)</f>
        <v>80.25615131904803</v>
      </c>
      <c r="Y631" s="9">
        <f t="shared" si="81"/>
        <v>-24696.936067020019</v>
      </c>
      <c r="Z631" s="9">
        <f t="shared" si="81"/>
        <v>-23979.220798275644</v>
      </c>
      <c r="AA631" s="9">
        <f t="shared" si="81"/>
        <v>34702.086106698647</v>
      </c>
      <c r="AB631" s="9">
        <f t="shared" si="81"/>
        <v>9978.7436088706418</v>
      </c>
    </row>
    <row r="632" spans="1:28" x14ac:dyDescent="0.3">
      <c r="A632" s="1">
        <v>45330</v>
      </c>
      <c r="B632" s="2">
        <v>71.849999999999994</v>
      </c>
      <c r="C632" s="2">
        <v>78.19</v>
      </c>
      <c r="D632" s="9">
        <f>B632-B631</f>
        <v>0.3399999999999892</v>
      </c>
      <c r="E632" s="9">
        <f>C632-C631</f>
        <v>0.45000000000000284</v>
      </c>
      <c r="F632" s="3">
        <f>F$1/B632</f>
        <v>1391.7884481558804</v>
      </c>
      <c r="G632" s="3">
        <f>F$1/C632</f>
        <v>1278.935925310142</v>
      </c>
      <c r="H632" s="2">
        <f>D632*F631</f>
        <v>475.45797790517292</v>
      </c>
      <c r="I632" s="2">
        <f>E632*G631</f>
        <v>578.85258554155246</v>
      </c>
      <c r="J632" s="2">
        <f>I632-H632</f>
        <v>103.39460763637953</v>
      </c>
      <c r="K632" s="2">
        <f t="shared" si="77"/>
        <v>-103.39460763637953</v>
      </c>
      <c r="L632" s="14">
        <f>C632/B632</f>
        <v>1.0882393876130829</v>
      </c>
      <c r="M632" s="14">
        <f t="shared" si="79"/>
        <v>1.0882567514185904</v>
      </c>
      <c r="N632" s="14">
        <f t="shared" si="83"/>
        <v>1.0881802342765989</v>
      </c>
      <c r="O632" s="14">
        <f t="shared" si="84"/>
        <v>1.0879725623626566</v>
      </c>
      <c r="P632" s="14">
        <f t="shared" si="78"/>
        <v>1.08891561910974</v>
      </c>
      <c r="Q632" s="4" t="str">
        <f t="shared" si="82"/>
        <v>UNDER</v>
      </c>
      <c r="R632" s="4" t="str">
        <f t="shared" si="82"/>
        <v>UNDER</v>
      </c>
      <c r="S632" s="4" t="str">
        <f t="shared" si="80"/>
        <v>OVER</v>
      </c>
      <c r="T632" s="4" t="str">
        <f t="shared" si="80"/>
        <v>UNDER</v>
      </c>
      <c r="U632" s="2">
        <f>IF(Q632="OVER",$J632,$K632)</f>
        <v>-103.39460763637953</v>
      </c>
      <c r="V632" s="2">
        <f>IF(R632="OVER",$J632,$K632)</f>
        <v>-103.39460763637953</v>
      </c>
      <c r="W632" s="2">
        <f>IF(S632="OVER",$J632,$K632)</f>
        <v>103.39460763637953</v>
      </c>
      <c r="X632" s="2">
        <f>IF(T632="OVER",$J632,$K632)</f>
        <v>-103.39460763637953</v>
      </c>
      <c r="Y632" s="9">
        <f t="shared" si="81"/>
        <v>-24800.330674656398</v>
      </c>
      <c r="Z632" s="9">
        <f t="shared" si="81"/>
        <v>-24082.615405912024</v>
      </c>
      <c r="AA632" s="9">
        <f t="shared" si="81"/>
        <v>34805.480714335026</v>
      </c>
      <c r="AB632" s="9">
        <f t="shared" si="81"/>
        <v>9875.3490012342627</v>
      </c>
    </row>
    <row r="633" spans="1:28" x14ac:dyDescent="0.3">
      <c r="A633" s="1">
        <v>45331</v>
      </c>
      <c r="B633" s="2">
        <v>72.14</v>
      </c>
      <c r="C633" s="2">
        <v>78.55</v>
      </c>
      <c r="D633" s="9">
        <f>B633-B632</f>
        <v>0.29000000000000625</v>
      </c>
      <c r="E633" s="9">
        <f>C633-C632</f>
        <v>0.35999999999999943</v>
      </c>
      <c r="F633" s="3">
        <f>F$1/B633</f>
        <v>1386.193512614361</v>
      </c>
      <c r="G633" s="3">
        <f>F$1/C633</f>
        <v>1273.0744748567793</v>
      </c>
      <c r="H633" s="2">
        <f>D633*F632</f>
        <v>403.61864996521399</v>
      </c>
      <c r="I633" s="2">
        <f>E633*G632</f>
        <v>460.41693311165039</v>
      </c>
      <c r="J633" s="2">
        <f>I633-H633</f>
        <v>56.798283146436404</v>
      </c>
      <c r="K633" s="2">
        <f t="shared" si="77"/>
        <v>-56.798283146436404</v>
      </c>
      <c r="L633" s="14">
        <f>C633/B633</f>
        <v>1.0888550041585805</v>
      </c>
      <c r="M633" s="14">
        <f t="shared" si="79"/>
        <v>1.0881189568583047</v>
      </c>
      <c r="N633" s="14">
        <f t="shared" si="83"/>
        <v>1.0882705875122825</v>
      </c>
      <c r="O633" s="14">
        <f t="shared" si="84"/>
        <v>1.0879486307582822</v>
      </c>
      <c r="P633" s="14">
        <f t="shared" si="78"/>
        <v>1.0889567662835848</v>
      </c>
      <c r="Q633" s="4" t="str">
        <f t="shared" si="82"/>
        <v>UNDER</v>
      </c>
      <c r="R633" s="4" t="str">
        <f t="shared" si="82"/>
        <v>OVER</v>
      </c>
      <c r="S633" s="4" t="str">
        <f t="shared" si="80"/>
        <v>OVER</v>
      </c>
      <c r="T633" s="4" t="str">
        <f t="shared" si="80"/>
        <v>UNDER</v>
      </c>
      <c r="U633" s="2">
        <f>IF(Q633="OVER",$J633,$K633)</f>
        <v>-56.798283146436404</v>
      </c>
      <c r="V633" s="2">
        <f>IF(R633="OVER",$J633,$K633)</f>
        <v>56.798283146436404</v>
      </c>
      <c r="W633" s="2">
        <f>IF(S633="OVER",$J633,$K633)</f>
        <v>56.798283146436404</v>
      </c>
      <c r="X633" s="2">
        <f>IF(T633="OVER",$J633,$K633)</f>
        <v>-56.798283146436404</v>
      </c>
      <c r="Y633" s="9">
        <f t="shared" si="81"/>
        <v>-24857.128957802834</v>
      </c>
      <c r="Z633" s="9">
        <f t="shared" si="81"/>
        <v>-24025.817122765588</v>
      </c>
      <c r="AA633" s="9">
        <f t="shared" si="81"/>
        <v>34862.278997481466</v>
      </c>
      <c r="AB633" s="9">
        <f t="shared" si="81"/>
        <v>9818.5507180878267</v>
      </c>
    </row>
    <row r="634" spans="1:28" x14ac:dyDescent="0.3">
      <c r="A634" s="1">
        <v>45334</v>
      </c>
      <c r="B634" s="2">
        <v>72.260000000000005</v>
      </c>
      <c r="C634" s="2">
        <v>78.75</v>
      </c>
      <c r="D634" s="9">
        <f>B634-B633</f>
        <v>0.12000000000000455</v>
      </c>
      <c r="E634" s="9">
        <f>C634-C633</f>
        <v>0.20000000000000284</v>
      </c>
      <c r="F634" s="3">
        <f>F$1/B634</f>
        <v>1383.891502906172</v>
      </c>
      <c r="G634" s="3">
        <f>F$1/C634</f>
        <v>1269.8412698412699</v>
      </c>
      <c r="H634" s="2">
        <f>D634*F633</f>
        <v>166.34322151372962</v>
      </c>
      <c r="I634" s="2">
        <f>E634*G633</f>
        <v>254.61489497135946</v>
      </c>
      <c r="J634" s="2">
        <f>I634-H634</f>
        <v>88.271673457629845</v>
      </c>
      <c r="K634" s="2">
        <f t="shared" si="77"/>
        <v>-88.271673457629845</v>
      </c>
      <c r="L634" s="14">
        <f>C634/B634</f>
        <v>1.0898145585386105</v>
      </c>
      <c r="M634" s="14">
        <f t="shared" si="79"/>
        <v>1.0880981830577621</v>
      </c>
      <c r="N634" s="14">
        <f t="shared" si="83"/>
        <v>1.0884741978416828</v>
      </c>
      <c r="O634" s="14">
        <f t="shared" si="84"/>
        <v>1.0879613518602305</v>
      </c>
      <c r="P634" s="14">
        <f t="shared" si="78"/>
        <v>1.0889974740572668</v>
      </c>
      <c r="Q634" s="4" t="str">
        <f t="shared" si="82"/>
        <v>OVER</v>
      </c>
      <c r="R634" s="4" t="str">
        <f t="shared" si="82"/>
        <v>OVER</v>
      </c>
      <c r="S634" s="4" t="str">
        <f t="shared" si="80"/>
        <v>OVER</v>
      </c>
      <c r="T634" s="4" t="str">
        <f t="shared" si="80"/>
        <v>OVER</v>
      </c>
      <c r="U634" s="2">
        <f>IF(Q634="OVER",$J634,$K634)</f>
        <v>88.271673457629845</v>
      </c>
      <c r="V634" s="2">
        <f>IF(R634="OVER",$J634,$K634)</f>
        <v>88.271673457629845</v>
      </c>
      <c r="W634" s="2">
        <f>IF(S634="OVER",$J634,$K634)</f>
        <v>88.271673457629845</v>
      </c>
      <c r="X634" s="2">
        <f>IF(T634="OVER",$J634,$K634)</f>
        <v>88.271673457629845</v>
      </c>
      <c r="Y634" s="9">
        <f t="shared" si="81"/>
        <v>-24768.857284345202</v>
      </c>
      <c r="Z634" s="9">
        <f t="shared" si="81"/>
        <v>-23937.545449307956</v>
      </c>
      <c r="AA634" s="9">
        <f t="shared" si="81"/>
        <v>34950.550670939097</v>
      </c>
      <c r="AB634" s="9">
        <f t="shared" si="81"/>
        <v>9906.8223915454564</v>
      </c>
    </row>
    <row r="635" spans="1:28" x14ac:dyDescent="0.3">
      <c r="A635" s="1">
        <v>45335</v>
      </c>
      <c r="B635" s="2">
        <v>71.44</v>
      </c>
      <c r="C635" s="2">
        <v>77.84</v>
      </c>
      <c r="D635" s="9">
        <f>B635-B634</f>
        <v>-0.82000000000000739</v>
      </c>
      <c r="E635" s="9">
        <f>C635-C634</f>
        <v>-0.90999999999999659</v>
      </c>
      <c r="F635" s="3">
        <f>F$1/B635</f>
        <v>1399.7760358342666</v>
      </c>
      <c r="G635" s="3">
        <f>F$1/C635</f>
        <v>1284.6865364850976</v>
      </c>
      <c r="H635" s="2">
        <f>D635*F634</f>
        <v>-1134.7910323830713</v>
      </c>
      <c r="I635" s="2">
        <f>E635*G634</f>
        <v>-1155.5555555555513</v>
      </c>
      <c r="J635" s="2">
        <f>I635-H635</f>
        <v>-20.76452317248004</v>
      </c>
      <c r="K635" s="2">
        <f t="shared" si="77"/>
        <v>20.76452317248004</v>
      </c>
      <c r="L635" s="14">
        <f>C635/B635</f>
        <v>1.0895856662933932</v>
      </c>
      <c r="M635" s="14">
        <f t="shared" si="79"/>
        <v>1.088104235720621</v>
      </c>
      <c r="N635" s="14">
        <f t="shared" si="83"/>
        <v>1.0885392316491713</v>
      </c>
      <c r="O635" s="14">
        <f t="shared" si="84"/>
        <v>1.087998166092796</v>
      </c>
      <c r="P635" s="14">
        <f t="shared" si="78"/>
        <v>1.0890282925270105</v>
      </c>
      <c r="Q635" s="4" t="str">
        <f t="shared" si="82"/>
        <v>OVER</v>
      </c>
      <c r="R635" s="4" t="str">
        <f t="shared" si="82"/>
        <v>OVER</v>
      </c>
      <c r="S635" s="4" t="str">
        <f t="shared" si="80"/>
        <v>OVER</v>
      </c>
      <c r="T635" s="4" t="str">
        <f t="shared" si="80"/>
        <v>OVER</v>
      </c>
      <c r="U635" s="2">
        <f>IF(Q635="OVER",$J635,$K635)</f>
        <v>-20.76452317248004</v>
      </c>
      <c r="V635" s="2">
        <f>IF(R635="OVER",$J635,$K635)</f>
        <v>-20.76452317248004</v>
      </c>
      <c r="W635" s="2">
        <f>IF(S635="OVER",$J635,$K635)</f>
        <v>-20.76452317248004</v>
      </c>
      <c r="X635" s="2">
        <f>IF(T635="OVER",$J635,$K635)</f>
        <v>-20.76452317248004</v>
      </c>
      <c r="Y635" s="9">
        <f t="shared" si="81"/>
        <v>-24789.62180751768</v>
      </c>
      <c r="Z635" s="9">
        <f t="shared" si="81"/>
        <v>-23958.309972480434</v>
      </c>
      <c r="AA635" s="9">
        <f t="shared" si="81"/>
        <v>34929.786147766616</v>
      </c>
      <c r="AB635" s="9">
        <f t="shared" si="81"/>
        <v>9886.0578683729764</v>
      </c>
    </row>
    <row r="636" spans="1:28" x14ac:dyDescent="0.3">
      <c r="A636" s="1">
        <v>45336</v>
      </c>
      <c r="B636" s="2">
        <v>71.98</v>
      </c>
      <c r="C636" s="2">
        <v>78.36</v>
      </c>
      <c r="D636" s="9">
        <f>B636-B635</f>
        <v>0.54000000000000625</v>
      </c>
      <c r="E636" s="9">
        <f>C636-C635</f>
        <v>0.51999999999999602</v>
      </c>
      <c r="F636" s="3">
        <f>F$1/B636</f>
        <v>1389.2747985551541</v>
      </c>
      <c r="G636" s="3">
        <f>F$1/C636</f>
        <v>1276.1613067891781</v>
      </c>
      <c r="H636" s="2">
        <f>D636*F635</f>
        <v>755.87905935051276</v>
      </c>
      <c r="I636" s="2">
        <f>E636*G635</f>
        <v>668.03699897224567</v>
      </c>
      <c r="J636" s="2">
        <f>I636-H636</f>
        <v>-87.842060378267092</v>
      </c>
      <c r="K636" s="2">
        <f t="shared" si="77"/>
        <v>87.842060378267092</v>
      </c>
      <c r="L636" s="14">
        <f>C636/B636</f>
        <v>1.0886357321478188</v>
      </c>
      <c r="M636" s="14">
        <f t="shared" si="79"/>
        <v>1.0880136340689426</v>
      </c>
      <c r="N636" s="14">
        <f t="shared" si="83"/>
        <v>1.0885773575801792</v>
      </c>
      <c r="O636" s="14">
        <f t="shared" si="84"/>
        <v>1.0879945840101657</v>
      </c>
      <c r="P636" s="14">
        <f t="shared" si="78"/>
        <v>1.0890671095339559</v>
      </c>
      <c r="Q636" s="4" t="str">
        <f t="shared" si="82"/>
        <v>OVER</v>
      </c>
      <c r="R636" s="4" t="str">
        <f t="shared" si="82"/>
        <v>OVER</v>
      </c>
      <c r="S636" s="4" t="str">
        <f t="shared" si="80"/>
        <v>OVER</v>
      </c>
      <c r="T636" s="4" t="str">
        <f t="shared" si="80"/>
        <v>UNDER</v>
      </c>
      <c r="U636" s="2">
        <f>IF(Q636="OVER",$J636,$K636)</f>
        <v>-87.842060378267092</v>
      </c>
      <c r="V636" s="2">
        <f>IF(R636="OVER",$J636,$K636)</f>
        <v>-87.842060378267092</v>
      </c>
      <c r="W636" s="2">
        <f>IF(S636="OVER",$J636,$K636)</f>
        <v>-87.842060378267092</v>
      </c>
      <c r="X636" s="2">
        <f>IF(T636="OVER",$J636,$K636)</f>
        <v>87.842060378267092</v>
      </c>
      <c r="Y636" s="9">
        <f t="shared" si="81"/>
        <v>-24877.463867895949</v>
      </c>
      <c r="Z636" s="9">
        <f t="shared" si="81"/>
        <v>-24046.152032858703</v>
      </c>
      <c r="AA636" s="9">
        <f t="shared" si="81"/>
        <v>34841.94408738835</v>
      </c>
      <c r="AB636" s="9">
        <f t="shared" si="81"/>
        <v>9973.8999287512434</v>
      </c>
    </row>
    <row r="637" spans="1:28" x14ac:dyDescent="0.3">
      <c r="A637" s="1">
        <v>45337</v>
      </c>
      <c r="B637" s="2">
        <v>72.209999999999994</v>
      </c>
      <c r="C637" s="2">
        <v>78.62</v>
      </c>
      <c r="D637" s="9">
        <f>B637-B636</f>
        <v>0.22999999999998977</v>
      </c>
      <c r="E637" s="9">
        <f>C637-C636</f>
        <v>0.26000000000000512</v>
      </c>
      <c r="F637" s="3">
        <f>F$1/B637</f>
        <v>1384.8497438027975</v>
      </c>
      <c r="G637" s="3">
        <f>F$1/C637</f>
        <v>1271.940981938438</v>
      </c>
      <c r="H637" s="2">
        <f>D637*F636</f>
        <v>319.53320366767122</v>
      </c>
      <c r="I637" s="2">
        <f>E637*G636</f>
        <v>331.8019397651928</v>
      </c>
      <c r="J637" s="2">
        <f>I637-H637</f>
        <v>12.268736097521582</v>
      </c>
      <c r="K637" s="2">
        <f t="shared" si="77"/>
        <v>-12.268736097521582</v>
      </c>
      <c r="L637" s="14">
        <f>C637/B637</f>
        <v>1.0887688685777595</v>
      </c>
      <c r="M637" s="14">
        <f t="shared" si="79"/>
        <v>1.0884173665643022</v>
      </c>
      <c r="N637" s="14">
        <f t="shared" si="83"/>
        <v>1.0885358688440019</v>
      </c>
      <c r="O637" s="14">
        <f t="shared" si="84"/>
        <v>1.0880364929979849</v>
      </c>
      <c r="P637" s="14">
        <f t="shared" si="78"/>
        <v>1.0891104996754821</v>
      </c>
      <c r="Q637" s="4" t="str">
        <f t="shared" si="82"/>
        <v>OVER</v>
      </c>
      <c r="R637" s="4" t="str">
        <f t="shared" si="82"/>
        <v>OVER</v>
      </c>
      <c r="S637" s="4" t="str">
        <f t="shared" si="80"/>
        <v>OVER</v>
      </c>
      <c r="T637" s="4" t="str">
        <f t="shared" si="80"/>
        <v>UNDER</v>
      </c>
      <c r="U637" s="2">
        <f>IF(Q637="OVER",$J637,$K637)</f>
        <v>12.268736097521582</v>
      </c>
      <c r="V637" s="2">
        <f>IF(R637="OVER",$J637,$K637)</f>
        <v>12.268736097521582</v>
      </c>
      <c r="W637" s="2">
        <f>IF(S637="OVER",$J637,$K637)</f>
        <v>12.268736097521582</v>
      </c>
      <c r="X637" s="2">
        <f>IF(T637="OVER",$J637,$K637)</f>
        <v>-12.268736097521582</v>
      </c>
      <c r="Y637" s="9">
        <f t="shared" si="81"/>
        <v>-24865.195131798428</v>
      </c>
      <c r="Z637" s="9">
        <f t="shared" si="81"/>
        <v>-24033.883296761182</v>
      </c>
      <c r="AA637" s="9">
        <f t="shared" si="81"/>
        <v>34854.212823485876</v>
      </c>
      <c r="AB637" s="9">
        <f t="shared" si="81"/>
        <v>9961.6311926537219</v>
      </c>
    </row>
    <row r="638" spans="1:28" x14ac:dyDescent="0.3">
      <c r="A638" s="1">
        <v>45338</v>
      </c>
      <c r="B638" s="2">
        <v>71.91</v>
      </c>
      <c r="C638" s="2">
        <v>78.33</v>
      </c>
      <c r="D638" s="9">
        <f>B638-B637</f>
        <v>-0.29999999999999716</v>
      </c>
      <c r="E638" s="9">
        <f>C638-C637</f>
        <v>-0.29000000000000625</v>
      </c>
      <c r="F638" s="3">
        <f>F$1/B638</f>
        <v>1390.6271728549577</v>
      </c>
      <c r="G638" s="3">
        <f>F$1/C638</f>
        <v>1276.6500702157539</v>
      </c>
      <c r="H638" s="2">
        <f>D638*F637</f>
        <v>-415.45492314083532</v>
      </c>
      <c r="I638" s="2">
        <f>E638*G637</f>
        <v>-368.86288476215498</v>
      </c>
      <c r="J638" s="2">
        <f>I638-H638</f>
        <v>46.592038378680343</v>
      </c>
      <c r="K638" s="2">
        <f t="shared" si="77"/>
        <v>-46.592038378680343</v>
      </c>
      <c r="L638" s="14">
        <f>C638/B638</f>
        <v>1.0892782644972883</v>
      </c>
      <c r="M638" s="14">
        <f t="shared" si="79"/>
        <v>1.0887213654905814</v>
      </c>
      <c r="N638" s="14">
        <f t="shared" si="83"/>
        <v>1.0885981507933775</v>
      </c>
      <c r="O638" s="14">
        <f t="shared" si="84"/>
        <v>1.0880666542548534</v>
      </c>
      <c r="P638" s="14">
        <f t="shared" si="78"/>
        <v>1.0891568909979688</v>
      </c>
      <c r="Q638" s="4" t="str">
        <f t="shared" si="82"/>
        <v>OVER</v>
      </c>
      <c r="R638" s="4" t="str">
        <f t="shared" si="82"/>
        <v>OVER</v>
      </c>
      <c r="S638" s="4" t="str">
        <f t="shared" si="80"/>
        <v>OVER</v>
      </c>
      <c r="T638" s="4" t="str">
        <f t="shared" si="80"/>
        <v>OVER</v>
      </c>
      <c r="U638" s="2">
        <f>IF(Q638="OVER",$J638,$K638)</f>
        <v>46.592038378680343</v>
      </c>
      <c r="V638" s="2">
        <f>IF(R638="OVER",$J638,$K638)</f>
        <v>46.592038378680343</v>
      </c>
      <c r="W638" s="2">
        <f>IF(S638="OVER",$J638,$K638)</f>
        <v>46.592038378680343</v>
      </c>
      <c r="X638" s="2">
        <f>IF(T638="OVER",$J638,$K638)</f>
        <v>46.592038378680343</v>
      </c>
      <c r="Y638" s="9">
        <f t="shared" si="81"/>
        <v>-24818.603093419748</v>
      </c>
      <c r="Z638" s="9">
        <f t="shared" si="81"/>
        <v>-23987.291258382502</v>
      </c>
      <c r="AA638" s="9">
        <f t="shared" si="81"/>
        <v>34900.804861864555</v>
      </c>
      <c r="AB638" s="9">
        <f t="shared" si="81"/>
        <v>10008.223231032402</v>
      </c>
    </row>
    <row r="639" spans="1:28" x14ac:dyDescent="0.3">
      <c r="A639" s="1">
        <v>45342</v>
      </c>
      <c r="B639" s="2">
        <v>71.59</v>
      </c>
      <c r="C639" s="2">
        <v>78</v>
      </c>
      <c r="D639" s="9">
        <f>B639-B638</f>
        <v>-0.31999999999999318</v>
      </c>
      <c r="E639" s="9">
        <f>C639-C638</f>
        <v>-0.32999999999999829</v>
      </c>
      <c r="F639" s="3">
        <f>F$1/B639</f>
        <v>1396.8431345159938</v>
      </c>
      <c r="G639" s="3">
        <f>F$1/C639</f>
        <v>1282.051282051282</v>
      </c>
      <c r="H639" s="2">
        <f>D639*F638</f>
        <v>-445.00069531357701</v>
      </c>
      <c r="I639" s="2">
        <f>E639*G638</f>
        <v>-421.2945231711966</v>
      </c>
      <c r="J639" s="2">
        <f>I639-H639</f>
        <v>23.70617214238041</v>
      </c>
      <c r="K639" s="2">
        <f t="shared" si="77"/>
        <v>-23.70617214238041</v>
      </c>
      <c r="L639" s="14">
        <f>C639/B639</f>
        <v>1.0895376449224752</v>
      </c>
      <c r="M639" s="14">
        <f t="shared" si="79"/>
        <v>1.0887827962736971</v>
      </c>
      <c r="N639" s="14">
        <f t="shared" si="83"/>
        <v>1.088685880118059</v>
      </c>
      <c r="O639" s="14">
        <f t="shared" si="84"/>
        <v>1.088121175269245</v>
      </c>
      <c r="P639" s="14">
        <f t="shared" si="78"/>
        <v>1.0892076326576954</v>
      </c>
      <c r="Q639" s="4" t="str">
        <f t="shared" si="82"/>
        <v>OVER</v>
      </c>
      <c r="R639" s="4" t="str">
        <f t="shared" si="82"/>
        <v>OVER</v>
      </c>
      <c r="S639" s="4" t="str">
        <f t="shared" si="80"/>
        <v>OVER</v>
      </c>
      <c r="T639" s="4" t="str">
        <f t="shared" si="80"/>
        <v>OVER</v>
      </c>
      <c r="U639" s="2">
        <f>IF(Q639="OVER",$J639,$K639)</f>
        <v>23.70617214238041</v>
      </c>
      <c r="V639" s="2">
        <f>IF(R639="OVER",$J639,$K639)</f>
        <v>23.70617214238041</v>
      </c>
      <c r="W639" s="2">
        <f>IF(S639="OVER",$J639,$K639)</f>
        <v>23.70617214238041</v>
      </c>
      <c r="X639" s="2">
        <f>IF(T639="OVER",$J639,$K639)</f>
        <v>23.70617214238041</v>
      </c>
      <c r="Y639" s="9">
        <f t="shared" si="81"/>
        <v>-24794.896921277366</v>
      </c>
      <c r="Z639" s="9">
        <f t="shared" si="81"/>
        <v>-23963.58508624012</v>
      </c>
      <c r="AA639" s="9">
        <f t="shared" si="81"/>
        <v>34924.511034006937</v>
      </c>
      <c r="AB639" s="9">
        <f t="shared" si="81"/>
        <v>10031.929403174781</v>
      </c>
    </row>
    <row r="640" spans="1:28" x14ac:dyDescent="0.3">
      <c r="A640" s="1">
        <v>45343</v>
      </c>
      <c r="B640" s="2">
        <v>70.650000000000006</v>
      </c>
      <c r="C640" s="2">
        <v>76.98</v>
      </c>
      <c r="D640" s="9">
        <f>B640-B639</f>
        <v>-0.93999999999999773</v>
      </c>
      <c r="E640" s="9">
        <f>C640-C639</f>
        <v>-1.019999999999996</v>
      </c>
      <c r="F640" s="3">
        <f>F$1/B640</f>
        <v>1415.4281670205237</v>
      </c>
      <c r="G640" s="3">
        <f>F$1/C640</f>
        <v>1299.0387113535983</v>
      </c>
      <c r="H640" s="2">
        <f>D640*F639</f>
        <v>-1313.0325464450311</v>
      </c>
      <c r="I640" s="2">
        <f>E640*G639</f>
        <v>-1307.6923076923026</v>
      </c>
      <c r="J640" s="2">
        <f>I640-H640</f>
        <v>5.34023875272851</v>
      </c>
      <c r="K640" s="2">
        <f t="shared" si="77"/>
        <v>-5.34023875272851</v>
      </c>
      <c r="L640" s="14">
        <f>C640/B640</f>
        <v>1.0895966029723991</v>
      </c>
      <c r="M640" s="14">
        <f t="shared" si="79"/>
        <v>1.0889432412143445</v>
      </c>
      <c r="N640" s="14">
        <f t="shared" si="83"/>
        <v>1.0886660601617106</v>
      </c>
      <c r="O640" s="14">
        <f t="shared" si="84"/>
        <v>1.0881714694970896</v>
      </c>
      <c r="P640" s="14">
        <f t="shared" si="78"/>
        <v>1.0892647162986073</v>
      </c>
      <c r="Q640" s="4" t="str">
        <f t="shared" si="82"/>
        <v>OVER</v>
      </c>
      <c r="R640" s="4" t="str">
        <f t="shared" si="82"/>
        <v>OVER</v>
      </c>
      <c r="S640" s="4" t="str">
        <f t="shared" si="80"/>
        <v>OVER</v>
      </c>
      <c r="T640" s="4" t="str">
        <f t="shared" si="80"/>
        <v>OVER</v>
      </c>
      <c r="U640" s="2">
        <f>IF(Q640="OVER",$J640,$K640)</f>
        <v>5.34023875272851</v>
      </c>
      <c r="V640" s="2">
        <f>IF(R640="OVER",$J640,$K640)</f>
        <v>5.34023875272851</v>
      </c>
      <c r="W640" s="2">
        <f>IF(S640="OVER",$J640,$K640)</f>
        <v>5.34023875272851</v>
      </c>
      <c r="X640" s="2">
        <f>IF(T640="OVER",$J640,$K640)</f>
        <v>5.34023875272851</v>
      </c>
      <c r="Y640" s="9">
        <f t="shared" si="81"/>
        <v>-24789.556682524639</v>
      </c>
      <c r="Z640" s="9">
        <f t="shared" si="81"/>
        <v>-23958.244847487393</v>
      </c>
      <c r="AA640" s="9">
        <f t="shared" si="81"/>
        <v>34929.851272759668</v>
      </c>
      <c r="AB640" s="9">
        <f t="shared" si="81"/>
        <v>10037.269641927509</v>
      </c>
    </row>
    <row r="641" spans="1:28" x14ac:dyDescent="0.3">
      <c r="A641" s="1">
        <v>45344</v>
      </c>
      <c r="B641" s="2">
        <v>70.73</v>
      </c>
      <c r="C641" s="2">
        <v>77.11</v>
      </c>
      <c r="D641" s="9">
        <f>B641-B640</f>
        <v>7.9999999999998295E-2</v>
      </c>
      <c r="E641" s="9">
        <f>C641-C640</f>
        <v>0.12999999999999545</v>
      </c>
      <c r="F641" s="3">
        <f>F$1/B641</f>
        <v>1413.8272303124556</v>
      </c>
      <c r="G641" s="3">
        <f>F$1/C641</f>
        <v>1296.8486577616393</v>
      </c>
      <c r="H641" s="2">
        <f>D641*F640</f>
        <v>113.23425336163947</v>
      </c>
      <c r="I641" s="2">
        <f>E641*G640</f>
        <v>168.87503247596186</v>
      </c>
      <c r="J641" s="2">
        <f>I641-H641</f>
        <v>55.640779114322385</v>
      </c>
      <c r="K641" s="2">
        <f t="shared" si="77"/>
        <v>-55.640779114322385</v>
      </c>
      <c r="L641" s="14">
        <f>C641/B641</f>
        <v>1.0902021772939345</v>
      </c>
      <c r="M641" s="14">
        <f t="shared" si="79"/>
        <v>1.0892513907015342</v>
      </c>
      <c r="N641" s="14">
        <f t="shared" si="83"/>
        <v>1.0887423258946549</v>
      </c>
      <c r="O641" s="14">
        <f t="shared" si="84"/>
        <v>1.0881976712334309</v>
      </c>
      <c r="P641" s="14">
        <f t="shared" si="78"/>
        <v>1.0893138806586655</v>
      </c>
      <c r="Q641" s="4" t="str">
        <f t="shared" si="82"/>
        <v>OVER</v>
      </c>
      <c r="R641" s="4" t="str">
        <f t="shared" si="82"/>
        <v>OVER</v>
      </c>
      <c r="S641" s="4" t="str">
        <f t="shared" si="80"/>
        <v>OVER</v>
      </c>
      <c r="T641" s="4" t="str">
        <f t="shared" si="80"/>
        <v>OVER</v>
      </c>
      <c r="U641" s="2">
        <f>IF(Q641="OVER",$J641,$K641)</f>
        <v>55.640779114322385</v>
      </c>
      <c r="V641" s="2">
        <f>IF(R641="OVER",$J641,$K641)</f>
        <v>55.640779114322385</v>
      </c>
      <c r="W641" s="2">
        <f>IF(S641="OVER",$J641,$K641)</f>
        <v>55.640779114322385</v>
      </c>
      <c r="X641" s="2">
        <f>IF(T641="OVER",$J641,$K641)</f>
        <v>55.640779114322385</v>
      </c>
      <c r="Y641" s="9">
        <f t="shared" si="81"/>
        <v>-24733.915903410318</v>
      </c>
      <c r="Z641" s="9">
        <f t="shared" si="81"/>
        <v>-23902.604068373072</v>
      </c>
      <c r="AA641" s="9">
        <f t="shared" si="81"/>
        <v>34985.492051873989</v>
      </c>
      <c r="AB641" s="9">
        <f t="shared" si="81"/>
        <v>10092.910421041832</v>
      </c>
    </row>
    <row r="642" spans="1:28" x14ac:dyDescent="0.3">
      <c r="A642" s="1">
        <v>45345</v>
      </c>
      <c r="B642" s="2">
        <v>70.92</v>
      </c>
      <c r="C642" s="2">
        <v>77.27</v>
      </c>
      <c r="D642" s="9">
        <f>B642-B641</f>
        <v>0.18999999999999773</v>
      </c>
      <c r="E642" s="9">
        <f>C642-C641</f>
        <v>0.15999999999999659</v>
      </c>
      <c r="F642" s="3">
        <f>F$1/B642</f>
        <v>1410.0394811054709</v>
      </c>
      <c r="G642" s="3">
        <f>F$1/C642</f>
        <v>1294.1633234114147</v>
      </c>
      <c r="H642" s="2">
        <f>D642*F641</f>
        <v>268.62717375936336</v>
      </c>
      <c r="I642" s="2">
        <f>E642*G641</f>
        <v>207.49578524185787</v>
      </c>
      <c r="J642" s="2">
        <f>I642-H642</f>
        <v>-61.131388517505485</v>
      </c>
      <c r="K642" s="2">
        <f t="shared" si="77"/>
        <v>61.131388517505485</v>
      </c>
      <c r="L642" s="14">
        <f>C642/B642</f>
        <v>1.0895375070501974</v>
      </c>
      <c r="M642" s="14">
        <f t="shared" si="79"/>
        <v>1.0893812026452456</v>
      </c>
      <c r="N642" s="14">
        <f t="shared" si="83"/>
        <v>1.0888189770319183</v>
      </c>
      <c r="O642" s="14">
        <f t="shared" si="84"/>
        <v>1.088195317926159</v>
      </c>
      <c r="P642" s="14">
        <f t="shared" si="78"/>
        <v>1.0893454050519227</v>
      </c>
      <c r="Q642" s="4" t="str">
        <f t="shared" si="82"/>
        <v>OVER</v>
      </c>
      <c r="R642" s="4" t="str">
        <f t="shared" si="82"/>
        <v>OVER</v>
      </c>
      <c r="S642" s="4" t="str">
        <f t="shared" si="80"/>
        <v>OVER</v>
      </c>
      <c r="T642" s="4" t="str">
        <f t="shared" si="80"/>
        <v>OVER</v>
      </c>
      <c r="U642" s="2">
        <f>IF(Q642="OVER",$J642,$K642)</f>
        <v>-61.131388517505485</v>
      </c>
      <c r="V642" s="2">
        <f>IF(R642="OVER",$J642,$K642)</f>
        <v>-61.131388517505485</v>
      </c>
      <c r="W642" s="2">
        <f>IF(S642="OVER",$J642,$K642)</f>
        <v>-61.131388517505485</v>
      </c>
      <c r="X642" s="2">
        <f>IF(T642="OVER",$J642,$K642)</f>
        <v>-61.131388517505485</v>
      </c>
      <c r="Y642" s="9">
        <f t="shared" si="81"/>
        <v>-24795.047291927822</v>
      </c>
      <c r="Z642" s="9">
        <f t="shared" si="81"/>
        <v>-23963.735456890576</v>
      </c>
      <c r="AA642" s="9">
        <f t="shared" si="81"/>
        <v>34924.360663356485</v>
      </c>
      <c r="AB642" s="9">
        <f t="shared" si="81"/>
        <v>10031.779032524326</v>
      </c>
    </row>
    <row r="643" spans="1:28" x14ac:dyDescent="0.3">
      <c r="A643" s="1">
        <v>45348</v>
      </c>
      <c r="B643" s="2">
        <v>71.14</v>
      </c>
      <c r="C643" s="2">
        <v>77.56</v>
      </c>
      <c r="D643" s="9">
        <f>B643-B642</f>
        <v>0.21999999999999886</v>
      </c>
      <c r="E643" s="9">
        <f>C643-C642</f>
        <v>0.29000000000000625</v>
      </c>
      <c r="F643" s="3">
        <f>F$1/B643</f>
        <v>1405.6789429294349</v>
      </c>
      <c r="G643" s="3">
        <f>F$1/C643</f>
        <v>1289.3243940175348</v>
      </c>
      <c r="H643" s="2">
        <f>D643*F642</f>
        <v>310.20868584320198</v>
      </c>
      <c r="I643" s="2">
        <f>E643*G642</f>
        <v>375.30736378931834</v>
      </c>
      <c r="J643" s="2">
        <f>I643-H643</f>
        <v>65.098677946116368</v>
      </c>
      <c r="K643" s="2">
        <f t="shared" si="77"/>
        <v>-65.098677946116368</v>
      </c>
      <c r="L643" s="14">
        <f>C643/B643</f>
        <v>1.0902445881360698</v>
      </c>
      <c r="M643" s="14">
        <f t="shared" si="79"/>
        <v>1.0895201610429948</v>
      </c>
      <c r="N643" s="14">
        <f t="shared" si="83"/>
        <v>1.0888195589506497</v>
      </c>
      <c r="O643" s="14">
        <f t="shared" si="84"/>
        <v>1.0881697304832392</v>
      </c>
      <c r="P643" s="14">
        <f t="shared" si="78"/>
        <v>1.0893824804714423</v>
      </c>
      <c r="Q643" s="4" t="str">
        <f t="shared" si="82"/>
        <v>OVER</v>
      </c>
      <c r="R643" s="4" t="str">
        <f t="shared" si="82"/>
        <v>OVER</v>
      </c>
      <c r="S643" s="4" t="str">
        <f t="shared" si="80"/>
        <v>OVER</v>
      </c>
      <c r="T643" s="4" t="str">
        <f t="shared" si="80"/>
        <v>OVER</v>
      </c>
      <c r="U643" s="2">
        <f>IF(Q643="OVER",$J643,$K643)</f>
        <v>65.098677946116368</v>
      </c>
      <c r="V643" s="2">
        <f>IF(R643="OVER",$J643,$K643)</f>
        <v>65.098677946116368</v>
      </c>
      <c r="W643" s="2">
        <f>IF(S643="OVER",$J643,$K643)</f>
        <v>65.098677946116368</v>
      </c>
      <c r="X643" s="2">
        <f>IF(T643="OVER",$J643,$K643)</f>
        <v>65.098677946116368</v>
      </c>
      <c r="Y643" s="9">
        <f t="shared" si="81"/>
        <v>-24729.948613981705</v>
      </c>
      <c r="Z643" s="9">
        <f t="shared" si="81"/>
        <v>-23898.636778944459</v>
      </c>
      <c r="AA643" s="9">
        <f t="shared" si="81"/>
        <v>34989.459341302601</v>
      </c>
      <c r="AB643" s="9">
        <f t="shared" si="81"/>
        <v>10096.877710470442</v>
      </c>
    </row>
    <row r="644" spans="1:28" x14ac:dyDescent="0.3">
      <c r="A644" s="1">
        <v>45349</v>
      </c>
      <c r="B644" s="2">
        <v>71.55</v>
      </c>
      <c r="C644" s="2">
        <v>78.069999999999993</v>
      </c>
      <c r="D644" s="9">
        <f>B644-B643</f>
        <v>0.40999999999999659</v>
      </c>
      <c r="E644" s="9">
        <f>C644-C643</f>
        <v>0.50999999999999091</v>
      </c>
      <c r="F644" s="3">
        <f>F$1/B644</f>
        <v>1397.6240391334732</v>
      </c>
      <c r="G644" s="3">
        <f>F$1/C644</f>
        <v>1280.9017548354043</v>
      </c>
      <c r="H644" s="2">
        <f>D644*F643</f>
        <v>576.32836660106352</v>
      </c>
      <c r="I644" s="2">
        <f>E644*G643</f>
        <v>657.55544094893105</v>
      </c>
      <c r="J644" s="2">
        <f>I644-H644</f>
        <v>81.227074347867529</v>
      </c>
      <c r="K644" s="2">
        <f t="shared" si="77"/>
        <v>-81.227074347867529</v>
      </c>
      <c r="L644" s="14">
        <f>C644/B644</f>
        <v>1.0911250873515024</v>
      </c>
      <c r="M644" s="14">
        <f t="shared" si="79"/>
        <v>1.089651213924284</v>
      </c>
      <c r="N644" s="14">
        <f t="shared" si="83"/>
        <v>1.0888746984910231</v>
      </c>
      <c r="O644" s="14">
        <f t="shared" si="84"/>
        <v>1.0882290295045454</v>
      </c>
      <c r="P644" s="14">
        <f t="shared" si="78"/>
        <v>1.0894137766950553</v>
      </c>
      <c r="Q644" s="4" t="str">
        <f t="shared" si="82"/>
        <v>OVER</v>
      </c>
      <c r="R644" s="4" t="str">
        <f t="shared" si="82"/>
        <v>OVER</v>
      </c>
      <c r="S644" s="4" t="str">
        <f t="shared" si="80"/>
        <v>OVER</v>
      </c>
      <c r="T644" s="4" t="str">
        <f t="shared" si="80"/>
        <v>OVER</v>
      </c>
      <c r="U644" s="2">
        <f>IF(Q644="OVER",$J644,$K644)</f>
        <v>81.227074347867529</v>
      </c>
      <c r="V644" s="2">
        <f>IF(R644="OVER",$J644,$K644)</f>
        <v>81.227074347867529</v>
      </c>
      <c r="W644" s="2">
        <f>IF(S644="OVER",$J644,$K644)</f>
        <v>81.227074347867529</v>
      </c>
      <c r="X644" s="2">
        <f>IF(T644="OVER",$J644,$K644)</f>
        <v>81.227074347867529</v>
      </c>
      <c r="Y644" s="9">
        <f t="shared" si="81"/>
        <v>-24648.721539633836</v>
      </c>
      <c r="Z644" s="9">
        <f t="shared" si="81"/>
        <v>-23817.40970459659</v>
      </c>
      <c r="AA644" s="9">
        <f t="shared" si="81"/>
        <v>35070.686415650467</v>
      </c>
      <c r="AB644" s="9">
        <f t="shared" si="81"/>
        <v>10178.10478481831</v>
      </c>
    </row>
    <row r="645" spans="1:28" x14ac:dyDescent="0.3">
      <c r="A645" s="1">
        <v>45350</v>
      </c>
      <c r="B645" s="2">
        <v>71.489999999999995</v>
      </c>
      <c r="C645" s="2">
        <v>77.959999999999994</v>
      </c>
      <c r="D645" s="9">
        <f>B645-B644</f>
        <v>-6.0000000000002274E-2</v>
      </c>
      <c r="E645" s="9">
        <f>C645-C644</f>
        <v>-0.10999999999999943</v>
      </c>
      <c r="F645" s="3">
        <f>F$1/B645</f>
        <v>1398.7970345502868</v>
      </c>
      <c r="G645" s="3">
        <f>F$1/C645</f>
        <v>1282.7090815802976</v>
      </c>
      <c r="H645" s="2">
        <f>D645*F644</f>
        <v>-83.857442348011574</v>
      </c>
      <c r="I645" s="2">
        <f>E645*G644</f>
        <v>-140.89919303189373</v>
      </c>
      <c r="J645" s="2">
        <f>I645-H645</f>
        <v>-57.041750683882157</v>
      </c>
      <c r="K645" s="2">
        <f t="shared" ref="K645:K708" si="85">H645-I645</f>
        <v>57.041750683882157</v>
      </c>
      <c r="L645" s="14">
        <f>C645/B645</f>
        <v>1.0905021681354035</v>
      </c>
      <c r="M645" s="14">
        <f t="shared" si="79"/>
        <v>1.0897428641084848</v>
      </c>
      <c r="N645" s="14">
        <f t="shared" si="83"/>
        <v>1.0889235499145529</v>
      </c>
      <c r="O645" s="14">
        <f t="shared" si="84"/>
        <v>1.0883432564407804</v>
      </c>
      <c r="P645" s="14">
        <f t="shared" si="78"/>
        <v>1.089445663383765</v>
      </c>
      <c r="Q645" s="4" t="str">
        <f t="shared" si="82"/>
        <v>OVER</v>
      </c>
      <c r="R645" s="4" t="str">
        <f t="shared" si="82"/>
        <v>OVER</v>
      </c>
      <c r="S645" s="4" t="str">
        <f t="shared" si="80"/>
        <v>OVER</v>
      </c>
      <c r="T645" s="4" t="str">
        <f t="shared" si="80"/>
        <v>OVER</v>
      </c>
      <c r="U645" s="2">
        <f>IF(Q645="OVER",$J645,$K645)</f>
        <v>-57.041750683882157</v>
      </c>
      <c r="V645" s="2">
        <f>IF(R645="OVER",$J645,$K645)</f>
        <v>-57.041750683882157</v>
      </c>
      <c r="W645" s="2">
        <f>IF(S645="OVER",$J645,$K645)</f>
        <v>-57.041750683882157</v>
      </c>
      <c r="X645" s="2">
        <f>IF(T645="OVER",$J645,$K645)</f>
        <v>-57.041750683882157</v>
      </c>
      <c r="Y645" s="9">
        <f t="shared" si="81"/>
        <v>-24705.763290317718</v>
      </c>
      <c r="Z645" s="9">
        <f t="shared" si="81"/>
        <v>-23874.451455280472</v>
      </c>
      <c r="AA645" s="9">
        <f t="shared" si="81"/>
        <v>35013.644664966581</v>
      </c>
      <c r="AB645" s="9">
        <f t="shared" si="81"/>
        <v>10121.063034134428</v>
      </c>
    </row>
    <row r="646" spans="1:28" x14ac:dyDescent="0.3">
      <c r="A646" s="1">
        <v>45351</v>
      </c>
      <c r="B646" s="2">
        <v>71.680000000000007</v>
      </c>
      <c r="C646" s="2">
        <v>78.17</v>
      </c>
      <c r="D646" s="9">
        <f>B646-B645</f>
        <v>0.19000000000001194</v>
      </c>
      <c r="E646" s="9">
        <f>C646-C645</f>
        <v>0.21000000000000796</v>
      </c>
      <c r="F646" s="3">
        <f>F$1/B646</f>
        <v>1395.0892857142856</v>
      </c>
      <c r="G646" s="3">
        <f>F$1/C646</f>
        <v>1279.263144428809</v>
      </c>
      <c r="H646" s="2">
        <f>D646*F645</f>
        <v>265.77143656457116</v>
      </c>
      <c r="I646" s="2">
        <f>E646*G645</f>
        <v>269.36890713187273</v>
      </c>
      <c r="J646" s="2">
        <f>I646-H646</f>
        <v>3.5974705673015706</v>
      </c>
      <c r="K646" s="2">
        <f t="shared" si="85"/>
        <v>-3.5974705673015706</v>
      </c>
      <c r="L646" s="14">
        <f>C646/B646</f>
        <v>1.090541294642857</v>
      </c>
      <c r="M646" s="14">
        <f t="shared" si="79"/>
        <v>1.0899334203579887</v>
      </c>
      <c r="N646" s="14">
        <f t="shared" si="83"/>
        <v>1.0889735272134657</v>
      </c>
      <c r="O646" s="14">
        <f t="shared" si="84"/>
        <v>1.0884582659071649</v>
      </c>
      <c r="P646" s="14">
        <f t="shared" si="78"/>
        <v>1.0894828970776096</v>
      </c>
      <c r="Q646" s="4" t="str">
        <f t="shared" si="82"/>
        <v>OVER</v>
      </c>
      <c r="R646" s="4" t="str">
        <f t="shared" si="82"/>
        <v>OVER</v>
      </c>
      <c r="S646" s="4" t="str">
        <f t="shared" si="80"/>
        <v>OVER</v>
      </c>
      <c r="T646" s="4" t="str">
        <f t="shared" si="80"/>
        <v>OVER</v>
      </c>
      <c r="U646" s="2">
        <f>IF(Q646="OVER",$J646,$K646)</f>
        <v>3.5974705673015706</v>
      </c>
      <c r="V646" s="2">
        <f>IF(R646="OVER",$J646,$K646)</f>
        <v>3.5974705673015706</v>
      </c>
      <c r="W646" s="2">
        <f>IF(S646="OVER",$J646,$K646)</f>
        <v>3.5974705673015706</v>
      </c>
      <c r="X646" s="2">
        <f>IF(T646="OVER",$J646,$K646)</f>
        <v>3.5974705673015706</v>
      </c>
      <c r="Y646" s="9">
        <f t="shared" si="81"/>
        <v>-24702.165819750415</v>
      </c>
      <c r="Z646" s="9">
        <f t="shared" si="81"/>
        <v>-23870.853984713169</v>
      </c>
      <c r="AA646" s="9">
        <f t="shared" si="81"/>
        <v>35017.242135533881</v>
      </c>
      <c r="AB646" s="9">
        <f t="shared" si="81"/>
        <v>10124.660504701729</v>
      </c>
    </row>
    <row r="647" spans="1:28" x14ac:dyDescent="0.3">
      <c r="A647" s="1">
        <v>45352</v>
      </c>
      <c r="B647" s="2">
        <v>71.97</v>
      </c>
      <c r="C647" s="2">
        <v>78.55</v>
      </c>
      <c r="D647" s="9">
        <f>B647-B646</f>
        <v>0.28999999999999204</v>
      </c>
      <c r="E647" s="9">
        <f>C647-C646</f>
        <v>0.37999999999999545</v>
      </c>
      <c r="F647" s="3">
        <f>F$1/B647</f>
        <v>1389.467833819647</v>
      </c>
      <c r="G647" s="3">
        <f>F$1/C647</f>
        <v>1273.0744748567793</v>
      </c>
      <c r="H647" s="2">
        <f>D647*F646</f>
        <v>404.57589285713169</v>
      </c>
      <c r="I647" s="2">
        <f>E647*G646</f>
        <v>486.11999488294163</v>
      </c>
      <c r="J647" s="2">
        <f>I647-H647</f>
        <v>81.544102025809934</v>
      </c>
      <c r="K647" s="2">
        <f t="shared" si="85"/>
        <v>-81.544102025809934</v>
      </c>
      <c r="L647" s="14">
        <f>C647/B647</f>
        <v>1.0914269834653327</v>
      </c>
      <c r="M647" s="14">
        <f t="shared" si="79"/>
        <v>1.0901992318467459</v>
      </c>
      <c r="N647" s="14">
        <f t="shared" si="83"/>
        <v>1.0893082992055241</v>
      </c>
      <c r="O647" s="14">
        <f t="shared" si="84"/>
        <v>1.0885417075372559</v>
      </c>
      <c r="P647" s="14">
        <f t="shared" si="78"/>
        <v>1.0895247421180967</v>
      </c>
      <c r="Q647" s="4" t="str">
        <f t="shared" si="82"/>
        <v>OVER</v>
      </c>
      <c r="R647" s="4" t="str">
        <f t="shared" si="82"/>
        <v>OVER</v>
      </c>
      <c r="S647" s="4" t="str">
        <f t="shared" si="80"/>
        <v>OVER</v>
      </c>
      <c r="T647" s="4" t="str">
        <f t="shared" si="80"/>
        <v>OVER</v>
      </c>
      <c r="U647" s="2">
        <f>IF(Q647="OVER",$J647,$K647)</f>
        <v>81.544102025809934</v>
      </c>
      <c r="V647" s="2">
        <f>IF(R647="OVER",$J647,$K647)</f>
        <v>81.544102025809934</v>
      </c>
      <c r="W647" s="2">
        <f>IF(S647="OVER",$J647,$K647)</f>
        <v>81.544102025809934</v>
      </c>
      <c r="X647" s="2">
        <f>IF(T647="OVER",$J647,$K647)</f>
        <v>81.544102025809934</v>
      </c>
      <c r="Y647" s="9">
        <f t="shared" si="81"/>
        <v>-24620.621717724604</v>
      </c>
      <c r="Z647" s="9">
        <f t="shared" si="81"/>
        <v>-23789.309882687357</v>
      </c>
      <c r="AA647" s="9">
        <f t="shared" si="81"/>
        <v>35098.786237559689</v>
      </c>
      <c r="AB647" s="9">
        <f t="shared" si="81"/>
        <v>10206.204606727539</v>
      </c>
    </row>
    <row r="648" spans="1:28" x14ac:dyDescent="0.3">
      <c r="A648" s="1">
        <v>45355</v>
      </c>
      <c r="B648" s="2">
        <v>72.02</v>
      </c>
      <c r="C648" s="2">
        <v>78.650000000000006</v>
      </c>
      <c r="D648" s="9">
        <f>B648-B647</f>
        <v>4.9999999999997158E-2</v>
      </c>
      <c r="E648" s="9">
        <f>C648-C647</f>
        <v>0.10000000000000853</v>
      </c>
      <c r="F648" s="3">
        <f>F$1/B648</f>
        <v>1388.5031935573452</v>
      </c>
      <c r="G648" s="3">
        <f>F$1/C648</f>
        <v>1271.4558169103623</v>
      </c>
      <c r="H648" s="2">
        <f>D648*F647</f>
        <v>69.473391690978403</v>
      </c>
      <c r="I648" s="2">
        <f>E648*G647</f>
        <v>127.30744748568878</v>
      </c>
      <c r="J648" s="2">
        <f>I648-H648</f>
        <v>57.83405579471038</v>
      </c>
      <c r="K648" s="2">
        <f t="shared" si="85"/>
        <v>-57.83405579471038</v>
      </c>
      <c r="L648" s="14">
        <f>C648/B648</f>
        <v>1.0920577617328522</v>
      </c>
      <c r="M648" s="14">
        <f t="shared" si="79"/>
        <v>1.0904771815703023</v>
      </c>
      <c r="N648" s="14">
        <f t="shared" si="83"/>
        <v>1.0895992735304421</v>
      </c>
      <c r="O648" s="14">
        <f t="shared" si="84"/>
        <v>1.0886178293643405</v>
      </c>
      <c r="P648" s="14">
        <f t="shared" si="78"/>
        <v>1.0895634534108951</v>
      </c>
      <c r="Q648" s="4" t="str">
        <f t="shared" si="82"/>
        <v>OVER</v>
      </c>
      <c r="R648" s="4" t="str">
        <f t="shared" si="82"/>
        <v>OVER</v>
      </c>
      <c r="S648" s="4" t="str">
        <f t="shared" si="80"/>
        <v>OVER</v>
      </c>
      <c r="T648" s="4" t="str">
        <f t="shared" si="80"/>
        <v>OVER</v>
      </c>
      <c r="U648" s="2">
        <f>IF(Q648="OVER",$J648,$K648)</f>
        <v>57.83405579471038</v>
      </c>
      <c r="V648" s="2">
        <f>IF(R648="OVER",$J648,$K648)</f>
        <v>57.83405579471038</v>
      </c>
      <c r="W648" s="2">
        <f>IF(S648="OVER",$J648,$K648)</f>
        <v>57.83405579471038</v>
      </c>
      <c r="X648" s="2">
        <f>IF(T648="OVER",$J648,$K648)</f>
        <v>57.83405579471038</v>
      </c>
      <c r="Y648" s="9">
        <f t="shared" si="81"/>
        <v>-24562.787661929891</v>
      </c>
      <c r="Z648" s="9">
        <f t="shared" si="81"/>
        <v>-23731.475826892645</v>
      </c>
      <c r="AA648" s="9">
        <f t="shared" si="81"/>
        <v>35156.620293354397</v>
      </c>
      <c r="AB648" s="9">
        <f t="shared" si="81"/>
        <v>10264.038662522249</v>
      </c>
    </row>
    <row r="649" spans="1:28" x14ac:dyDescent="0.3">
      <c r="A649" s="1">
        <v>45356</v>
      </c>
      <c r="B649" s="2">
        <v>71.430000000000007</v>
      </c>
      <c r="C649" s="2">
        <v>78.040000000000006</v>
      </c>
      <c r="D649" s="9">
        <f>B649-B648</f>
        <v>-0.5899999999999892</v>
      </c>
      <c r="E649" s="9">
        <f>C649-C648</f>
        <v>-0.60999999999999943</v>
      </c>
      <c r="F649" s="3">
        <f>F$1/B649</f>
        <v>1399.9720005599886</v>
      </c>
      <c r="G649" s="3">
        <f>F$1/C649</f>
        <v>1281.3941568426446</v>
      </c>
      <c r="H649" s="2">
        <f>D649*F648</f>
        <v>-819.21688419881866</v>
      </c>
      <c r="I649" s="2">
        <f>E649*G648</f>
        <v>-775.58804831532029</v>
      </c>
      <c r="J649" s="2">
        <f>I649-H649</f>
        <v>43.628835883498368</v>
      </c>
      <c r="K649" s="2">
        <f t="shared" si="85"/>
        <v>-43.628835883498368</v>
      </c>
      <c r="L649" s="14">
        <f>C649/B649</f>
        <v>1.0925381492370152</v>
      </c>
      <c r="M649" s="14">
        <f t="shared" si="79"/>
        <v>1.0907772320017561</v>
      </c>
      <c r="N649" s="14">
        <f t="shared" si="83"/>
        <v>1.089780014137727</v>
      </c>
      <c r="O649" s="14">
        <f t="shared" si="84"/>
        <v>1.0887247001839588</v>
      </c>
      <c r="P649" s="14">
        <f t="shared" si="78"/>
        <v>1.0895932926063423</v>
      </c>
      <c r="Q649" s="4" t="str">
        <f t="shared" si="82"/>
        <v>OVER</v>
      </c>
      <c r="R649" s="4" t="str">
        <f t="shared" si="82"/>
        <v>OVER</v>
      </c>
      <c r="S649" s="4" t="str">
        <f t="shared" si="80"/>
        <v>OVER</v>
      </c>
      <c r="T649" s="4" t="str">
        <f t="shared" si="80"/>
        <v>OVER</v>
      </c>
      <c r="U649" s="2">
        <f>IF(Q649="OVER",$J649,$K649)</f>
        <v>43.628835883498368</v>
      </c>
      <c r="V649" s="2">
        <f>IF(R649="OVER",$J649,$K649)</f>
        <v>43.628835883498368</v>
      </c>
      <c r="W649" s="2">
        <f>IF(S649="OVER",$J649,$K649)</f>
        <v>43.628835883498368</v>
      </c>
      <c r="X649" s="2">
        <f>IF(T649="OVER",$J649,$K649)</f>
        <v>43.628835883498368</v>
      </c>
      <c r="Y649" s="9">
        <f t="shared" si="81"/>
        <v>-24519.158826046394</v>
      </c>
      <c r="Z649" s="9">
        <f t="shared" si="81"/>
        <v>-23687.846991009148</v>
      </c>
      <c r="AA649" s="9">
        <f t="shared" si="81"/>
        <v>35200.249129237898</v>
      </c>
      <c r="AB649" s="9">
        <f t="shared" si="81"/>
        <v>10307.667498405748</v>
      </c>
    </row>
    <row r="650" spans="1:28" x14ac:dyDescent="0.3">
      <c r="A650" s="1">
        <v>45357</v>
      </c>
      <c r="B650" s="2">
        <v>71.650000000000006</v>
      </c>
      <c r="C650" s="2">
        <v>78.14</v>
      </c>
      <c r="D650" s="9">
        <f>B650-B649</f>
        <v>0.21999999999999886</v>
      </c>
      <c r="E650" s="9">
        <f>C650-C649</f>
        <v>9.9999999999994316E-2</v>
      </c>
      <c r="F650" s="3">
        <f>F$1/B650</f>
        <v>1395.6734124214934</v>
      </c>
      <c r="G650" s="3">
        <f>F$1/C650</f>
        <v>1279.7542871768621</v>
      </c>
      <c r="H650" s="2">
        <f>D650*F649</f>
        <v>307.99384012319592</v>
      </c>
      <c r="I650" s="2">
        <f>E650*G649</f>
        <v>128.13941568425719</v>
      </c>
      <c r="J650" s="2">
        <f>I650-H650</f>
        <v>-179.85442443893874</v>
      </c>
      <c r="K650" s="2">
        <f t="shared" si="85"/>
        <v>179.85442443893874</v>
      </c>
      <c r="L650" s="14">
        <f>C650/B650</f>
        <v>1.0905792044661549</v>
      </c>
      <c r="M650" s="14">
        <f t="shared" si="79"/>
        <v>1.0908754921511319</v>
      </c>
      <c r="N650" s="14">
        <f t="shared" si="83"/>
        <v>1.0899093666827384</v>
      </c>
      <c r="O650" s="14">
        <f t="shared" si="84"/>
        <v>1.0887669892050176</v>
      </c>
      <c r="P650" s="14">
        <f t="shared" si="78"/>
        <v>1.0896151282501811</v>
      </c>
      <c r="Q650" s="4" t="str">
        <f t="shared" si="82"/>
        <v>OVER</v>
      </c>
      <c r="R650" s="4" t="str">
        <f t="shared" si="82"/>
        <v>OVER</v>
      </c>
      <c r="S650" s="4" t="str">
        <f t="shared" si="80"/>
        <v>OVER</v>
      </c>
      <c r="T650" s="4" t="str">
        <f t="shared" si="80"/>
        <v>OVER</v>
      </c>
      <c r="U650" s="2">
        <f>IF(Q650="OVER",$J650,$K650)</f>
        <v>-179.85442443893874</v>
      </c>
      <c r="V650" s="2">
        <f>IF(R650="OVER",$J650,$K650)</f>
        <v>-179.85442443893874</v>
      </c>
      <c r="W650" s="2">
        <f>IF(S650="OVER",$J650,$K650)</f>
        <v>-179.85442443893874</v>
      </c>
      <c r="X650" s="2">
        <f>IF(T650="OVER",$J650,$K650)</f>
        <v>-179.85442443893874</v>
      </c>
      <c r="Y650" s="9">
        <f t="shared" si="81"/>
        <v>-24699.013250485332</v>
      </c>
      <c r="Z650" s="9">
        <f t="shared" si="81"/>
        <v>-23867.701415448086</v>
      </c>
      <c r="AA650" s="9">
        <f t="shared" si="81"/>
        <v>35020.394704798957</v>
      </c>
      <c r="AB650" s="9">
        <f t="shared" si="81"/>
        <v>10127.813073966809</v>
      </c>
    </row>
    <row r="651" spans="1:28" x14ac:dyDescent="0.3">
      <c r="A651" s="1">
        <v>45358</v>
      </c>
      <c r="B651" s="2">
        <v>72.06</v>
      </c>
      <c r="C651" s="2">
        <v>78.52</v>
      </c>
      <c r="D651" s="9">
        <f>B651-B650</f>
        <v>0.40999999999999659</v>
      </c>
      <c r="E651" s="9">
        <f>C651-C650</f>
        <v>0.37999999999999545</v>
      </c>
      <c r="F651" s="3">
        <f>F$1/B651</f>
        <v>1387.7324451845684</v>
      </c>
      <c r="G651" s="3">
        <f>F$1/C651</f>
        <v>1273.560876209883</v>
      </c>
      <c r="H651" s="2">
        <f>D651*F650</f>
        <v>572.22609909280754</v>
      </c>
      <c r="I651" s="2">
        <f>E651*G650</f>
        <v>486.3066291272018</v>
      </c>
      <c r="J651" s="2">
        <f>I651-H651</f>
        <v>-85.919469965605742</v>
      </c>
      <c r="K651" s="2">
        <f t="shared" si="85"/>
        <v>85.919469965605742</v>
      </c>
      <c r="L651" s="14">
        <f>C651/B651</f>
        <v>1.089647515958923</v>
      </c>
      <c r="M651" s="14">
        <f t="shared" si="79"/>
        <v>1.0908200260176308</v>
      </c>
      <c r="N651" s="14">
        <f t="shared" si="83"/>
        <v>1.0900357083595824</v>
      </c>
      <c r="O651" s="14">
        <f t="shared" si="84"/>
        <v>1.0887594664478084</v>
      </c>
      <c r="P651" s="14">
        <f t="shared" ref="P651:P714" si="86">AVERAGE(L452:L651)</f>
        <v>1.0896327330327413</v>
      </c>
      <c r="Q651" s="4" t="str">
        <f t="shared" si="82"/>
        <v>UNDER</v>
      </c>
      <c r="R651" s="4" t="str">
        <f t="shared" si="82"/>
        <v>OVER</v>
      </c>
      <c r="S651" s="4" t="str">
        <f t="shared" si="80"/>
        <v>OVER</v>
      </c>
      <c r="T651" s="4" t="str">
        <f t="shared" si="80"/>
        <v>OVER</v>
      </c>
      <c r="U651" s="2">
        <f>IF(Q651="OVER",$J651,$K651)</f>
        <v>85.919469965605742</v>
      </c>
      <c r="V651" s="2">
        <f>IF(R651="OVER",$J651,$K651)</f>
        <v>-85.919469965605742</v>
      </c>
      <c r="W651" s="2">
        <f>IF(S651="OVER",$J651,$K651)</f>
        <v>-85.919469965605742</v>
      </c>
      <c r="X651" s="2">
        <f>IF(T651="OVER",$J651,$K651)</f>
        <v>-85.919469965605742</v>
      </c>
      <c r="Y651" s="9">
        <f t="shared" si="81"/>
        <v>-24613.093780519725</v>
      </c>
      <c r="Z651" s="9">
        <f t="shared" si="81"/>
        <v>-23953.620885413693</v>
      </c>
      <c r="AA651" s="9">
        <f t="shared" si="81"/>
        <v>34934.47523483335</v>
      </c>
      <c r="AB651" s="9">
        <f t="shared" si="81"/>
        <v>10041.893604001203</v>
      </c>
    </row>
    <row r="652" spans="1:28" x14ac:dyDescent="0.3">
      <c r="A652" s="1">
        <v>45359</v>
      </c>
      <c r="B652" s="2">
        <v>72.2</v>
      </c>
      <c r="C652" s="2">
        <v>78.67</v>
      </c>
      <c r="D652" s="9">
        <f>B652-B651</f>
        <v>0.14000000000000057</v>
      </c>
      <c r="E652" s="9">
        <f>C652-C651</f>
        <v>0.15000000000000568</v>
      </c>
      <c r="F652" s="3">
        <f>F$1/B652</f>
        <v>1385.0415512465374</v>
      </c>
      <c r="G652" s="3">
        <f>F$1/C652</f>
        <v>1271.132579128003</v>
      </c>
      <c r="H652" s="2">
        <f>D652*F651</f>
        <v>194.28254232584035</v>
      </c>
      <c r="I652" s="2">
        <f>E652*G651</f>
        <v>191.0341314314897</v>
      </c>
      <c r="J652" s="2">
        <f>I652-H652</f>
        <v>-3.2484108943506556</v>
      </c>
      <c r="K652" s="2">
        <f t="shared" si="85"/>
        <v>3.2484108943506556</v>
      </c>
      <c r="L652" s="14">
        <f>C652/B652</f>
        <v>1.0896121883656509</v>
      </c>
      <c r="M652" s="14">
        <f t="shared" si="79"/>
        <v>1.0908274941491762</v>
      </c>
      <c r="N652" s="14">
        <f t="shared" si="83"/>
        <v>1.090104348397211</v>
      </c>
      <c r="O652" s="14">
        <f t="shared" si="84"/>
        <v>1.0887914884548993</v>
      </c>
      <c r="P652" s="14">
        <f t="shared" si="86"/>
        <v>1.0896462068323549</v>
      </c>
      <c r="Q652" s="4" t="str">
        <f t="shared" si="82"/>
        <v>UNDER</v>
      </c>
      <c r="R652" s="4" t="str">
        <f t="shared" si="82"/>
        <v>UNDER</v>
      </c>
      <c r="S652" s="4" t="str">
        <f t="shared" si="80"/>
        <v>OVER</v>
      </c>
      <c r="T652" s="4" t="str">
        <f t="shared" si="80"/>
        <v>UNDER</v>
      </c>
      <c r="U652" s="2">
        <f>IF(Q652="OVER",$J652,$K652)</f>
        <v>3.2484108943506556</v>
      </c>
      <c r="V652" s="2">
        <f>IF(R652="OVER",$J652,$K652)</f>
        <v>3.2484108943506556</v>
      </c>
      <c r="W652" s="2">
        <f>IF(S652="OVER",$J652,$K652)</f>
        <v>-3.2484108943506556</v>
      </c>
      <c r="X652" s="2">
        <f>IF(T652="OVER",$J652,$K652)</f>
        <v>3.2484108943506556</v>
      </c>
      <c r="Y652" s="9">
        <f t="shared" si="81"/>
        <v>-24609.845369625375</v>
      </c>
      <c r="Z652" s="9">
        <f t="shared" si="81"/>
        <v>-23950.372474519343</v>
      </c>
      <c r="AA652" s="9">
        <f t="shared" si="81"/>
        <v>34931.226823938996</v>
      </c>
      <c r="AB652" s="9">
        <f t="shared" ref="AB652:AB715" si="87">AB651+X652</f>
        <v>10045.142014895553</v>
      </c>
    </row>
    <row r="653" spans="1:28" x14ac:dyDescent="0.3">
      <c r="A653" s="1">
        <v>45362</v>
      </c>
      <c r="B653" s="2">
        <v>72.2</v>
      </c>
      <c r="C653" s="2">
        <v>78.61</v>
      </c>
      <c r="D653" s="9">
        <f>B653-B652</f>
        <v>0</v>
      </c>
      <c r="E653" s="9">
        <f>C653-C652</f>
        <v>-6.0000000000002274E-2</v>
      </c>
      <c r="F653" s="3">
        <f>F$1/B653</f>
        <v>1385.0415512465374</v>
      </c>
      <c r="G653" s="3">
        <f>F$1/C653</f>
        <v>1272.1027859051012</v>
      </c>
      <c r="H653" s="2">
        <f>D653*F652</f>
        <v>0</v>
      </c>
      <c r="I653" s="2">
        <f>E653*G652</f>
        <v>-76.267954747683078</v>
      </c>
      <c r="J653" s="2">
        <f>I653-H653</f>
        <v>-76.267954747683078</v>
      </c>
      <c r="K653" s="2">
        <f t="shared" si="85"/>
        <v>76.267954747683078</v>
      </c>
      <c r="L653" s="14">
        <f>C653/B653</f>
        <v>1.0887811634349029</v>
      </c>
      <c r="M653" s="14">
        <f t="shared" ref="M653:M716" si="88">AVERAGE(L644:L653)</f>
        <v>1.0906811516790593</v>
      </c>
      <c r="N653" s="14">
        <f t="shared" si="83"/>
        <v>1.0901006563610269</v>
      </c>
      <c r="O653" s="14">
        <f t="shared" si="84"/>
        <v>1.0888036233835947</v>
      </c>
      <c r="P653" s="14">
        <f t="shared" si="86"/>
        <v>1.089660660182622</v>
      </c>
      <c r="Q653" s="4" t="str">
        <f t="shared" si="82"/>
        <v>UNDER</v>
      </c>
      <c r="R653" s="4" t="str">
        <f t="shared" si="82"/>
        <v>UNDER</v>
      </c>
      <c r="S653" s="4" t="str">
        <f t="shared" ref="S653:T716" si="89">IF($L653&gt;O653,"OVER","UNDER")</f>
        <v>UNDER</v>
      </c>
      <c r="T653" s="4" t="str">
        <f t="shared" si="89"/>
        <v>UNDER</v>
      </c>
      <c r="U653" s="2">
        <f>IF(Q653="OVER",$J653,$K653)</f>
        <v>76.267954747683078</v>
      </c>
      <c r="V653" s="2">
        <f>IF(R653="OVER",$J653,$K653)</f>
        <v>76.267954747683078</v>
      </c>
      <c r="W653" s="2">
        <f>IF(S653="OVER",$J653,$K653)</f>
        <v>76.267954747683078</v>
      </c>
      <c r="X653" s="2">
        <f>IF(T653="OVER",$J653,$K653)</f>
        <v>76.267954747683078</v>
      </c>
      <c r="Y653" s="9">
        <f t="shared" ref="Y653:AB716" si="90">Y652+U653</f>
        <v>-24533.577414877691</v>
      </c>
      <c r="Z653" s="9">
        <f t="shared" si="90"/>
        <v>-23874.104519771659</v>
      </c>
      <c r="AA653" s="9">
        <f t="shared" si="90"/>
        <v>35007.494778686676</v>
      </c>
      <c r="AB653" s="9">
        <f t="shared" si="87"/>
        <v>10121.409969643237</v>
      </c>
    </row>
    <row r="654" spans="1:28" x14ac:dyDescent="0.3">
      <c r="A654" s="1">
        <v>45363</v>
      </c>
      <c r="B654" s="2">
        <v>72.430000000000007</v>
      </c>
      <c r="C654" s="2">
        <v>78.77</v>
      </c>
      <c r="D654" s="9">
        <f>B654-B653</f>
        <v>0.23000000000000398</v>
      </c>
      <c r="E654" s="9">
        <f>C654-C653</f>
        <v>0.15999999999999659</v>
      </c>
      <c r="F654" s="3">
        <f>F$1/B654</f>
        <v>1380.6433798149938</v>
      </c>
      <c r="G654" s="3">
        <f>F$1/C654</f>
        <v>1269.5188523549575</v>
      </c>
      <c r="H654" s="2">
        <f>D654*F653</f>
        <v>318.55955678670909</v>
      </c>
      <c r="I654" s="2">
        <f>E654*G653</f>
        <v>203.53644574481186</v>
      </c>
      <c r="J654" s="2">
        <f>I654-H654</f>
        <v>-115.02311104189724</v>
      </c>
      <c r="K654" s="2">
        <f t="shared" si="85"/>
        <v>115.02311104189724</v>
      </c>
      <c r="L654" s="14">
        <f>C654/B654</f>
        <v>1.0875327902802705</v>
      </c>
      <c r="M654" s="14">
        <f t="shared" si="88"/>
        <v>1.0903219219719364</v>
      </c>
      <c r="N654" s="14">
        <f t="shared" si="83"/>
        <v>1.0899865679481102</v>
      </c>
      <c r="O654" s="14">
        <f t="shared" si="84"/>
        <v>1.0887928214310556</v>
      </c>
      <c r="P654" s="14">
        <f t="shared" si="86"/>
        <v>1.0896720551176053</v>
      </c>
      <c r="Q654" s="4" t="str">
        <f t="shared" ref="Q654:R717" si="91">IF($L653&gt;M653,"OVER","UNDER")</f>
        <v>UNDER</v>
      </c>
      <c r="R654" s="4" t="str">
        <f t="shared" si="91"/>
        <v>UNDER</v>
      </c>
      <c r="S654" s="4" t="str">
        <f t="shared" si="89"/>
        <v>UNDER</v>
      </c>
      <c r="T654" s="4" t="str">
        <f t="shared" si="89"/>
        <v>UNDER</v>
      </c>
      <c r="U654" s="2">
        <f>IF(Q654="OVER",$J654,$K654)</f>
        <v>115.02311104189724</v>
      </c>
      <c r="V654" s="2">
        <f>IF(R654="OVER",$J654,$K654)</f>
        <v>115.02311104189724</v>
      </c>
      <c r="W654" s="2">
        <f>IF(S654="OVER",$J654,$K654)</f>
        <v>115.02311104189724</v>
      </c>
      <c r="X654" s="2">
        <f>IF(T654="OVER",$J654,$K654)</f>
        <v>115.02311104189724</v>
      </c>
      <c r="Y654" s="9">
        <f t="shared" si="90"/>
        <v>-24418.554303835794</v>
      </c>
      <c r="Z654" s="9">
        <f t="shared" si="90"/>
        <v>-23759.081408729762</v>
      </c>
      <c r="AA654" s="9">
        <f t="shared" si="90"/>
        <v>35122.517889728573</v>
      </c>
      <c r="AB654" s="9">
        <f t="shared" si="87"/>
        <v>10236.433080685134</v>
      </c>
    </row>
    <row r="655" spans="1:28" x14ac:dyDescent="0.3">
      <c r="A655" s="1">
        <v>45364</v>
      </c>
      <c r="B655" s="2">
        <v>72.61</v>
      </c>
      <c r="C655" s="2">
        <v>79.02</v>
      </c>
      <c r="D655" s="9">
        <f>B655-B654</f>
        <v>0.17999999999999261</v>
      </c>
      <c r="E655" s="9">
        <f>C655-C654</f>
        <v>0.25</v>
      </c>
      <c r="F655" s="3">
        <f>F$1/B655</f>
        <v>1377.2207684891889</v>
      </c>
      <c r="G655" s="3">
        <f>F$1/C655</f>
        <v>1265.5024044545685</v>
      </c>
      <c r="H655" s="2">
        <f>D655*F654</f>
        <v>248.51580836668867</v>
      </c>
      <c r="I655" s="2">
        <f>E655*G654</f>
        <v>317.37971308873938</v>
      </c>
      <c r="J655" s="2">
        <f>I655-H655</f>
        <v>68.863904722050705</v>
      </c>
      <c r="K655" s="2">
        <f t="shared" si="85"/>
        <v>-68.863904722050705</v>
      </c>
      <c r="L655" s="14">
        <f>C655/B655</f>
        <v>1.088279851260157</v>
      </c>
      <c r="M655" s="14">
        <f t="shared" si="88"/>
        <v>1.0900996902844118</v>
      </c>
      <c r="N655" s="14">
        <f t="shared" si="83"/>
        <v>1.0899212771964479</v>
      </c>
      <c r="O655" s="14">
        <f t="shared" si="84"/>
        <v>1.0887732486710886</v>
      </c>
      <c r="P655" s="14">
        <f t="shared" si="86"/>
        <v>1.089686799768147</v>
      </c>
      <c r="Q655" s="4" t="str">
        <f t="shared" si="91"/>
        <v>UNDER</v>
      </c>
      <c r="R655" s="4" t="str">
        <f t="shared" si="91"/>
        <v>UNDER</v>
      </c>
      <c r="S655" s="4" t="str">
        <f t="shared" si="89"/>
        <v>UNDER</v>
      </c>
      <c r="T655" s="4" t="str">
        <f t="shared" si="89"/>
        <v>UNDER</v>
      </c>
      <c r="U655" s="2">
        <f>IF(Q655="OVER",$J655,$K655)</f>
        <v>-68.863904722050705</v>
      </c>
      <c r="V655" s="2">
        <f>IF(R655="OVER",$J655,$K655)</f>
        <v>-68.863904722050705</v>
      </c>
      <c r="W655" s="2">
        <f>IF(S655="OVER",$J655,$K655)</f>
        <v>-68.863904722050705</v>
      </c>
      <c r="X655" s="2">
        <f>IF(T655="OVER",$J655,$K655)</f>
        <v>-68.863904722050705</v>
      </c>
      <c r="Y655" s="9">
        <f t="shared" si="90"/>
        <v>-24487.418208557843</v>
      </c>
      <c r="Z655" s="9">
        <f t="shared" si="90"/>
        <v>-23827.945313451812</v>
      </c>
      <c r="AA655" s="9">
        <f t="shared" si="90"/>
        <v>35053.653985006524</v>
      </c>
      <c r="AB655" s="9">
        <f t="shared" si="87"/>
        <v>10167.569175963083</v>
      </c>
    </row>
    <row r="656" spans="1:28" x14ac:dyDescent="0.3">
      <c r="A656" s="1">
        <v>45365</v>
      </c>
      <c r="B656" s="2">
        <v>72.180000000000007</v>
      </c>
      <c r="C656" s="2">
        <v>78.84</v>
      </c>
      <c r="D656" s="9">
        <f>B656-B655</f>
        <v>-0.42999999999999261</v>
      </c>
      <c r="E656" s="9">
        <f>C656-C655</f>
        <v>-0.17999999999999261</v>
      </c>
      <c r="F656" s="3">
        <f>F$1/B656</f>
        <v>1385.4253255749513</v>
      </c>
      <c r="G656" s="3">
        <f>F$1/C656</f>
        <v>1268.3916793505834</v>
      </c>
      <c r="H656" s="2">
        <f>D656*F655</f>
        <v>-592.20493045034107</v>
      </c>
      <c r="I656" s="2">
        <f>E656*G655</f>
        <v>-227.79043280181298</v>
      </c>
      <c r="J656" s="2">
        <f>I656-H656</f>
        <v>364.41449764852808</v>
      </c>
      <c r="K656" s="2">
        <f t="shared" si="85"/>
        <v>-364.41449764852808</v>
      </c>
      <c r="L656" s="14">
        <f>C656/B656</f>
        <v>1.0922693266832917</v>
      </c>
      <c r="M656" s="14">
        <f t="shared" si="88"/>
        <v>1.0902724934884551</v>
      </c>
      <c r="N656" s="14">
        <f t="shared" si="83"/>
        <v>1.0901029569232219</v>
      </c>
      <c r="O656" s="14">
        <f t="shared" si="84"/>
        <v>1.0888690544333739</v>
      </c>
      <c r="P656" s="14">
        <f t="shared" si="86"/>
        <v>1.089719725033016</v>
      </c>
      <c r="Q656" s="4" t="str">
        <f t="shared" si="91"/>
        <v>UNDER</v>
      </c>
      <c r="R656" s="4" t="str">
        <f t="shared" si="91"/>
        <v>UNDER</v>
      </c>
      <c r="S656" s="4" t="str">
        <f t="shared" si="89"/>
        <v>OVER</v>
      </c>
      <c r="T656" s="4" t="str">
        <f t="shared" si="89"/>
        <v>OVER</v>
      </c>
      <c r="U656" s="2">
        <f>IF(Q656="OVER",$J656,$K656)</f>
        <v>-364.41449764852808</v>
      </c>
      <c r="V656" s="2">
        <f>IF(R656="OVER",$J656,$K656)</f>
        <v>-364.41449764852808</v>
      </c>
      <c r="W656" s="2">
        <f>IF(S656="OVER",$J656,$K656)</f>
        <v>364.41449764852808</v>
      </c>
      <c r="X656" s="2">
        <f>IF(T656="OVER",$J656,$K656)</f>
        <v>364.41449764852808</v>
      </c>
      <c r="Y656" s="9">
        <f t="shared" si="90"/>
        <v>-24851.832706206373</v>
      </c>
      <c r="Z656" s="9">
        <f t="shared" si="90"/>
        <v>-24192.359811100341</v>
      </c>
      <c r="AA656" s="9">
        <f t="shared" si="90"/>
        <v>35418.06848265505</v>
      </c>
      <c r="AB656" s="9">
        <f t="shared" si="87"/>
        <v>10531.98367361161</v>
      </c>
    </row>
    <row r="657" spans="1:28" x14ac:dyDescent="0.3">
      <c r="A657" s="1">
        <v>45366</v>
      </c>
      <c r="B657" s="2">
        <v>71.81</v>
      </c>
      <c r="C657" s="2">
        <v>78.5</v>
      </c>
      <c r="D657" s="9">
        <f>B657-B656</f>
        <v>-0.37000000000000455</v>
      </c>
      <c r="E657" s="9">
        <f>C657-C656</f>
        <v>-0.34000000000000341</v>
      </c>
      <c r="F657" s="3">
        <f>F$1/B657</f>
        <v>1392.5637097897229</v>
      </c>
      <c r="G657" s="3">
        <f>F$1/C657</f>
        <v>1273.8853503184714</v>
      </c>
      <c r="H657" s="2">
        <f>D657*F656</f>
        <v>-512.60737046273834</v>
      </c>
      <c r="I657" s="2">
        <f>E657*G656</f>
        <v>-431.25317097920271</v>
      </c>
      <c r="J657" s="2">
        <f>I657-H657</f>
        <v>81.354199483535638</v>
      </c>
      <c r="K657" s="2">
        <f t="shared" si="85"/>
        <v>-81.354199483535638</v>
      </c>
      <c r="L657" s="14">
        <f>C657/B657</f>
        <v>1.0931625121849324</v>
      </c>
      <c r="M657" s="14">
        <f t="shared" si="88"/>
        <v>1.0904460463604151</v>
      </c>
      <c r="N657" s="14">
        <f t="shared" si="83"/>
        <v>1.0903226391035805</v>
      </c>
      <c r="O657" s="14">
        <f t="shared" si="84"/>
        <v>1.0889613683686417</v>
      </c>
      <c r="P657" s="14">
        <f t="shared" si="86"/>
        <v>1.08977447630844</v>
      </c>
      <c r="Q657" s="4" t="str">
        <f t="shared" si="91"/>
        <v>OVER</v>
      </c>
      <c r="R657" s="4" t="str">
        <f t="shared" si="91"/>
        <v>OVER</v>
      </c>
      <c r="S657" s="4" t="str">
        <f t="shared" si="89"/>
        <v>OVER</v>
      </c>
      <c r="T657" s="4" t="str">
        <f t="shared" si="89"/>
        <v>OVER</v>
      </c>
      <c r="U657" s="2">
        <f>IF(Q657="OVER",$J657,$K657)</f>
        <v>81.354199483535638</v>
      </c>
      <c r="V657" s="2">
        <f>IF(R657="OVER",$J657,$K657)</f>
        <v>81.354199483535638</v>
      </c>
      <c r="W657" s="2">
        <f>IF(S657="OVER",$J657,$K657)</f>
        <v>81.354199483535638</v>
      </c>
      <c r="X657" s="2">
        <f>IF(T657="OVER",$J657,$K657)</f>
        <v>81.354199483535638</v>
      </c>
      <c r="Y657" s="9">
        <f t="shared" si="90"/>
        <v>-24770.478506722837</v>
      </c>
      <c r="Z657" s="9">
        <f t="shared" si="90"/>
        <v>-24111.005611616805</v>
      </c>
      <c r="AA657" s="9">
        <f t="shared" si="90"/>
        <v>35499.422682138582</v>
      </c>
      <c r="AB657" s="9">
        <f t="shared" si="87"/>
        <v>10613.337873095146</v>
      </c>
    </row>
    <row r="658" spans="1:28" x14ac:dyDescent="0.3">
      <c r="A658" s="1">
        <v>45369</v>
      </c>
      <c r="B658" s="2">
        <v>71.72</v>
      </c>
      <c r="C658" s="2">
        <v>78.42</v>
      </c>
      <c r="D658" s="9">
        <f>B658-B657</f>
        <v>-9.0000000000003411E-2</v>
      </c>
      <c r="E658" s="9">
        <f>C658-C657</f>
        <v>-7.9999999999998295E-2</v>
      </c>
      <c r="F658" s="3">
        <f>F$1/B658</f>
        <v>1394.3112102621305</v>
      </c>
      <c r="G658" s="3">
        <f>F$1/C658</f>
        <v>1275.1849018107625</v>
      </c>
      <c r="H658" s="2">
        <f>D658*F657</f>
        <v>-125.33073388107981</v>
      </c>
      <c r="I658" s="2">
        <f>E658*G657</f>
        <v>-101.91082802547554</v>
      </c>
      <c r="J658" s="2">
        <f>I658-H658</f>
        <v>23.41990585560427</v>
      </c>
      <c r="K658" s="2">
        <f t="shared" si="85"/>
        <v>-23.41990585560427</v>
      </c>
      <c r="L658" s="14">
        <f>C658/B658</f>
        <v>1.0934188510875629</v>
      </c>
      <c r="M658" s="14">
        <f t="shared" si="88"/>
        <v>1.0905821552958863</v>
      </c>
      <c r="N658" s="14">
        <f t="shared" si="83"/>
        <v>1.0905296684330943</v>
      </c>
      <c r="O658" s="14">
        <f t="shared" si="84"/>
        <v>1.0890568765147202</v>
      </c>
      <c r="P658" s="14">
        <f t="shared" si="86"/>
        <v>1.0898265241983378</v>
      </c>
      <c r="Q658" s="4" t="str">
        <f t="shared" si="91"/>
        <v>OVER</v>
      </c>
      <c r="R658" s="4" t="str">
        <f t="shared" si="91"/>
        <v>OVER</v>
      </c>
      <c r="S658" s="4" t="str">
        <f t="shared" si="89"/>
        <v>OVER</v>
      </c>
      <c r="T658" s="4" t="str">
        <f t="shared" si="89"/>
        <v>OVER</v>
      </c>
      <c r="U658" s="2">
        <f>IF(Q658="OVER",$J658,$K658)</f>
        <v>23.41990585560427</v>
      </c>
      <c r="V658" s="2">
        <f>IF(R658="OVER",$J658,$K658)</f>
        <v>23.41990585560427</v>
      </c>
      <c r="W658" s="2">
        <f>IF(S658="OVER",$J658,$K658)</f>
        <v>23.41990585560427</v>
      </c>
      <c r="X658" s="2">
        <f>IF(T658="OVER",$J658,$K658)</f>
        <v>23.41990585560427</v>
      </c>
      <c r="Y658" s="9">
        <f t="shared" si="90"/>
        <v>-24747.058600867233</v>
      </c>
      <c r="Z658" s="9">
        <f t="shared" si="90"/>
        <v>-24087.585705761201</v>
      </c>
      <c r="AA658" s="9">
        <f t="shared" si="90"/>
        <v>35522.842587994186</v>
      </c>
      <c r="AB658" s="9">
        <f t="shared" si="87"/>
        <v>10636.75777895075</v>
      </c>
    </row>
    <row r="659" spans="1:28" x14ac:dyDescent="0.3">
      <c r="A659" s="1">
        <v>45370</v>
      </c>
      <c r="B659" s="2">
        <v>71.64</v>
      </c>
      <c r="C659" s="2">
        <v>78.36</v>
      </c>
      <c r="D659" s="9">
        <f>B659-B658</f>
        <v>-7.9999999999998295E-2</v>
      </c>
      <c r="E659" s="9">
        <f>C659-C658</f>
        <v>-6.0000000000002274E-2</v>
      </c>
      <c r="F659" s="3">
        <f>F$1/B659</f>
        <v>1395.8682300390842</v>
      </c>
      <c r="G659" s="3">
        <f>F$1/C659</f>
        <v>1276.1613067891781</v>
      </c>
      <c r="H659" s="2">
        <f>D659*F658</f>
        <v>-111.54489682096806</v>
      </c>
      <c r="I659" s="2">
        <f>E659*G658</f>
        <v>-76.511094108648649</v>
      </c>
      <c r="J659" s="2">
        <f>I659-H659</f>
        <v>35.033802712319414</v>
      </c>
      <c r="K659" s="2">
        <f t="shared" si="85"/>
        <v>-35.033802712319414</v>
      </c>
      <c r="L659" s="14">
        <f>C659/B659</f>
        <v>1.0938023450586265</v>
      </c>
      <c r="M659" s="14">
        <f t="shared" si="88"/>
        <v>1.0907085748780474</v>
      </c>
      <c r="N659" s="14">
        <f t="shared" si="83"/>
        <v>1.0907429034399017</v>
      </c>
      <c r="O659" s="14">
        <f t="shared" si="84"/>
        <v>1.0892391583939784</v>
      </c>
      <c r="P659" s="14">
        <f t="shared" si="86"/>
        <v>1.0898673694310157</v>
      </c>
      <c r="Q659" s="4" t="str">
        <f t="shared" si="91"/>
        <v>OVER</v>
      </c>
      <c r="R659" s="4" t="str">
        <f t="shared" si="91"/>
        <v>OVER</v>
      </c>
      <c r="S659" s="4" t="str">
        <f t="shared" si="89"/>
        <v>OVER</v>
      </c>
      <c r="T659" s="4" t="str">
        <f t="shared" si="89"/>
        <v>OVER</v>
      </c>
      <c r="U659" s="2">
        <f>IF(Q659="OVER",$J659,$K659)</f>
        <v>35.033802712319414</v>
      </c>
      <c r="V659" s="2">
        <f>IF(R659="OVER",$J659,$K659)</f>
        <v>35.033802712319414</v>
      </c>
      <c r="W659" s="2">
        <f>IF(S659="OVER",$J659,$K659)</f>
        <v>35.033802712319414</v>
      </c>
      <c r="X659" s="2">
        <f>IF(T659="OVER",$J659,$K659)</f>
        <v>35.033802712319414</v>
      </c>
      <c r="Y659" s="9">
        <f t="shared" si="90"/>
        <v>-24712.024798154915</v>
      </c>
      <c r="Z659" s="9">
        <f t="shared" si="90"/>
        <v>-24052.551903048883</v>
      </c>
      <c r="AA659" s="9">
        <f t="shared" si="90"/>
        <v>35557.876390706508</v>
      </c>
      <c r="AB659" s="9">
        <f t="shared" si="87"/>
        <v>10671.79158166307</v>
      </c>
    </row>
    <row r="660" spans="1:28" x14ac:dyDescent="0.3">
      <c r="A660" s="1">
        <v>45371</v>
      </c>
      <c r="B660" s="2">
        <v>72.3</v>
      </c>
      <c r="C660" s="2">
        <v>79.05</v>
      </c>
      <c r="D660" s="9">
        <f>B660-B659</f>
        <v>0.65999999999999659</v>
      </c>
      <c r="E660" s="9">
        <f>C660-C659</f>
        <v>0.68999999999999773</v>
      </c>
      <c r="F660" s="3">
        <f>F$1/B660</f>
        <v>1383.1258644536654</v>
      </c>
      <c r="G660" s="3">
        <f>F$1/C660</f>
        <v>1265.022137887413</v>
      </c>
      <c r="H660" s="2">
        <f>D660*F659</f>
        <v>921.27303182579078</v>
      </c>
      <c r="I660" s="2">
        <f>E660*G659</f>
        <v>880.55130168453002</v>
      </c>
      <c r="J660" s="2">
        <f>I660-H660</f>
        <v>-40.721730141260764</v>
      </c>
      <c r="K660" s="2">
        <f t="shared" si="85"/>
        <v>40.721730141260764</v>
      </c>
      <c r="L660" s="14">
        <f>C660/B660</f>
        <v>1.0933609958506225</v>
      </c>
      <c r="M660" s="14">
        <f t="shared" si="88"/>
        <v>1.0909867540164941</v>
      </c>
      <c r="N660" s="14">
        <f t="shared" si="83"/>
        <v>1.090931123083813</v>
      </c>
      <c r="O660" s="14">
        <f t="shared" si="84"/>
        <v>1.0893954638567136</v>
      </c>
      <c r="P660" s="14">
        <f t="shared" si="86"/>
        <v>1.0898963045877836</v>
      </c>
      <c r="Q660" s="4" t="str">
        <f t="shared" si="91"/>
        <v>OVER</v>
      </c>
      <c r="R660" s="4" t="str">
        <f t="shared" si="91"/>
        <v>OVER</v>
      </c>
      <c r="S660" s="4" t="str">
        <f t="shared" si="89"/>
        <v>OVER</v>
      </c>
      <c r="T660" s="4" t="str">
        <f t="shared" si="89"/>
        <v>OVER</v>
      </c>
      <c r="U660" s="2">
        <f>IF(Q660="OVER",$J660,$K660)</f>
        <v>-40.721730141260764</v>
      </c>
      <c r="V660" s="2">
        <f>IF(R660="OVER",$J660,$K660)</f>
        <v>-40.721730141260764</v>
      </c>
      <c r="W660" s="2">
        <f>IF(S660="OVER",$J660,$K660)</f>
        <v>-40.721730141260764</v>
      </c>
      <c r="X660" s="2">
        <f>IF(T660="OVER",$J660,$K660)</f>
        <v>-40.721730141260764</v>
      </c>
      <c r="Y660" s="9">
        <f t="shared" si="90"/>
        <v>-24752.746528296175</v>
      </c>
      <c r="Z660" s="9">
        <f t="shared" si="90"/>
        <v>-24093.273633190143</v>
      </c>
      <c r="AA660" s="9">
        <f t="shared" si="90"/>
        <v>35517.154660565247</v>
      </c>
      <c r="AB660" s="9">
        <f t="shared" si="87"/>
        <v>10631.06985152181</v>
      </c>
    </row>
    <row r="661" spans="1:28" x14ac:dyDescent="0.3">
      <c r="A661" s="1">
        <v>45372</v>
      </c>
      <c r="B661" s="2">
        <v>72.64</v>
      </c>
      <c r="C661" s="2">
        <v>79.400000000000006</v>
      </c>
      <c r="D661" s="9">
        <f>B661-B660</f>
        <v>0.34000000000000341</v>
      </c>
      <c r="E661" s="9">
        <f>C661-C660</f>
        <v>0.35000000000000853</v>
      </c>
      <c r="F661" s="3">
        <f>F$1/B661</f>
        <v>1376.6519823788547</v>
      </c>
      <c r="G661" s="3">
        <f>F$1/C661</f>
        <v>1259.4458438287152</v>
      </c>
      <c r="H661" s="2">
        <f>D661*F660</f>
        <v>470.26279391425095</v>
      </c>
      <c r="I661" s="2">
        <f>E661*G660</f>
        <v>442.75774826060535</v>
      </c>
      <c r="J661" s="2">
        <f>I661-H661</f>
        <v>-27.505045653645595</v>
      </c>
      <c r="K661" s="2">
        <f t="shared" si="85"/>
        <v>27.505045653645595</v>
      </c>
      <c r="L661" s="14">
        <f>C661/B661</f>
        <v>1.0930616740088106</v>
      </c>
      <c r="M661" s="14">
        <f t="shared" si="88"/>
        <v>1.0913281698214827</v>
      </c>
      <c r="N661" s="14">
        <f t="shared" si="83"/>
        <v>1.091074097919557</v>
      </c>
      <c r="O661" s="14">
        <f t="shared" si="84"/>
        <v>1.0895218456568672</v>
      </c>
      <c r="P661" s="14">
        <f t="shared" si="86"/>
        <v>1.089923726587501</v>
      </c>
      <c r="Q661" s="4" t="str">
        <f t="shared" si="91"/>
        <v>OVER</v>
      </c>
      <c r="R661" s="4" t="str">
        <f t="shared" si="91"/>
        <v>OVER</v>
      </c>
      <c r="S661" s="4" t="str">
        <f t="shared" si="89"/>
        <v>OVER</v>
      </c>
      <c r="T661" s="4" t="str">
        <f t="shared" si="89"/>
        <v>OVER</v>
      </c>
      <c r="U661" s="2">
        <f>IF(Q661="OVER",$J661,$K661)</f>
        <v>-27.505045653645595</v>
      </c>
      <c r="V661" s="2">
        <f>IF(R661="OVER",$J661,$K661)</f>
        <v>-27.505045653645595</v>
      </c>
      <c r="W661" s="2">
        <f>IF(S661="OVER",$J661,$K661)</f>
        <v>-27.505045653645595</v>
      </c>
      <c r="X661" s="2">
        <f>IF(T661="OVER",$J661,$K661)</f>
        <v>-27.505045653645595</v>
      </c>
      <c r="Y661" s="9">
        <f t="shared" si="90"/>
        <v>-24780.251573949819</v>
      </c>
      <c r="Z661" s="9">
        <f t="shared" si="90"/>
        <v>-24120.778678843788</v>
      </c>
      <c r="AA661" s="9">
        <f t="shared" si="90"/>
        <v>35489.649614911599</v>
      </c>
      <c r="AB661" s="9">
        <f t="shared" si="87"/>
        <v>10603.564805868164</v>
      </c>
    </row>
    <row r="662" spans="1:28" x14ac:dyDescent="0.3">
      <c r="A662" s="1">
        <v>45373</v>
      </c>
      <c r="B662" s="2">
        <v>72.45</v>
      </c>
      <c r="C662" s="2">
        <v>79.27</v>
      </c>
      <c r="D662" s="9">
        <f>B662-B661</f>
        <v>-0.18999999999999773</v>
      </c>
      <c r="E662" s="9">
        <f>C662-C661</f>
        <v>-0.13000000000000966</v>
      </c>
      <c r="F662" s="3">
        <f>F$1/B662</f>
        <v>1380.2622498274673</v>
      </c>
      <c r="G662" s="3">
        <f>F$1/C662</f>
        <v>1261.5112905260503</v>
      </c>
      <c r="H662" s="2">
        <f>D662*F661</f>
        <v>-261.56387665197923</v>
      </c>
      <c r="I662" s="2">
        <f>E662*G661</f>
        <v>-163.72795969774515</v>
      </c>
      <c r="J662" s="2">
        <f>I662-H662</f>
        <v>97.835916954234079</v>
      </c>
      <c r="K662" s="2">
        <f t="shared" si="85"/>
        <v>-97.835916954234079</v>
      </c>
      <c r="L662" s="14">
        <f>C662/B662</f>
        <v>1.0941338854382332</v>
      </c>
      <c r="M662" s="14">
        <f t="shared" si="88"/>
        <v>1.0917803395287411</v>
      </c>
      <c r="N662" s="14">
        <f t="shared" si="83"/>
        <v>1.0913039168389589</v>
      </c>
      <c r="O662" s="14">
        <f t="shared" si="84"/>
        <v>1.0896699009752719</v>
      </c>
      <c r="P662" s="14">
        <f t="shared" si="86"/>
        <v>1.0899544252972688</v>
      </c>
      <c r="Q662" s="4" t="str">
        <f t="shared" si="91"/>
        <v>OVER</v>
      </c>
      <c r="R662" s="4" t="str">
        <f t="shared" si="91"/>
        <v>OVER</v>
      </c>
      <c r="S662" s="4" t="str">
        <f t="shared" si="89"/>
        <v>OVER</v>
      </c>
      <c r="T662" s="4" t="str">
        <f t="shared" si="89"/>
        <v>OVER</v>
      </c>
      <c r="U662" s="2">
        <f>IF(Q662="OVER",$J662,$K662)</f>
        <v>97.835916954234079</v>
      </c>
      <c r="V662" s="2">
        <f>IF(R662="OVER",$J662,$K662)</f>
        <v>97.835916954234079</v>
      </c>
      <c r="W662" s="2">
        <f>IF(S662="OVER",$J662,$K662)</f>
        <v>97.835916954234079</v>
      </c>
      <c r="X662" s="2">
        <f>IF(T662="OVER",$J662,$K662)</f>
        <v>97.835916954234079</v>
      </c>
      <c r="Y662" s="9">
        <f t="shared" si="90"/>
        <v>-24682.415656995585</v>
      </c>
      <c r="Z662" s="9">
        <f t="shared" si="90"/>
        <v>-24022.942761889553</v>
      </c>
      <c r="AA662" s="9">
        <f t="shared" si="90"/>
        <v>35587.48553186583</v>
      </c>
      <c r="AB662" s="9">
        <f t="shared" si="87"/>
        <v>10701.400722822398</v>
      </c>
    </row>
    <row r="663" spans="1:28" x14ac:dyDescent="0.3">
      <c r="A663" s="1">
        <v>45376</v>
      </c>
      <c r="B663" s="2">
        <v>72.77</v>
      </c>
      <c r="C663" s="2">
        <v>79.5</v>
      </c>
      <c r="D663" s="9">
        <f>B663-B662</f>
        <v>0.31999999999999318</v>
      </c>
      <c r="E663" s="9">
        <f>C663-C662</f>
        <v>0.23000000000000398</v>
      </c>
      <c r="F663" s="3">
        <f>F$1/B663</f>
        <v>1374.1926618111861</v>
      </c>
      <c r="G663" s="3">
        <f>F$1/C663</f>
        <v>1257.8616352201259</v>
      </c>
      <c r="H663" s="2">
        <f>D663*F662</f>
        <v>441.68391994478009</v>
      </c>
      <c r="I663" s="2">
        <f>E663*G662</f>
        <v>290.14759682099657</v>
      </c>
      <c r="J663" s="2">
        <f>I663-H663</f>
        <v>-151.53632312378352</v>
      </c>
      <c r="K663" s="2">
        <f t="shared" si="85"/>
        <v>151.53632312378352</v>
      </c>
      <c r="L663" s="14">
        <f>C663/B663</f>
        <v>1.0924831661398928</v>
      </c>
      <c r="M663" s="14">
        <f t="shared" si="88"/>
        <v>1.0921505397992397</v>
      </c>
      <c r="N663" s="14">
        <f t="shared" ref="N663:N726" si="92">AVERAGE(L644:L663)</f>
        <v>1.0914158457391498</v>
      </c>
      <c r="O663" s="14">
        <f t="shared" si="84"/>
        <v>1.0897786055091716</v>
      </c>
      <c r="P663" s="14">
        <f t="shared" si="86"/>
        <v>1.089970831738297</v>
      </c>
      <c r="Q663" s="4" t="str">
        <f t="shared" si="91"/>
        <v>OVER</v>
      </c>
      <c r="R663" s="4" t="str">
        <f t="shared" si="91"/>
        <v>OVER</v>
      </c>
      <c r="S663" s="4" t="str">
        <f t="shared" si="89"/>
        <v>OVER</v>
      </c>
      <c r="T663" s="4" t="str">
        <f t="shared" si="89"/>
        <v>OVER</v>
      </c>
      <c r="U663" s="2">
        <f>IF(Q663="OVER",$J663,$K663)</f>
        <v>-151.53632312378352</v>
      </c>
      <c r="V663" s="2">
        <f>IF(R663="OVER",$J663,$K663)</f>
        <v>-151.53632312378352</v>
      </c>
      <c r="W663" s="2">
        <f>IF(S663="OVER",$J663,$K663)</f>
        <v>-151.53632312378352</v>
      </c>
      <c r="X663" s="2">
        <f>IF(T663="OVER",$J663,$K663)</f>
        <v>-151.53632312378352</v>
      </c>
      <c r="Y663" s="9">
        <f t="shared" si="90"/>
        <v>-24833.951980119367</v>
      </c>
      <c r="Z663" s="9">
        <f t="shared" si="90"/>
        <v>-24174.479085013336</v>
      </c>
      <c r="AA663" s="9">
        <f t="shared" si="90"/>
        <v>35435.949208742044</v>
      </c>
      <c r="AB663" s="9">
        <f t="shared" si="87"/>
        <v>10549.864399698614</v>
      </c>
    </row>
    <row r="664" spans="1:28" x14ac:dyDescent="0.3">
      <c r="A664" s="1">
        <v>45377</v>
      </c>
      <c r="B664" s="2">
        <v>72.77</v>
      </c>
      <c r="C664" s="2">
        <v>79.59</v>
      </c>
      <c r="D664" s="9">
        <f>B664-B663</f>
        <v>0</v>
      </c>
      <c r="E664" s="9">
        <f>C664-C663</f>
        <v>9.0000000000003411E-2</v>
      </c>
      <c r="F664" s="3">
        <f>F$1/B664</f>
        <v>1374.1926618111861</v>
      </c>
      <c r="G664" s="3">
        <f>F$1/C664</f>
        <v>1256.4392511622063</v>
      </c>
      <c r="H664" s="2">
        <f>D664*F663</f>
        <v>0</v>
      </c>
      <c r="I664" s="2">
        <f>E664*G663</f>
        <v>113.20754716981563</v>
      </c>
      <c r="J664" s="2">
        <f>I664-H664</f>
        <v>113.20754716981563</v>
      </c>
      <c r="K664" s="2">
        <f t="shared" si="85"/>
        <v>-113.20754716981563</v>
      </c>
      <c r="L664" s="14">
        <f>C664/B664</f>
        <v>1.093719939535523</v>
      </c>
      <c r="M664" s="14">
        <f t="shared" si="88"/>
        <v>1.0927692547247649</v>
      </c>
      <c r="N664" s="14">
        <f t="shared" si="92"/>
        <v>1.0915455883483509</v>
      </c>
      <c r="O664" s="14">
        <f t="shared" si="84"/>
        <v>1.0899381572608702</v>
      </c>
      <c r="P664" s="14">
        <f t="shared" si="86"/>
        <v>1.0900104632980032</v>
      </c>
      <c r="Q664" s="4" t="str">
        <f t="shared" si="91"/>
        <v>OVER</v>
      </c>
      <c r="R664" s="4" t="str">
        <f t="shared" si="91"/>
        <v>OVER</v>
      </c>
      <c r="S664" s="4" t="str">
        <f t="shared" si="89"/>
        <v>OVER</v>
      </c>
      <c r="T664" s="4" t="str">
        <f t="shared" si="89"/>
        <v>OVER</v>
      </c>
      <c r="U664" s="2">
        <f>IF(Q664="OVER",$J664,$K664)</f>
        <v>113.20754716981563</v>
      </c>
      <c r="V664" s="2">
        <f>IF(R664="OVER",$J664,$K664)</f>
        <v>113.20754716981563</v>
      </c>
      <c r="W664" s="2">
        <f>IF(S664="OVER",$J664,$K664)</f>
        <v>113.20754716981563</v>
      </c>
      <c r="X664" s="2">
        <f>IF(T664="OVER",$J664,$K664)</f>
        <v>113.20754716981563</v>
      </c>
      <c r="Y664" s="9">
        <f t="shared" si="90"/>
        <v>-24720.744432949552</v>
      </c>
      <c r="Z664" s="9">
        <f t="shared" si="90"/>
        <v>-24061.27153784352</v>
      </c>
      <c r="AA664" s="9">
        <f t="shared" si="90"/>
        <v>35549.156755911863</v>
      </c>
      <c r="AB664" s="9">
        <f t="shared" si="87"/>
        <v>10663.071946868429</v>
      </c>
    </row>
    <row r="665" spans="1:28" x14ac:dyDescent="0.3">
      <c r="A665" s="1">
        <v>45378</v>
      </c>
      <c r="B665" s="2">
        <v>73.180000000000007</v>
      </c>
      <c r="C665" s="2">
        <v>80.06</v>
      </c>
      <c r="D665" s="9">
        <f>B665-B664</f>
        <v>0.4100000000000108</v>
      </c>
      <c r="E665" s="9">
        <f>C665-C664</f>
        <v>0.46999999999999886</v>
      </c>
      <c r="F665" s="3">
        <f>F$1/B665</f>
        <v>1366.4935774801856</v>
      </c>
      <c r="G665" s="3">
        <f>F$1/C665</f>
        <v>1249.0632025980515</v>
      </c>
      <c r="H665" s="2">
        <f>D665*F664</f>
        <v>563.41899134260109</v>
      </c>
      <c r="I665" s="2">
        <f>E665*G664</f>
        <v>590.5264480462356</v>
      </c>
      <c r="J665" s="2">
        <f>I665-H665</f>
        <v>27.107456703634512</v>
      </c>
      <c r="K665" s="2">
        <f t="shared" si="85"/>
        <v>-27.107456703634512</v>
      </c>
      <c r="L665" s="14">
        <f>C665/B665</f>
        <v>1.0940147581306368</v>
      </c>
      <c r="M665" s="14">
        <f t="shared" si="88"/>
        <v>1.0933427454118134</v>
      </c>
      <c r="N665" s="14">
        <f t="shared" si="92"/>
        <v>1.0917212178481124</v>
      </c>
      <c r="O665" s="14">
        <f t="shared" si="84"/>
        <v>1.0900527526206103</v>
      </c>
      <c r="P665" s="14">
        <f t="shared" si="86"/>
        <v>1.0900501462234831</v>
      </c>
      <c r="Q665" s="4" t="str">
        <f t="shared" si="91"/>
        <v>OVER</v>
      </c>
      <c r="R665" s="4" t="str">
        <f t="shared" si="91"/>
        <v>OVER</v>
      </c>
      <c r="S665" s="4" t="str">
        <f t="shared" si="89"/>
        <v>OVER</v>
      </c>
      <c r="T665" s="4" t="str">
        <f t="shared" si="89"/>
        <v>OVER</v>
      </c>
      <c r="U665" s="2">
        <f>IF(Q665="OVER",$J665,$K665)</f>
        <v>27.107456703634512</v>
      </c>
      <c r="V665" s="2">
        <f>IF(R665="OVER",$J665,$K665)</f>
        <v>27.107456703634512</v>
      </c>
      <c r="W665" s="2">
        <f>IF(S665="OVER",$J665,$K665)</f>
        <v>27.107456703634512</v>
      </c>
      <c r="X665" s="2">
        <f>IF(T665="OVER",$J665,$K665)</f>
        <v>27.107456703634512</v>
      </c>
      <c r="Y665" s="9">
        <f t="shared" si="90"/>
        <v>-24693.636976245918</v>
      </c>
      <c r="Z665" s="9">
        <f t="shared" si="90"/>
        <v>-24034.164081139887</v>
      </c>
      <c r="AA665" s="9">
        <f t="shared" si="90"/>
        <v>35576.264212615497</v>
      </c>
      <c r="AB665" s="9">
        <f t="shared" si="87"/>
        <v>10690.179403572063</v>
      </c>
    </row>
    <row r="666" spans="1:28" x14ac:dyDescent="0.3">
      <c r="A666" s="1">
        <v>45379</v>
      </c>
      <c r="B666" s="2">
        <v>73.040000000000006</v>
      </c>
      <c r="C666" s="2">
        <v>79.83</v>
      </c>
      <c r="D666" s="9">
        <f>B666-B665</f>
        <v>-0.14000000000000057</v>
      </c>
      <c r="E666" s="9">
        <f>C666-C665</f>
        <v>-0.23000000000000398</v>
      </c>
      <c r="F666" s="3">
        <f>F$1/B666</f>
        <v>1369.1128148959474</v>
      </c>
      <c r="G666" s="3">
        <f>F$1/C666</f>
        <v>1252.6619065514219</v>
      </c>
      <c r="H666" s="2">
        <f>D666*F665</f>
        <v>-191.30910084722677</v>
      </c>
      <c r="I666" s="2">
        <f>E666*G665</f>
        <v>-287.28453659755684</v>
      </c>
      <c r="J666" s="2">
        <f>I666-H666</f>
        <v>-95.975435750330064</v>
      </c>
      <c r="K666" s="2">
        <f t="shared" si="85"/>
        <v>95.975435750330064</v>
      </c>
      <c r="L666" s="14">
        <f>C666/B666</f>
        <v>1.0929627601314347</v>
      </c>
      <c r="M666" s="14">
        <f t="shared" si="88"/>
        <v>1.0934120887566274</v>
      </c>
      <c r="N666" s="14">
        <f t="shared" si="92"/>
        <v>1.0918422911225414</v>
      </c>
      <c r="O666" s="14">
        <f t="shared" si="84"/>
        <v>1.0901545435526858</v>
      </c>
      <c r="P666" s="14">
        <f t="shared" si="86"/>
        <v>1.0900817917073085</v>
      </c>
      <c r="Q666" s="4" t="str">
        <f t="shared" si="91"/>
        <v>OVER</v>
      </c>
      <c r="R666" s="4" t="str">
        <f t="shared" si="91"/>
        <v>OVER</v>
      </c>
      <c r="S666" s="4" t="str">
        <f t="shared" si="89"/>
        <v>OVER</v>
      </c>
      <c r="T666" s="4" t="str">
        <f t="shared" si="89"/>
        <v>OVER</v>
      </c>
      <c r="U666" s="2">
        <f>IF(Q666="OVER",$J666,$K666)</f>
        <v>-95.975435750330064</v>
      </c>
      <c r="V666" s="2">
        <f>IF(R666="OVER",$J666,$K666)</f>
        <v>-95.975435750330064</v>
      </c>
      <c r="W666" s="2">
        <f>IF(S666="OVER",$J666,$K666)</f>
        <v>-95.975435750330064</v>
      </c>
      <c r="X666" s="2">
        <f>IF(T666="OVER",$J666,$K666)</f>
        <v>-95.975435750330064</v>
      </c>
      <c r="Y666" s="9">
        <f t="shared" si="90"/>
        <v>-24789.612411996248</v>
      </c>
      <c r="Z666" s="9">
        <f t="shared" si="90"/>
        <v>-24130.139516890216</v>
      </c>
      <c r="AA666" s="9">
        <f t="shared" si="90"/>
        <v>35480.288776865164</v>
      </c>
      <c r="AB666" s="9">
        <f t="shared" si="87"/>
        <v>10594.203967821733</v>
      </c>
    </row>
    <row r="667" spans="1:28" x14ac:dyDescent="0.3">
      <c r="A667" s="1">
        <v>45383</v>
      </c>
      <c r="B667" s="2">
        <v>72.78</v>
      </c>
      <c r="C667" s="2">
        <v>79.59</v>
      </c>
      <c r="D667" s="9">
        <f>B667-B666</f>
        <v>-0.26000000000000512</v>
      </c>
      <c r="E667" s="9">
        <f>C667-C666</f>
        <v>-0.23999999999999488</v>
      </c>
      <c r="F667" s="3">
        <f>F$1/B667</f>
        <v>1374.0038472107722</v>
      </c>
      <c r="G667" s="3">
        <f>F$1/C667</f>
        <v>1256.4392511622063</v>
      </c>
      <c r="H667" s="2">
        <f>D667*F666</f>
        <v>-355.96933187295332</v>
      </c>
      <c r="I667" s="2">
        <f>E667*G666</f>
        <v>-300.63885757233487</v>
      </c>
      <c r="J667" s="2">
        <f>I667-H667</f>
        <v>55.330474300618448</v>
      </c>
      <c r="K667" s="2">
        <f t="shared" si="85"/>
        <v>-55.330474300618448</v>
      </c>
      <c r="L667" s="14">
        <f>C667/B667</f>
        <v>1.0935696619950537</v>
      </c>
      <c r="M667" s="14">
        <f t="shared" si="88"/>
        <v>1.0934528037376396</v>
      </c>
      <c r="N667" s="14">
        <f t="shared" si="92"/>
        <v>1.0919494250490274</v>
      </c>
      <c r="O667" s="14">
        <f t="shared" si="84"/>
        <v>1.090233963926561</v>
      </c>
      <c r="P667" s="14">
        <f t="shared" si="86"/>
        <v>1.0901125922604098</v>
      </c>
      <c r="Q667" s="4" t="str">
        <f t="shared" si="91"/>
        <v>UNDER</v>
      </c>
      <c r="R667" s="4" t="str">
        <f t="shared" si="91"/>
        <v>OVER</v>
      </c>
      <c r="S667" s="4" t="str">
        <f t="shared" si="89"/>
        <v>OVER</v>
      </c>
      <c r="T667" s="4" t="str">
        <f t="shared" si="89"/>
        <v>OVER</v>
      </c>
      <c r="U667" s="2">
        <f>IF(Q667="OVER",$J667,$K667)</f>
        <v>-55.330474300618448</v>
      </c>
      <c r="V667" s="2">
        <f>IF(R667="OVER",$J667,$K667)</f>
        <v>55.330474300618448</v>
      </c>
      <c r="W667" s="2">
        <f>IF(S667="OVER",$J667,$K667)</f>
        <v>55.330474300618448</v>
      </c>
      <c r="X667" s="2">
        <f>IF(T667="OVER",$J667,$K667)</f>
        <v>55.330474300618448</v>
      </c>
      <c r="Y667" s="9">
        <f t="shared" si="90"/>
        <v>-24844.942886296867</v>
      </c>
      <c r="Z667" s="9">
        <f t="shared" si="90"/>
        <v>-24074.809042589597</v>
      </c>
      <c r="AA667" s="9">
        <f t="shared" si="90"/>
        <v>35535.619251165779</v>
      </c>
      <c r="AB667" s="9">
        <f t="shared" si="87"/>
        <v>10649.534442122353</v>
      </c>
    </row>
    <row r="668" spans="1:28" x14ac:dyDescent="0.3">
      <c r="A668" s="1">
        <v>45384</v>
      </c>
      <c r="B668" s="2">
        <v>72.2</v>
      </c>
      <c r="C668" s="2">
        <v>78.849999999999994</v>
      </c>
      <c r="D668" s="9">
        <f>B668-B667</f>
        <v>-0.57999999999999829</v>
      </c>
      <c r="E668" s="9">
        <f>C668-C667</f>
        <v>-0.74000000000000909</v>
      </c>
      <c r="F668" s="3">
        <f>F$1/B668</f>
        <v>1385.0415512465374</v>
      </c>
      <c r="G668" s="3">
        <f>F$1/C668</f>
        <v>1268.2308180088778</v>
      </c>
      <c r="H668" s="2">
        <f>D668*F667</f>
        <v>-796.92223138224551</v>
      </c>
      <c r="I668" s="2">
        <f>E668*G667</f>
        <v>-929.7650458600441</v>
      </c>
      <c r="J668" s="2">
        <f>I668-H668</f>
        <v>-132.84281447779858</v>
      </c>
      <c r="K668" s="2">
        <f t="shared" si="85"/>
        <v>132.84281447779858</v>
      </c>
      <c r="L668" s="14">
        <f>C668/B668</f>
        <v>1.0921052631578947</v>
      </c>
      <c r="M668" s="14">
        <f t="shared" si="88"/>
        <v>1.0933214449446731</v>
      </c>
      <c r="N668" s="14">
        <f t="shared" si="92"/>
        <v>1.0919518001202795</v>
      </c>
      <c r="O668" s="14">
        <f t="shared" si="84"/>
        <v>1.0903154166795235</v>
      </c>
      <c r="P668" s="14">
        <f t="shared" si="86"/>
        <v>1.0901292373307248</v>
      </c>
      <c r="Q668" s="4" t="str">
        <f t="shared" si="91"/>
        <v>OVER</v>
      </c>
      <c r="R668" s="4" t="str">
        <f t="shared" si="91"/>
        <v>OVER</v>
      </c>
      <c r="S668" s="4" t="str">
        <f t="shared" si="89"/>
        <v>OVER</v>
      </c>
      <c r="T668" s="4" t="str">
        <f t="shared" si="89"/>
        <v>OVER</v>
      </c>
      <c r="U668" s="2">
        <f>IF(Q668="OVER",$J668,$K668)</f>
        <v>-132.84281447779858</v>
      </c>
      <c r="V668" s="2">
        <f>IF(R668="OVER",$J668,$K668)</f>
        <v>-132.84281447779858</v>
      </c>
      <c r="W668" s="2">
        <f>IF(S668="OVER",$J668,$K668)</f>
        <v>-132.84281447779858</v>
      </c>
      <c r="X668" s="2">
        <f>IF(T668="OVER",$J668,$K668)</f>
        <v>-132.84281447779858</v>
      </c>
      <c r="Y668" s="9">
        <f t="shared" si="90"/>
        <v>-24977.785700774664</v>
      </c>
      <c r="Z668" s="9">
        <f t="shared" si="90"/>
        <v>-24207.651857067394</v>
      </c>
      <c r="AA668" s="9">
        <f t="shared" si="90"/>
        <v>35402.776436687978</v>
      </c>
      <c r="AB668" s="9">
        <f t="shared" si="87"/>
        <v>10516.691627644554</v>
      </c>
    </row>
    <row r="669" spans="1:28" x14ac:dyDescent="0.3">
      <c r="A669" s="1">
        <v>45385</v>
      </c>
      <c r="B669" s="2">
        <v>72.260000000000005</v>
      </c>
      <c r="C669" s="2">
        <v>78.98</v>
      </c>
      <c r="D669" s="9">
        <f>B669-B668</f>
        <v>6.0000000000002274E-2</v>
      </c>
      <c r="E669" s="9">
        <f>C669-C668</f>
        <v>0.13000000000000966</v>
      </c>
      <c r="F669" s="3">
        <f>F$1/B669</f>
        <v>1383.891502906172</v>
      </c>
      <c r="G669" s="3">
        <f>F$1/C669</f>
        <v>1266.1433274246644</v>
      </c>
      <c r="H669" s="2">
        <f>D669*F668</f>
        <v>83.10249307479539</v>
      </c>
      <c r="I669" s="2">
        <f>E669*G668</f>
        <v>164.87000634116637</v>
      </c>
      <c r="J669" s="2">
        <f>I669-H669</f>
        <v>81.767513266370983</v>
      </c>
      <c r="K669" s="2">
        <f t="shared" si="85"/>
        <v>-81.767513266370983</v>
      </c>
      <c r="L669" s="14">
        <f>C669/B669</f>
        <v>1.0929975089952948</v>
      </c>
      <c r="M669" s="14">
        <f t="shared" si="88"/>
        <v>1.0932409613383398</v>
      </c>
      <c r="N669" s="14">
        <f t="shared" si="92"/>
        <v>1.0919747681081935</v>
      </c>
      <c r="O669" s="14">
        <f t="shared" si="84"/>
        <v>1.0904197056908524</v>
      </c>
      <c r="P669" s="14">
        <f t="shared" si="86"/>
        <v>1.0901593170416</v>
      </c>
      <c r="Q669" s="4" t="str">
        <f t="shared" si="91"/>
        <v>UNDER</v>
      </c>
      <c r="R669" s="4" t="str">
        <f t="shared" si="91"/>
        <v>OVER</v>
      </c>
      <c r="S669" s="4" t="str">
        <f t="shared" si="89"/>
        <v>OVER</v>
      </c>
      <c r="T669" s="4" t="str">
        <f t="shared" si="89"/>
        <v>OVER</v>
      </c>
      <c r="U669" s="2">
        <f>IF(Q669="OVER",$J669,$K669)</f>
        <v>-81.767513266370983</v>
      </c>
      <c r="V669" s="2">
        <f>IF(R669="OVER",$J669,$K669)</f>
        <v>81.767513266370983</v>
      </c>
      <c r="W669" s="2">
        <f>IF(S669="OVER",$J669,$K669)</f>
        <v>81.767513266370983</v>
      </c>
      <c r="X669" s="2">
        <f>IF(T669="OVER",$J669,$K669)</f>
        <v>81.767513266370983</v>
      </c>
      <c r="Y669" s="9">
        <f t="shared" si="90"/>
        <v>-25059.553214041036</v>
      </c>
      <c r="Z669" s="9">
        <f t="shared" si="90"/>
        <v>-24125.884343801023</v>
      </c>
      <c r="AA669" s="9">
        <f t="shared" si="90"/>
        <v>35484.54394995435</v>
      </c>
      <c r="AB669" s="9">
        <f t="shared" si="87"/>
        <v>10598.459140910925</v>
      </c>
    </row>
    <row r="670" spans="1:28" x14ac:dyDescent="0.3">
      <c r="A670" s="1">
        <v>45386</v>
      </c>
      <c r="B670" s="2">
        <v>71.959999999999994</v>
      </c>
      <c r="C670" s="2">
        <v>78.61</v>
      </c>
      <c r="D670" s="9">
        <f>B670-B669</f>
        <v>-0.30000000000001137</v>
      </c>
      <c r="E670" s="9">
        <f>C670-C669</f>
        <v>-0.37000000000000455</v>
      </c>
      <c r="F670" s="3">
        <f>F$1/B670</f>
        <v>1389.6609227348529</v>
      </c>
      <c r="G670" s="3">
        <f>F$1/C670</f>
        <v>1272.1027859051012</v>
      </c>
      <c r="H670" s="2">
        <f>D670*F669</f>
        <v>-415.16745087186735</v>
      </c>
      <c r="I670" s="2">
        <f>E670*G669</f>
        <v>-468.47303114713162</v>
      </c>
      <c r="J670" s="2">
        <f>I670-H670</f>
        <v>-53.305580275264276</v>
      </c>
      <c r="K670" s="2">
        <f t="shared" si="85"/>
        <v>53.305580275264276</v>
      </c>
      <c r="L670" s="14">
        <f>C670/B670</f>
        <v>1.0924124513618678</v>
      </c>
      <c r="M670" s="14">
        <f t="shared" si="88"/>
        <v>1.0931461068894643</v>
      </c>
      <c r="N670" s="14">
        <f t="shared" si="92"/>
        <v>1.092066430452979</v>
      </c>
      <c r="O670" s="14">
        <f t="shared" si="84"/>
        <v>1.0904680946761023</v>
      </c>
      <c r="P670" s="14">
        <f t="shared" si="86"/>
        <v>1.090187849124133</v>
      </c>
      <c r="Q670" s="4" t="str">
        <f t="shared" si="91"/>
        <v>UNDER</v>
      </c>
      <c r="R670" s="4" t="str">
        <f t="shared" si="91"/>
        <v>OVER</v>
      </c>
      <c r="S670" s="4" t="str">
        <f t="shared" si="89"/>
        <v>OVER</v>
      </c>
      <c r="T670" s="4" t="str">
        <f t="shared" si="89"/>
        <v>OVER</v>
      </c>
      <c r="U670" s="2">
        <f>IF(Q670="OVER",$J670,$K670)</f>
        <v>53.305580275264276</v>
      </c>
      <c r="V670" s="2">
        <f>IF(R670="OVER",$J670,$K670)</f>
        <v>-53.305580275264276</v>
      </c>
      <c r="W670" s="2">
        <f>IF(S670="OVER",$J670,$K670)</f>
        <v>-53.305580275264276</v>
      </c>
      <c r="X670" s="2">
        <f>IF(T670="OVER",$J670,$K670)</f>
        <v>-53.305580275264276</v>
      </c>
      <c r="Y670" s="9">
        <f t="shared" si="90"/>
        <v>-25006.247633765772</v>
      </c>
      <c r="Z670" s="9">
        <f t="shared" si="90"/>
        <v>-24179.189924076287</v>
      </c>
      <c r="AA670" s="9">
        <f t="shared" si="90"/>
        <v>35431.238369679086</v>
      </c>
      <c r="AB670" s="9">
        <f t="shared" si="87"/>
        <v>10545.153560635661</v>
      </c>
    </row>
    <row r="671" spans="1:28" x14ac:dyDescent="0.3">
      <c r="A671" s="1">
        <v>45387</v>
      </c>
      <c r="B671" s="2">
        <v>72.040000000000006</v>
      </c>
      <c r="C671" s="2">
        <v>78.69</v>
      </c>
      <c r="D671" s="9">
        <f>B671-B670</f>
        <v>8.0000000000012506E-2</v>
      </c>
      <c r="E671" s="9">
        <f>C671-C670</f>
        <v>7.9999999999998295E-2</v>
      </c>
      <c r="F671" s="3">
        <f>F$1/B671</f>
        <v>1388.1177123820098</v>
      </c>
      <c r="G671" s="3">
        <f>F$1/C671</f>
        <v>1270.8095056551024</v>
      </c>
      <c r="H671" s="2">
        <f>D671*F670</f>
        <v>111.17287381880561</v>
      </c>
      <c r="I671" s="2">
        <f>E671*G670</f>
        <v>101.76822287240593</v>
      </c>
      <c r="J671" s="2">
        <f>I671-H671</f>
        <v>-9.4046509463996841</v>
      </c>
      <c r="K671" s="2">
        <f t="shared" si="85"/>
        <v>9.4046509463996841</v>
      </c>
      <c r="L671" s="14">
        <f>C671/B671</f>
        <v>1.0923098278734036</v>
      </c>
      <c r="M671" s="14">
        <f t="shared" si="88"/>
        <v>1.0930709222759236</v>
      </c>
      <c r="N671" s="14">
        <f t="shared" si="92"/>
        <v>1.0921995460487031</v>
      </c>
      <c r="O671" s="14">
        <f t="shared" si="84"/>
        <v>1.0905407539808694</v>
      </c>
      <c r="P671" s="14">
        <f t="shared" si="86"/>
        <v>1.0902307500432955</v>
      </c>
      <c r="Q671" s="4" t="str">
        <f t="shared" si="91"/>
        <v>UNDER</v>
      </c>
      <c r="R671" s="4" t="str">
        <f t="shared" si="91"/>
        <v>OVER</v>
      </c>
      <c r="S671" s="4" t="str">
        <f t="shared" si="89"/>
        <v>OVER</v>
      </c>
      <c r="T671" s="4" t="str">
        <f t="shared" si="89"/>
        <v>OVER</v>
      </c>
      <c r="U671" s="2">
        <f>IF(Q671="OVER",$J671,$K671)</f>
        <v>9.4046509463996841</v>
      </c>
      <c r="V671" s="2">
        <f>IF(R671="OVER",$J671,$K671)</f>
        <v>-9.4046509463996841</v>
      </c>
      <c r="W671" s="2">
        <f>IF(S671="OVER",$J671,$K671)</f>
        <v>-9.4046509463996841</v>
      </c>
      <c r="X671" s="2">
        <f>IF(T671="OVER",$J671,$K671)</f>
        <v>-9.4046509463996841</v>
      </c>
      <c r="Y671" s="9">
        <f t="shared" si="90"/>
        <v>-24996.842982819373</v>
      </c>
      <c r="Z671" s="9">
        <f t="shared" si="90"/>
        <v>-24188.594575022686</v>
      </c>
      <c r="AA671" s="9">
        <f t="shared" si="90"/>
        <v>35421.833718732683</v>
      </c>
      <c r="AB671" s="9">
        <f t="shared" si="87"/>
        <v>10535.74890968926</v>
      </c>
    </row>
    <row r="672" spans="1:28" x14ac:dyDescent="0.3">
      <c r="A672" s="1">
        <v>45390</v>
      </c>
      <c r="B672" s="2">
        <v>72.3</v>
      </c>
      <c r="C672" s="2">
        <v>78.94</v>
      </c>
      <c r="D672" s="9">
        <f>B672-B671</f>
        <v>0.25999999999999091</v>
      </c>
      <c r="E672" s="9">
        <f>C672-C671</f>
        <v>0.25</v>
      </c>
      <c r="F672" s="3">
        <f>F$1/B672</f>
        <v>1383.1258644536654</v>
      </c>
      <c r="G672" s="3">
        <f>F$1/C672</f>
        <v>1266.784899923993</v>
      </c>
      <c r="H672" s="2">
        <f>D672*F671</f>
        <v>360.9106052193099</v>
      </c>
      <c r="I672" s="2">
        <f>E672*G671</f>
        <v>317.7023764137756</v>
      </c>
      <c r="J672" s="2">
        <f>I672-H672</f>
        <v>-43.208228805534304</v>
      </c>
      <c r="K672" s="2">
        <f t="shared" si="85"/>
        <v>43.208228805534304</v>
      </c>
      <c r="L672" s="14">
        <f>C672/B672</f>
        <v>1.0918395573997235</v>
      </c>
      <c r="M672" s="14">
        <f t="shared" si="88"/>
        <v>1.0928414894720726</v>
      </c>
      <c r="N672" s="14">
        <f t="shared" si="92"/>
        <v>1.0923109145004068</v>
      </c>
      <c r="O672" s="14">
        <f t="shared" si="84"/>
        <v>1.0906174554427652</v>
      </c>
      <c r="P672" s="14">
        <f t="shared" si="86"/>
        <v>1.0902598325565189</v>
      </c>
      <c r="Q672" s="4" t="str">
        <f t="shared" si="91"/>
        <v>UNDER</v>
      </c>
      <c r="R672" s="4" t="str">
        <f t="shared" si="91"/>
        <v>OVER</v>
      </c>
      <c r="S672" s="4" t="str">
        <f t="shared" si="89"/>
        <v>OVER</v>
      </c>
      <c r="T672" s="4" t="str">
        <f t="shared" si="89"/>
        <v>OVER</v>
      </c>
      <c r="U672" s="2">
        <f>IF(Q672="OVER",$J672,$K672)</f>
        <v>43.208228805534304</v>
      </c>
      <c r="V672" s="2">
        <f>IF(R672="OVER",$J672,$K672)</f>
        <v>-43.208228805534304</v>
      </c>
      <c r="W672" s="2">
        <f>IF(S672="OVER",$J672,$K672)</f>
        <v>-43.208228805534304</v>
      </c>
      <c r="X672" s="2">
        <f>IF(T672="OVER",$J672,$K672)</f>
        <v>-43.208228805534304</v>
      </c>
      <c r="Y672" s="9">
        <f t="shared" si="90"/>
        <v>-24953.634754013838</v>
      </c>
      <c r="Z672" s="9">
        <f t="shared" si="90"/>
        <v>-24231.802803828221</v>
      </c>
      <c r="AA672" s="9">
        <f t="shared" si="90"/>
        <v>35378.625489927152</v>
      </c>
      <c r="AB672" s="9">
        <f t="shared" si="87"/>
        <v>10492.540680883727</v>
      </c>
    </row>
    <row r="673" spans="1:28" x14ac:dyDescent="0.3">
      <c r="A673" s="1">
        <v>45391</v>
      </c>
      <c r="B673" s="2">
        <v>72.44</v>
      </c>
      <c r="C673" s="2">
        <v>79.150000000000006</v>
      </c>
      <c r="D673" s="9">
        <f>B673-B672</f>
        <v>0.14000000000000057</v>
      </c>
      <c r="E673" s="9">
        <f>C673-C672</f>
        <v>0.21000000000000796</v>
      </c>
      <c r="F673" s="3">
        <f>F$1/B673</f>
        <v>1380.4527885146329</v>
      </c>
      <c r="G673" s="3">
        <f>F$1/C673</f>
        <v>1263.4238787113075</v>
      </c>
      <c r="H673" s="2">
        <f>D673*F672</f>
        <v>193.63762102351393</v>
      </c>
      <c r="I673" s="2">
        <f>E673*G672</f>
        <v>266.02482898404861</v>
      </c>
      <c r="J673" s="2">
        <f>I673-H673</f>
        <v>72.387207960534681</v>
      </c>
      <c r="K673" s="2">
        <f t="shared" si="85"/>
        <v>-72.387207960534681</v>
      </c>
      <c r="L673" s="14">
        <f>C673/B673</f>
        <v>1.0926283821093319</v>
      </c>
      <c r="M673" s="14">
        <f t="shared" si="88"/>
        <v>1.0928560110690166</v>
      </c>
      <c r="N673" s="14">
        <f t="shared" si="92"/>
        <v>1.0925032754341282</v>
      </c>
      <c r="O673" s="14">
        <f t="shared" si="84"/>
        <v>1.090665364089723</v>
      </c>
      <c r="P673" s="14">
        <f t="shared" si="86"/>
        <v>1.0902805029786868</v>
      </c>
      <c r="Q673" s="4" t="str">
        <f t="shared" si="91"/>
        <v>UNDER</v>
      </c>
      <c r="R673" s="4" t="str">
        <f t="shared" si="91"/>
        <v>UNDER</v>
      </c>
      <c r="S673" s="4" t="str">
        <f t="shared" si="89"/>
        <v>OVER</v>
      </c>
      <c r="T673" s="4" t="str">
        <f t="shared" si="89"/>
        <v>OVER</v>
      </c>
      <c r="U673" s="2">
        <f>IF(Q673="OVER",$J673,$K673)</f>
        <v>-72.387207960534681</v>
      </c>
      <c r="V673" s="2">
        <f>IF(R673="OVER",$J673,$K673)</f>
        <v>-72.387207960534681</v>
      </c>
      <c r="W673" s="2">
        <f>IF(S673="OVER",$J673,$K673)</f>
        <v>72.387207960534681</v>
      </c>
      <c r="X673" s="2">
        <f>IF(T673="OVER",$J673,$K673)</f>
        <v>72.387207960534681</v>
      </c>
      <c r="Y673" s="9">
        <f t="shared" si="90"/>
        <v>-25026.021961974373</v>
      </c>
      <c r="Z673" s="9">
        <f t="shared" si="90"/>
        <v>-24304.190011788756</v>
      </c>
      <c r="AA673" s="9">
        <f t="shared" si="90"/>
        <v>35451.012697887687</v>
      </c>
      <c r="AB673" s="9">
        <f t="shared" si="87"/>
        <v>10564.927888844262</v>
      </c>
    </row>
    <row r="674" spans="1:28" x14ac:dyDescent="0.3">
      <c r="A674" s="1">
        <v>45392</v>
      </c>
      <c r="B674" s="2">
        <v>71.95</v>
      </c>
      <c r="C674" s="2">
        <v>78.510000000000005</v>
      </c>
      <c r="D674" s="9">
        <f>B674-B673</f>
        <v>-0.48999999999999488</v>
      </c>
      <c r="E674" s="9">
        <f>C674-C673</f>
        <v>-0.64000000000000057</v>
      </c>
      <c r="F674" s="3">
        <f>F$1/B674</f>
        <v>1389.854065323141</v>
      </c>
      <c r="G674" s="3">
        <f>F$1/C674</f>
        <v>1273.7230925996687</v>
      </c>
      <c r="H674" s="2">
        <f>D674*F673</f>
        <v>-676.42186637216298</v>
      </c>
      <c r="I674" s="2">
        <f>E674*G673</f>
        <v>-808.59128237523748</v>
      </c>
      <c r="J674" s="2">
        <f>I674-H674</f>
        <v>-132.1694160030745</v>
      </c>
      <c r="K674" s="2">
        <f t="shared" si="85"/>
        <v>132.1694160030745</v>
      </c>
      <c r="L674" s="14">
        <f>C674/B674</f>
        <v>1.0911744266851982</v>
      </c>
      <c r="M674" s="14">
        <f t="shared" si="88"/>
        <v>1.0926014597839839</v>
      </c>
      <c r="N674" s="14">
        <f t="shared" si="92"/>
        <v>1.0926853572543744</v>
      </c>
      <c r="O674" s="14">
        <f t="shared" si="84"/>
        <v>1.0906884066925464</v>
      </c>
      <c r="P674" s="14">
        <f t="shared" si="86"/>
        <v>1.090295904113421</v>
      </c>
      <c r="Q674" s="4" t="str">
        <f t="shared" si="91"/>
        <v>UNDER</v>
      </c>
      <c r="R674" s="4" t="str">
        <f t="shared" si="91"/>
        <v>OVER</v>
      </c>
      <c r="S674" s="4" t="str">
        <f t="shared" si="89"/>
        <v>OVER</v>
      </c>
      <c r="T674" s="4" t="str">
        <f t="shared" si="89"/>
        <v>OVER</v>
      </c>
      <c r="U674" s="2">
        <f>IF(Q674="OVER",$J674,$K674)</f>
        <v>132.1694160030745</v>
      </c>
      <c r="V674" s="2">
        <f>IF(R674="OVER",$J674,$K674)</f>
        <v>-132.1694160030745</v>
      </c>
      <c r="W674" s="2">
        <f>IF(S674="OVER",$J674,$K674)</f>
        <v>-132.1694160030745</v>
      </c>
      <c r="X674" s="2">
        <f>IF(T674="OVER",$J674,$K674)</f>
        <v>-132.1694160030745</v>
      </c>
      <c r="Y674" s="9">
        <f t="shared" si="90"/>
        <v>-24893.852545971298</v>
      </c>
      <c r="Z674" s="9">
        <f t="shared" si="90"/>
        <v>-24436.359427791831</v>
      </c>
      <c r="AA674" s="9">
        <f t="shared" si="90"/>
        <v>35318.843281884612</v>
      </c>
      <c r="AB674" s="9">
        <f t="shared" si="87"/>
        <v>10432.758472841188</v>
      </c>
    </row>
    <row r="675" spans="1:28" x14ac:dyDescent="0.3">
      <c r="A675" s="1">
        <v>45393</v>
      </c>
      <c r="B675" s="2">
        <v>72.09</v>
      </c>
      <c r="C675" s="2">
        <v>78.72</v>
      </c>
      <c r="D675" s="9">
        <f>B675-B674</f>
        <v>0.14000000000000057</v>
      </c>
      <c r="E675" s="9">
        <f>C675-C674</f>
        <v>0.20999999999999375</v>
      </c>
      <c r="F675" s="3">
        <f>F$1/B675</f>
        <v>1387.1549452073796</v>
      </c>
      <c r="G675" s="3">
        <f>F$1/C675</f>
        <v>1270.3252032520325</v>
      </c>
      <c r="H675" s="2">
        <f>D675*F674</f>
        <v>194.57956914524053</v>
      </c>
      <c r="I675" s="2">
        <f>E675*G674</f>
        <v>267.48184944592248</v>
      </c>
      <c r="J675" s="2">
        <f>I675-H675</f>
        <v>72.902280300681952</v>
      </c>
      <c r="K675" s="2">
        <f t="shared" si="85"/>
        <v>-72.902280300681952</v>
      </c>
      <c r="L675" s="14">
        <f>C675/B675</f>
        <v>1.0919683728672491</v>
      </c>
      <c r="M675" s="14">
        <f t="shared" si="88"/>
        <v>1.0923968212576454</v>
      </c>
      <c r="N675" s="14">
        <f t="shared" si="92"/>
        <v>1.0928697833347294</v>
      </c>
      <c r="O675" s="14">
        <f t="shared" si="84"/>
        <v>1.0907372713565953</v>
      </c>
      <c r="P675" s="14">
        <f t="shared" si="86"/>
        <v>1.0903080064807373</v>
      </c>
      <c r="Q675" s="4" t="str">
        <f t="shared" si="91"/>
        <v>UNDER</v>
      </c>
      <c r="R675" s="4" t="str">
        <f t="shared" si="91"/>
        <v>UNDER</v>
      </c>
      <c r="S675" s="4" t="str">
        <f t="shared" si="89"/>
        <v>OVER</v>
      </c>
      <c r="T675" s="4" t="str">
        <f t="shared" si="89"/>
        <v>OVER</v>
      </c>
      <c r="U675" s="2">
        <f>IF(Q675="OVER",$J675,$K675)</f>
        <v>-72.902280300681952</v>
      </c>
      <c r="V675" s="2">
        <f>IF(R675="OVER",$J675,$K675)</f>
        <v>-72.902280300681952</v>
      </c>
      <c r="W675" s="2">
        <f>IF(S675="OVER",$J675,$K675)</f>
        <v>72.902280300681952</v>
      </c>
      <c r="X675" s="2">
        <f>IF(T675="OVER",$J675,$K675)</f>
        <v>72.902280300681952</v>
      </c>
      <c r="Y675" s="9">
        <f t="shared" si="90"/>
        <v>-24966.754826271979</v>
      </c>
      <c r="Z675" s="9">
        <f t="shared" si="90"/>
        <v>-24509.261708092512</v>
      </c>
      <c r="AA675" s="9">
        <f t="shared" si="90"/>
        <v>35391.745562185293</v>
      </c>
      <c r="AB675" s="9">
        <f t="shared" si="87"/>
        <v>10505.66075314187</v>
      </c>
    </row>
    <row r="676" spans="1:28" x14ac:dyDescent="0.3">
      <c r="A676" s="1">
        <v>45394</v>
      </c>
      <c r="B676" s="2">
        <v>71.22</v>
      </c>
      <c r="C676" s="2">
        <v>77.849999999999994</v>
      </c>
      <c r="D676" s="9">
        <f>B676-B675</f>
        <v>-0.87000000000000455</v>
      </c>
      <c r="E676" s="9">
        <f>C676-C675</f>
        <v>-0.87000000000000455</v>
      </c>
      <c r="F676" s="3">
        <f>F$1/B676</f>
        <v>1404.0999719180006</v>
      </c>
      <c r="G676" s="3">
        <f>F$1/C676</f>
        <v>1284.5215157353887</v>
      </c>
      <c r="H676" s="2">
        <f>D676*F675</f>
        <v>-1206.8248023304266</v>
      </c>
      <c r="I676" s="2">
        <f>E676*G675</f>
        <v>-1105.182926829274</v>
      </c>
      <c r="J676" s="2">
        <f>I676-H676</f>
        <v>101.64187550115253</v>
      </c>
      <c r="K676" s="2">
        <f t="shared" si="85"/>
        <v>-101.64187550115253</v>
      </c>
      <c r="L676" s="14">
        <f>C676/B676</f>
        <v>1.0930918281381634</v>
      </c>
      <c r="M676" s="14">
        <f t="shared" si="88"/>
        <v>1.092409728058318</v>
      </c>
      <c r="N676" s="14">
        <f t="shared" si="92"/>
        <v>1.0929109084074728</v>
      </c>
      <c r="O676" s="14">
        <f t="shared" si="84"/>
        <v>1.0908082729460664</v>
      </c>
      <c r="P676" s="14">
        <f t="shared" si="86"/>
        <v>1.0903269338295207</v>
      </c>
      <c r="Q676" s="4" t="str">
        <f t="shared" si="91"/>
        <v>UNDER</v>
      </c>
      <c r="R676" s="4" t="str">
        <f t="shared" si="91"/>
        <v>UNDER</v>
      </c>
      <c r="S676" s="4" t="str">
        <f t="shared" si="89"/>
        <v>OVER</v>
      </c>
      <c r="T676" s="4" t="str">
        <f t="shared" si="89"/>
        <v>OVER</v>
      </c>
      <c r="U676" s="2">
        <f>IF(Q676="OVER",$J676,$K676)</f>
        <v>-101.64187550115253</v>
      </c>
      <c r="V676" s="2">
        <f>IF(R676="OVER",$J676,$K676)</f>
        <v>-101.64187550115253</v>
      </c>
      <c r="W676" s="2">
        <f>IF(S676="OVER",$J676,$K676)</f>
        <v>101.64187550115253</v>
      </c>
      <c r="X676" s="2">
        <f>IF(T676="OVER",$J676,$K676)</f>
        <v>101.64187550115253</v>
      </c>
      <c r="Y676" s="9">
        <f t="shared" si="90"/>
        <v>-25068.39670177313</v>
      </c>
      <c r="Z676" s="9">
        <f t="shared" si="90"/>
        <v>-24610.903583593663</v>
      </c>
      <c r="AA676" s="9">
        <f t="shared" si="90"/>
        <v>35493.387437686448</v>
      </c>
      <c r="AB676" s="9">
        <f t="shared" si="87"/>
        <v>10607.302628643023</v>
      </c>
    </row>
    <row r="677" spans="1:28" x14ac:dyDescent="0.3">
      <c r="A677" s="1">
        <v>45397</v>
      </c>
      <c r="B677" s="2">
        <v>70.459999999999994</v>
      </c>
      <c r="C677" s="2">
        <v>77.02</v>
      </c>
      <c r="D677" s="9">
        <f>B677-B676</f>
        <v>-0.76000000000000512</v>
      </c>
      <c r="E677" s="9">
        <f>C677-C676</f>
        <v>-0.82999999999999829</v>
      </c>
      <c r="F677" s="3">
        <f>F$1/B677</f>
        <v>1419.2449616803863</v>
      </c>
      <c r="G677" s="3">
        <f>F$1/C677</f>
        <v>1298.3640612827837</v>
      </c>
      <c r="H677" s="2">
        <f>D677*F676</f>
        <v>-1067.1159786576877</v>
      </c>
      <c r="I677" s="2">
        <f>E677*G676</f>
        <v>-1066.1528580603704</v>
      </c>
      <c r="J677" s="2">
        <f>I677-H677</f>
        <v>0.96312059731735644</v>
      </c>
      <c r="K677" s="2">
        <f t="shared" si="85"/>
        <v>-0.96312059731735644</v>
      </c>
      <c r="L677" s="14">
        <f>C677/B677</f>
        <v>1.0931024694862335</v>
      </c>
      <c r="M677" s="14">
        <f t="shared" si="88"/>
        <v>1.0923630088074361</v>
      </c>
      <c r="N677" s="14">
        <f t="shared" si="92"/>
        <v>1.0929079062725378</v>
      </c>
      <c r="O677" s="14">
        <f t="shared" si="84"/>
        <v>1.0909756914633078</v>
      </c>
      <c r="P677" s="14">
        <f t="shared" si="86"/>
        <v>1.0903492169353346</v>
      </c>
      <c r="Q677" s="4" t="str">
        <f t="shared" si="91"/>
        <v>OVER</v>
      </c>
      <c r="R677" s="4" t="str">
        <f t="shared" si="91"/>
        <v>OVER</v>
      </c>
      <c r="S677" s="4" t="str">
        <f t="shared" si="89"/>
        <v>OVER</v>
      </c>
      <c r="T677" s="4" t="str">
        <f t="shared" si="89"/>
        <v>OVER</v>
      </c>
      <c r="U677" s="2">
        <f>IF(Q677="OVER",$J677,$K677)</f>
        <v>0.96312059731735644</v>
      </c>
      <c r="V677" s="2">
        <f>IF(R677="OVER",$J677,$K677)</f>
        <v>0.96312059731735644</v>
      </c>
      <c r="W677" s="2">
        <f>IF(S677="OVER",$J677,$K677)</f>
        <v>0.96312059731735644</v>
      </c>
      <c r="X677" s="2">
        <f>IF(T677="OVER",$J677,$K677)</f>
        <v>0.96312059731735644</v>
      </c>
      <c r="Y677" s="9">
        <f t="shared" si="90"/>
        <v>-25067.433581175814</v>
      </c>
      <c r="Z677" s="9">
        <f t="shared" si="90"/>
        <v>-24609.940462996346</v>
      </c>
      <c r="AA677" s="9">
        <f t="shared" si="90"/>
        <v>35494.350558283768</v>
      </c>
      <c r="AB677" s="9">
        <f t="shared" si="87"/>
        <v>10608.265749240341</v>
      </c>
    </row>
    <row r="678" spans="1:28" x14ac:dyDescent="0.3">
      <c r="A678" s="1">
        <v>45398</v>
      </c>
      <c r="B678" s="2">
        <v>70.14</v>
      </c>
      <c r="C678" s="2">
        <v>76.72</v>
      </c>
      <c r="D678" s="9">
        <f>B678-B677</f>
        <v>-0.31999999999999318</v>
      </c>
      <c r="E678" s="9">
        <f>C678-C677</f>
        <v>-0.29999999999999716</v>
      </c>
      <c r="F678" s="3">
        <f>F$1/B678</f>
        <v>1425.71998859424</v>
      </c>
      <c r="G678" s="3">
        <f>F$1/C678</f>
        <v>1303.4410844629822</v>
      </c>
      <c r="H678" s="2">
        <f>D678*F677</f>
        <v>-454.15838773771395</v>
      </c>
      <c r="I678" s="2">
        <f>E678*G677</f>
        <v>-389.5092183848314</v>
      </c>
      <c r="J678" s="2">
        <f>I678-H678</f>
        <v>64.649169352882552</v>
      </c>
      <c r="K678" s="2">
        <f t="shared" si="85"/>
        <v>-64.649169352882552</v>
      </c>
      <c r="L678" s="14">
        <f>C678/B678</f>
        <v>1.093812375249501</v>
      </c>
      <c r="M678" s="14">
        <f t="shared" si="88"/>
        <v>1.0925337200165965</v>
      </c>
      <c r="N678" s="14">
        <f t="shared" si="92"/>
        <v>1.092927582480635</v>
      </c>
      <c r="O678" s="14">
        <f t="shared" si="84"/>
        <v>1.0911271734636079</v>
      </c>
      <c r="P678" s="14">
        <f t="shared" si="86"/>
        <v>1.0903709784095144</v>
      </c>
      <c r="Q678" s="4" t="str">
        <f t="shared" si="91"/>
        <v>OVER</v>
      </c>
      <c r="R678" s="4" t="str">
        <f t="shared" si="91"/>
        <v>OVER</v>
      </c>
      <c r="S678" s="4" t="str">
        <f t="shared" si="89"/>
        <v>OVER</v>
      </c>
      <c r="T678" s="4" t="str">
        <f t="shared" si="89"/>
        <v>OVER</v>
      </c>
      <c r="U678" s="2">
        <f>IF(Q678="OVER",$J678,$K678)</f>
        <v>64.649169352882552</v>
      </c>
      <c r="V678" s="2">
        <f>IF(R678="OVER",$J678,$K678)</f>
        <v>64.649169352882552</v>
      </c>
      <c r="W678" s="2">
        <f>IF(S678="OVER",$J678,$K678)</f>
        <v>64.649169352882552</v>
      </c>
      <c r="X678" s="2">
        <f>IF(T678="OVER",$J678,$K678)</f>
        <v>64.649169352882552</v>
      </c>
      <c r="Y678" s="9">
        <f t="shared" si="90"/>
        <v>-25002.78441182293</v>
      </c>
      <c r="Z678" s="9">
        <f t="shared" si="90"/>
        <v>-24545.291293643462</v>
      </c>
      <c r="AA678" s="9">
        <f t="shared" si="90"/>
        <v>35558.999727636648</v>
      </c>
      <c r="AB678" s="9">
        <f t="shared" si="87"/>
        <v>10672.914918593224</v>
      </c>
    </row>
    <row r="679" spans="1:28" x14ac:dyDescent="0.3">
      <c r="A679" s="1">
        <v>45399</v>
      </c>
      <c r="B679" s="2">
        <v>70.010000000000005</v>
      </c>
      <c r="C679" s="2">
        <v>76.62</v>
      </c>
      <c r="D679" s="9">
        <f>B679-B678</f>
        <v>-0.12999999999999545</v>
      </c>
      <c r="E679" s="9">
        <f>C679-C678</f>
        <v>-9.9999999999994316E-2</v>
      </c>
      <c r="F679" s="3">
        <f>F$1/B679</f>
        <v>1428.3673760891299</v>
      </c>
      <c r="G679" s="3">
        <f>F$1/C679</f>
        <v>1305.1422605063951</v>
      </c>
      <c r="H679" s="2">
        <f>D679*F678</f>
        <v>-185.34359851724471</v>
      </c>
      <c r="I679" s="2">
        <f>E679*G678</f>
        <v>-130.34410844629082</v>
      </c>
      <c r="J679" s="2">
        <f>I679-H679</f>
        <v>54.999490070953897</v>
      </c>
      <c r="K679" s="2">
        <f t="shared" si="85"/>
        <v>-54.999490070953897</v>
      </c>
      <c r="L679" s="14">
        <f>C679/B679</f>
        <v>1.0944150835594915</v>
      </c>
      <c r="M679" s="14">
        <f t="shared" si="88"/>
        <v>1.0926754774730161</v>
      </c>
      <c r="N679" s="14">
        <f t="shared" si="92"/>
        <v>1.0929582194056782</v>
      </c>
      <c r="O679" s="14">
        <f t="shared" si="84"/>
        <v>1.0912370083929712</v>
      </c>
      <c r="P679" s="14">
        <f t="shared" si="86"/>
        <v>1.0903848694098708</v>
      </c>
      <c r="Q679" s="4" t="str">
        <f t="shared" si="91"/>
        <v>OVER</v>
      </c>
      <c r="R679" s="4" t="str">
        <f t="shared" si="91"/>
        <v>OVER</v>
      </c>
      <c r="S679" s="4" t="str">
        <f t="shared" si="89"/>
        <v>OVER</v>
      </c>
      <c r="T679" s="4" t="str">
        <f t="shared" si="89"/>
        <v>OVER</v>
      </c>
      <c r="U679" s="2">
        <f>IF(Q679="OVER",$J679,$K679)</f>
        <v>54.999490070953897</v>
      </c>
      <c r="V679" s="2">
        <f>IF(R679="OVER",$J679,$K679)</f>
        <v>54.999490070953897</v>
      </c>
      <c r="W679" s="2">
        <f>IF(S679="OVER",$J679,$K679)</f>
        <v>54.999490070953897</v>
      </c>
      <c r="X679" s="2">
        <f>IF(T679="OVER",$J679,$K679)</f>
        <v>54.999490070953897</v>
      </c>
      <c r="Y679" s="9">
        <f t="shared" si="90"/>
        <v>-24947.784921751976</v>
      </c>
      <c r="Z679" s="9">
        <f t="shared" si="90"/>
        <v>-24490.291803572509</v>
      </c>
      <c r="AA679" s="9">
        <f t="shared" si="90"/>
        <v>35613.999217707606</v>
      </c>
      <c r="AB679" s="9">
        <f t="shared" si="87"/>
        <v>10727.914408664177</v>
      </c>
    </row>
    <row r="680" spans="1:28" x14ac:dyDescent="0.3">
      <c r="A680" s="1">
        <v>45400</v>
      </c>
      <c r="B680" s="2">
        <v>70</v>
      </c>
      <c r="C680" s="2">
        <v>76.510000000000005</v>
      </c>
      <c r="D680" s="9">
        <f>B680-B679</f>
        <v>-1.0000000000005116E-2</v>
      </c>
      <c r="E680" s="9">
        <f>C680-C679</f>
        <v>-0.10999999999999943</v>
      </c>
      <c r="F680" s="3">
        <f>F$1/B680</f>
        <v>1428.5714285714287</v>
      </c>
      <c r="G680" s="3">
        <f>F$1/C680</f>
        <v>1307.0186903672723</v>
      </c>
      <c r="H680" s="2">
        <f>D680*F679</f>
        <v>-14.283673760898607</v>
      </c>
      <c r="I680" s="2">
        <f>E680*G679</f>
        <v>-143.56564865570272</v>
      </c>
      <c r="J680" s="2">
        <f>I680-H680</f>
        <v>-129.28197489480411</v>
      </c>
      <c r="K680" s="2">
        <f t="shared" si="85"/>
        <v>129.28197489480411</v>
      </c>
      <c r="L680" s="14">
        <f>C680/B680</f>
        <v>1.093</v>
      </c>
      <c r="M680" s="14">
        <f t="shared" si="88"/>
        <v>1.0927342323368294</v>
      </c>
      <c r="N680" s="14">
        <f t="shared" si="92"/>
        <v>1.0929401696131469</v>
      </c>
      <c r="O680" s="14">
        <f t="shared" si="84"/>
        <v>1.0913371653216526</v>
      </c>
      <c r="P680" s="14">
        <f t="shared" si="86"/>
        <v>1.0903992652876249</v>
      </c>
      <c r="Q680" s="4" t="str">
        <f t="shared" si="91"/>
        <v>OVER</v>
      </c>
      <c r="R680" s="4" t="str">
        <f t="shared" si="91"/>
        <v>OVER</v>
      </c>
      <c r="S680" s="4" t="str">
        <f t="shared" si="89"/>
        <v>OVER</v>
      </c>
      <c r="T680" s="4" t="str">
        <f t="shared" si="89"/>
        <v>OVER</v>
      </c>
      <c r="U680" s="2">
        <f>IF(Q680="OVER",$J680,$K680)</f>
        <v>-129.28197489480411</v>
      </c>
      <c r="V680" s="2">
        <f>IF(R680="OVER",$J680,$K680)</f>
        <v>-129.28197489480411</v>
      </c>
      <c r="W680" s="2">
        <f>IF(S680="OVER",$J680,$K680)</f>
        <v>-129.28197489480411</v>
      </c>
      <c r="X680" s="2">
        <f>IF(T680="OVER",$J680,$K680)</f>
        <v>-129.28197489480411</v>
      </c>
      <c r="Y680" s="9">
        <f t="shared" si="90"/>
        <v>-25077.066896646782</v>
      </c>
      <c r="Z680" s="9">
        <f t="shared" si="90"/>
        <v>-24619.573778467315</v>
      </c>
      <c r="AA680" s="9">
        <f t="shared" si="90"/>
        <v>35484.717242812803</v>
      </c>
      <c r="AB680" s="9">
        <f t="shared" si="87"/>
        <v>10598.632433769373</v>
      </c>
    </row>
    <row r="681" spans="1:28" x14ac:dyDescent="0.3">
      <c r="A681" s="1">
        <v>45401</v>
      </c>
      <c r="B681" s="2">
        <v>69.599999999999994</v>
      </c>
      <c r="C681" s="2">
        <v>76.13</v>
      </c>
      <c r="D681" s="9">
        <f>B681-B680</f>
        <v>-0.40000000000000568</v>
      </c>
      <c r="E681" s="9">
        <f>C681-C680</f>
        <v>-0.38000000000000966</v>
      </c>
      <c r="F681" s="3">
        <f>F$1/B681</f>
        <v>1436.7816091954023</v>
      </c>
      <c r="G681" s="3">
        <f>F$1/C681</f>
        <v>1313.5426244581638</v>
      </c>
      <c r="H681" s="2">
        <f>D681*F680</f>
        <v>-571.42857142857963</v>
      </c>
      <c r="I681" s="2">
        <f>E681*G680</f>
        <v>-496.6671023395761</v>
      </c>
      <c r="J681" s="2">
        <f>I681-H681</f>
        <v>74.761469089003526</v>
      </c>
      <c r="K681" s="2">
        <f t="shared" si="85"/>
        <v>-74.761469089003526</v>
      </c>
      <c r="L681" s="14">
        <f>C681/B681</f>
        <v>1.0938218390804597</v>
      </c>
      <c r="M681" s="14">
        <f t="shared" si="88"/>
        <v>1.0928854334575351</v>
      </c>
      <c r="N681" s="14">
        <f t="shared" si="92"/>
        <v>1.0929781778667294</v>
      </c>
      <c r="O681" s="14">
        <f t="shared" si="84"/>
        <v>1.0914711884548212</v>
      </c>
      <c r="P681" s="14">
        <f t="shared" si="86"/>
        <v>1.090410858143158</v>
      </c>
      <c r="Q681" s="4" t="str">
        <f t="shared" si="91"/>
        <v>OVER</v>
      </c>
      <c r="R681" s="4" t="str">
        <f t="shared" si="91"/>
        <v>OVER</v>
      </c>
      <c r="S681" s="4" t="str">
        <f t="shared" si="89"/>
        <v>OVER</v>
      </c>
      <c r="T681" s="4" t="str">
        <f t="shared" si="89"/>
        <v>OVER</v>
      </c>
      <c r="U681" s="2">
        <f>IF(Q681="OVER",$J681,$K681)</f>
        <v>74.761469089003526</v>
      </c>
      <c r="V681" s="2">
        <f>IF(R681="OVER",$J681,$K681)</f>
        <v>74.761469089003526</v>
      </c>
      <c r="W681" s="2">
        <f>IF(S681="OVER",$J681,$K681)</f>
        <v>74.761469089003526</v>
      </c>
      <c r="X681" s="2">
        <f>IF(T681="OVER",$J681,$K681)</f>
        <v>74.761469089003526</v>
      </c>
      <c r="Y681" s="9">
        <f t="shared" si="90"/>
        <v>-25002.305427557778</v>
      </c>
      <c r="Z681" s="9">
        <f t="shared" si="90"/>
        <v>-24544.812309378311</v>
      </c>
      <c r="AA681" s="9">
        <f t="shared" si="90"/>
        <v>35559.478711901807</v>
      </c>
      <c r="AB681" s="9">
        <f t="shared" si="87"/>
        <v>10673.393902858377</v>
      </c>
    </row>
    <row r="682" spans="1:28" x14ac:dyDescent="0.3">
      <c r="A682" s="1">
        <v>45404</v>
      </c>
      <c r="B682" s="2">
        <v>70.010000000000005</v>
      </c>
      <c r="C682" s="2">
        <v>76.55</v>
      </c>
      <c r="D682" s="9">
        <f>B682-B681</f>
        <v>0.4100000000000108</v>
      </c>
      <c r="E682" s="9">
        <f>C682-C681</f>
        <v>0.42000000000000171</v>
      </c>
      <c r="F682" s="3">
        <f>F$1/B682</f>
        <v>1428.3673760891299</v>
      </c>
      <c r="G682" s="3">
        <f>F$1/C682</f>
        <v>1306.3357282821685</v>
      </c>
      <c r="H682" s="2">
        <f>D682*F681</f>
        <v>589.08045977013046</v>
      </c>
      <c r="I682" s="2">
        <f>E682*G681</f>
        <v>551.68790227243107</v>
      </c>
      <c r="J682" s="2">
        <f>I682-H682</f>
        <v>-37.392557497699386</v>
      </c>
      <c r="K682" s="2">
        <f t="shared" si="85"/>
        <v>37.392557497699386</v>
      </c>
      <c r="L682" s="14">
        <f>C682/B682</f>
        <v>1.0934152263962289</v>
      </c>
      <c r="M682" s="14">
        <f t="shared" si="88"/>
        <v>1.0930430003571856</v>
      </c>
      <c r="N682" s="14">
        <f t="shared" si="92"/>
        <v>1.0929422449146293</v>
      </c>
      <c r="O682" s="14">
        <f t="shared" si="84"/>
        <v>1.0915747052304843</v>
      </c>
      <c r="P682" s="14">
        <f t="shared" si="86"/>
        <v>1.0904418083949838</v>
      </c>
      <c r="Q682" s="4" t="str">
        <f t="shared" si="91"/>
        <v>OVER</v>
      </c>
      <c r="R682" s="4" t="str">
        <f t="shared" si="91"/>
        <v>OVER</v>
      </c>
      <c r="S682" s="4" t="str">
        <f t="shared" si="89"/>
        <v>OVER</v>
      </c>
      <c r="T682" s="4" t="str">
        <f t="shared" si="89"/>
        <v>OVER</v>
      </c>
      <c r="U682" s="2">
        <f>IF(Q682="OVER",$J682,$K682)</f>
        <v>-37.392557497699386</v>
      </c>
      <c r="V682" s="2">
        <f>IF(R682="OVER",$J682,$K682)</f>
        <v>-37.392557497699386</v>
      </c>
      <c r="W682" s="2">
        <f>IF(S682="OVER",$J682,$K682)</f>
        <v>-37.392557497699386</v>
      </c>
      <c r="X682" s="2">
        <f>IF(T682="OVER",$J682,$K682)</f>
        <v>-37.392557497699386</v>
      </c>
      <c r="Y682" s="9">
        <f t="shared" si="90"/>
        <v>-25039.697985055478</v>
      </c>
      <c r="Z682" s="9">
        <f t="shared" si="90"/>
        <v>-24582.204866876011</v>
      </c>
      <c r="AA682" s="9">
        <f t="shared" si="90"/>
        <v>35522.086154404111</v>
      </c>
      <c r="AB682" s="9">
        <f t="shared" si="87"/>
        <v>10636.001345360677</v>
      </c>
    </row>
    <row r="683" spans="1:28" x14ac:dyDescent="0.3">
      <c r="A683" s="1">
        <v>45405</v>
      </c>
      <c r="B683" s="2">
        <v>70.73</v>
      </c>
      <c r="C683" s="2">
        <v>77.3</v>
      </c>
      <c r="D683" s="9">
        <f>B683-B682</f>
        <v>0.71999999999999886</v>
      </c>
      <c r="E683" s="9">
        <f>C683-C682</f>
        <v>0.75</v>
      </c>
      <c r="F683" s="3">
        <f>F$1/B683</f>
        <v>1413.8272303124556</v>
      </c>
      <c r="G683" s="3">
        <f>F$1/C683</f>
        <v>1293.6610608020699</v>
      </c>
      <c r="H683" s="2">
        <f>D683*F682</f>
        <v>1028.4245107841718</v>
      </c>
      <c r="I683" s="2">
        <f>E683*G682</f>
        <v>979.75179621162636</v>
      </c>
      <c r="J683" s="2">
        <f>I683-H683</f>
        <v>-48.672714572545487</v>
      </c>
      <c r="K683" s="2">
        <f t="shared" si="85"/>
        <v>48.672714572545487</v>
      </c>
      <c r="L683" s="14">
        <f>C683/B683</f>
        <v>1.0928884490315283</v>
      </c>
      <c r="M683" s="14">
        <f t="shared" si="88"/>
        <v>1.0930690070494054</v>
      </c>
      <c r="N683" s="14">
        <f t="shared" si="92"/>
        <v>1.092962509059211</v>
      </c>
      <c r="O683" s="14">
        <f t="shared" si="84"/>
        <v>1.0916553741279433</v>
      </c>
      <c r="P683" s="14">
        <f t="shared" si="86"/>
        <v>1.0904508576395677</v>
      </c>
      <c r="Q683" s="4" t="str">
        <f t="shared" si="91"/>
        <v>OVER</v>
      </c>
      <c r="R683" s="4" t="str">
        <f t="shared" si="91"/>
        <v>OVER</v>
      </c>
      <c r="S683" s="4" t="str">
        <f t="shared" si="89"/>
        <v>OVER</v>
      </c>
      <c r="T683" s="4" t="str">
        <f t="shared" si="89"/>
        <v>OVER</v>
      </c>
      <c r="U683" s="2">
        <f>IF(Q683="OVER",$J683,$K683)</f>
        <v>-48.672714572545487</v>
      </c>
      <c r="V683" s="2">
        <f>IF(R683="OVER",$J683,$K683)</f>
        <v>-48.672714572545487</v>
      </c>
      <c r="W683" s="2">
        <f>IF(S683="OVER",$J683,$K683)</f>
        <v>-48.672714572545487</v>
      </c>
      <c r="X683" s="2">
        <f>IF(T683="OVER",$J683,$K683)</f>
        <v>-48.672714572545487</v>
      </c>
      <c r="Y683" s="9">
        <f t="shared" si="90"/>
        <v>-25088.370699628023</v>
      </c>
      <c r="Z683" s="9">
        <f t="shared" si="90"/>
        <v>-24630.877581448556</v>
      </c>
      <c r="AA683" s="9">
        <f t="shared" si="90"/>
        <v>35473.413439831565</v>
      </c>
      <c r="AB683" s="9">
        <f t="shared" si="87"/>
        <v>10587.328630788132</v>
      </c>
    </row>
    <row r="684" spans="1:28" x14ac:dyDescent="0.3">
      <c r="A684" s="1">
        <v>45406</v>
      </c>
      <c r="B684" s="2">
        <v>70.63</v>
      </c>
      <c r="C684" s="2">
        <v>77.23</v>
      </c>
      <c r="D684" s="9">
        <f>B684-B683</f>
        <v>-0.10000000000000853</v>
      </c>
      <c r="E684" s="9">
        <f>C684-C683</f>
        <v>-6.9999999999993179E-2</v>
      </c>
      <c r="F684" s="3">
        <f>F$1/B684</f>
        <v>1415.8289678606825</v>
      </c>
      <c r="G684" s="3">
        <f>F$1/C684</f>
        <v>1294.8336138806162</v>
      </c>
      <c r="H684" s="2">
        <f>D684*F683</f>
        <v>-141.38272303125763</v>
      </c>
      <c r="I684" s="2">
        <f>E684*G683</f>
        <v>-90.556274256136064</v>
      </c>
      <c r="J684" s="2">
        <f>I684-H684</f>
        <v>50.826448775121563</v>
      </c>
      <c r="K684" s="2">
        <f t="shared" si="85"/>
        <v>-50.826448775121563</v>
      </c>
      <c r="L684" s="14">
        <f>C684/B684</f>
        <v>1.0934447118788051</v>
      </c>
      <c r="M684" s="14">
        <f t="shared" si="88"/>
        <v>1.093296035568766</v>
      </c>
      <c r="N684" s="14">
        <f t="shared" si="92"/>
        <v>1.0929487476763751</v>
      </c>
      <c r="O684" s="14">
        <f t="shared" si="84"/>
        <v>1.091727977194747</v>
      </c>
      <c r="P684" s="14">
        <f t="shared" si="86"/>
        <v>1.0904637296631257</v>
      </c>
      <c r="Q684" s="4" t="str">
        <f t="shared" si="91"/>
        <v>UNDER</v>
      </c>
      <c r="R684" s="4" t="str">
        <f t="shared" si="91"/>
        <v>UNDER</v>
      </c>
      <c r="S684" s="4" t="str">
        <f t="shared" si="89"/>
        <v>OVER</v>
      </c>
      <c r="T684" s="4" t="str">
        <f t="shared" si="89"/>
        <v>OVER</v>
      </c>
      <c r="U684" s="2">
        <f>IF(Q684="OVER",$J684,$K684)</f>
        <v>-50.826448775121563</v>
      </c>
      <c r="V684" s="2">
        <f>IF(R684="OVER",$J684,$K684)</f>
        <v>-50.826448775121563</v>
      </c>
      <c r="W684" s="2">
        <f>IF(S684="OVER",$J684,$K684)</f>
        <v>50.826448775121563</v>
      </c>
      <c r="X684" s="2">
        <f>IF(T684="OVER",$J684,$K684)</f>
        <v>50.826448775121563</v>
      </c>
      <c r="Y684" s="9">
        <f t="shared" si="90"/>
        <v>-25139.197148403146</v>
      </c>
      <c r="Z684" s="9">
        <f t="shared" si="90"/>
        <v>-24681.704030223678</v>
      </c>
      <c r="AA684" s="9">
        <f t="shared" si="90"/>
        <v>35524.239888606688</v>
      </c>
      <c r="AB684" s="9">
        <f t="shared" si="87"/>
        <v>10638.155079563254</v>
      </c>
    </row>
    <row r="685" spans="1:28" x14ac:dyDescent="0.3">
      <c r="A685" s="1">
        <v>45407</v>
      </c>
      <c r="B685" s="2">
        <v>70.430000000000007</v>
      </c>
      <c r="C685" s="2">
        <v>77.05</v>
      </c>
      <c r="D685" s="9">
        <f>B685-B684</f>
        <v>-0.19999999999998863</v>
      </c>
      <c r="E685" s="9">
        <f>C685-C684</f>
        <v>-0.18000000000000682</v>
      </c>
      <c r="F685" s="3">
        <f>F$1/B685</f>
        <v>1419.8494959534287</v>
      </c>
      <c r="G685" s="3">
        <f>F$1/C685</f>
        <v>1297.8585334198574</v>
      </c>
      <c r="H685" s="2">
        <f>D685*F684</f>
        <v>-283.16579357212038</v>
      </c>
      <c r="I685" s="2">
        <f>E685*G684</f>
        <v>-233.07005049851975</v>
      </c>
      <c r="J685" s="2">
        <f>I685-H685</f>
        <v>50.09574307360063</v>
      </c>
      <c r="K685" s="2">
        <f t="shared" si="85"/>
        <v>-50.09574307360063</v>
      </c>
      <c r="L685" s="14">
        <f>C685/B685</f>
        <v>1.0939940366321168</v>
      </c>
      <c r="M685" s="14">
        <f t="shared" si="88"/>
        <v>1.0934986019452526</v>
      </c>
      <c r="N685" s="14">
        <f t="shared" si="92"/>
        <v>1.092947711601449</v>
      </c>
      <c r="O685" s="14">
        <f t="shared" si="84"/>
        <v>1.0918161446015213</v>
      </c>
      <c r="P685" s="14">
        <f t="shared" si="86"/>
        <v>1.0904801193198217</v>
      </c>
      <c r="Q685" s="4" t="str">
        <f t="shared" si="91"/>
        <v>OVER</v>
      </c>
      <c r="R685" s="4" t="str">
        <f t="shared" si="91"/>
        <v>OVER</v>
      </c>
      <c r="S685" s="4" t="str">
        <f t="shared" si="89"/>
        <v>OVER</v>
      </c>
      <c r="T685" s="4" t="str">
        <f t="shared" si="89"/>
        <v>OVER</v>
      </c>
      <c r="U685" s="2">
        <f>IF(Q685="OVER",$J685,$K685)</f>
        <v>50.09574307360063</v>
      </c>
      <c r="V685" s="2">
        <f>IF(R685="OVER",$J685,$K685)</f>
        <v>50.09574307360063</v>
      </c>
      <c r="W685" s="2">
        <f>IF(S685="OVER",$J685,$K685)</f>
        <v>50.09574307360063</v>
      </c>
      <c r="X685" s="2">
        <f>IF(T685="OVER",$J685,$K685)</f>
        <v>50.09574307360063</v>
      </c>
      <c r="Y685" s="9">
        <f t="shared" si="90"/>
        <v>-25089.101405329544</v>
      </c>
      <c r="Z685" s="9">
        <f t="shared" si="90"/>
        <v>-24631.608287150077</v>
      </c>
      <c r="AA685" s="9">
        <f t="shared" si="90"/>
        <v>35574.335631680289</v>
      </c>
      <c r="AB685" s="9">
        <f t="shared" si="87"/>
        <v>10688.250822636854</v>
      </c>
    </row>
    <row r="686" spans="1:28" x14ac:dyDescent="0.3">
      <c r="A686" s="1">
        <v>45408</v>
      </c>
      <c r="B686" s="2">
        <v>70.73</v>
      </c>
      <c r="C686" s="2">
        <v>77.319999999999993</v>
      </c>
      <c r="D686" s="9">
        <f>B686-B685</f>
        <v>0.29999999999999716</v>
      </c>
      <c r="E686" s="9">
        <f>C686-C685</f>
        <v>0.26999999999999602</v>
      </c>
      <c r="F686" s="3">
        <f>F$1/B686</f>
        <v>1413.8272303124556</v>
      </c>
      <c r="G686" s="3">
        <f>F$1/C686</f>
        <v>1293.3264355923436</v>
      </c>
      <c r="H686" s="2">
        <f>D686*F685</f>
        <v>425.95484878602457</v>
      </c>
      <c r="I686" s="2">
        <f>E686*G685</f>
        <v>350.42180402335634</v>
      </c>
      <c r="J686" s="2">
        <f>I686-H686</f>
        <v>-75.533044762668226</v>
      </c>
      <c r="K686" s="2">
        <f t="shared" si="85"/>
        <v>75.533044762668226</v>
      </c>
      <c r="L686" s="14">
        <f>C686/B686</f>
        <v>1.0931712144775907</v>
      </c>
      <c r="M686" s="14">
        <f t="shared" si="88"/>
        <v>1.0935065405791955</v>
      </c>
      <c r="N686" s="14">
        <f t="shared" si="92"/>
        <v>1.0929581343187569</v>
      </c>
      <c r="O686" s="14">
        <f t="shared" si="84"/>
        <v>1.091906854248117</v>
      </c>
      <c r="P686" s="14">
        <f t="shared" si="86"/>
        <v>1.0904934196170049</v>
      </c>
      <c r="Q686" s="4" t="str">
        <f t="shared" si="91"/>
        <v>OVER</v>
      </c>
      <c r="R686" s="4" t="str">
        <f t="shared" si="91"/>
        <v>OVER</v>
      </c>
      <c r="S686" s="4" t="str">
        <f t="shared" si="89"/>
        <v>OVER</v>
      </c>
      <c r="T686" s="4" t="str">
        <f t="shared" si="89"/>
        <v>OVER</v>
      </c>
      <c r="U686" s="2">
        <f>IF(Q686="OVER",$J686,$K686)</f>
        <v>-75.533044762668226</v>
      </c>
      <c r="V686" s="2">
        <f>IF(R686="OVER",$J686,$K686)</f>
        <v>-75.533044762668226</v>
      </c>
      <c r="W686" s="2">
        <f>IF(S686="OVER",$J686,$K686)</f>
        <v>-75.533044762668226</v>
      </c>
      <c r="X686" s="2">
        <f>IF(T686="OVER",$J686,$K686)</f>
        <v>-75.533044762668226</v>
      </c>
      <c r="Y686" s="9">
        <f t="shared" si="90"/>
        <v>-25164.634450092213</v>
      </c>
      <c r="Z686" s="9">
        <f t="shared" si="90"/>
        <v>-24707.141331912746</v>
      </c>
      <c r="AA686" s="9">
        <f t="shared" si="90"/>
        <v>35498.80258691762</v>
      </c>
      <c r="AB686" s="9">
        <f t="shared" si="87"/>
        <v>10612.717777874186</v>
      </c>
    </row>
    <row r="687" spans="1:28" x14ac:dyDescent="0.3">
      <c r="A687" s="1">
        <v>45411</v>
      </c>
      <c r="B687" s="2">
        <v>70.930000000000007</v>
      </c>
      <c r="C687" s="2">
        <v>77.55</v>
      </c>
      <c r="D687" s="9">
        <f>B687-B686</f>
        <v>0.20000000000000284</v>
      </c>
      <c r="E687" s="9">
        <f>C687-C686</f>
        <v>0.23000000000000398</v>
      </c>
      <c r="F687" s="3">
        <f>F$1/B687</f>
        <v>1409.8406880022555</v>
      </c>
      <c r="G687" s="3">
        <f>F$1/C687</f>
        <v>1289.4906511927788</v>
      </c>
      <c r="H687" s="2">
        <f>D687*F686</f>
        <v>282.76544606249513</v>
      </c>
      <c r="I687" s="2">
        <f>E687*G686</f>
        <v>297.46508018624417</v>
      </c>
      <c r="J687" s="2">
        <f>I687-H687</f>
        <v>14.699634123749036</v>
      </c>
      <c r="K687" s="2">
        <f t="shared" si="85"/>
        <v>-14.699634123749036</v>
      </c>
      <c r="L687" s="14">
        <f>C687/B687</f>
        <v>1.0933314535457492</v>
      </c>
      <c r="M687" s="14">
        <f t="shared" si="88"/>
        <v>1.0935294389851471</v>
      </c>
      <c r="N687" s="14">
        <f t="shared" si="92"/>
        <v>1.0929462238962917</v>
      </c>
      <c r="O687" s="14">
        <f t="shared" si="84"/>
        <v>1.0919981059474768</v>
      </c>
      <c r="P687" s="14">
        <f t="shared" si="86"/>
        <v>1.0905099296403078</v>
      </c>
      <c r="Q687" s="4" t="str">
        <f t="shared" si="91"/>
        <v>UNDER</v>
      </c>
      <c r="R687" s="4" t="str">
        <f t="shared" si="91"/>
        <v>OVER</v>
      </c>
      <c r="S687" s="4" t="str">
        <f t="shared" si="89"/>
        <v>OVER</v>
      </c>
      <c r="T687" s="4" t="str">
        <f t="shared" si="89"/>
        <v>OVER</v>
      </c>
      <c r="U687" s="2">
        <f>IF(Q687="OVER",$J687,$K687)</f>
        <v>-14.699634123749036</v>
      </c>
      <c r="V687" s="2">
        <f>IF(R687="OVER",$J687,$K687)</f>
        <v>14.699634123749036</v>
      </c>
      <c r="W687" s="2">
        <f>IF(S687="OVER",$J687,$K687)</f>
        <v>14.699634123749036</v>
      </c>
      <c r="X687" s="2">
        <f>IF(T687="OVER",$J687,$K687)</f>
        <v>14.699634123749036</v>
      </c>
      <c r="Y687" s="9">
        <f t="shared" si="90"/>
        <v>-25179.334084215963</v>
      </c>
      <c r="Z687" s="9">
        <f t="shared" si="90"/>
        <v>-24692.441697788996</v>
      </c>
      <c r="AA687" s="9">
        <f t="shared" si="90"/>
        <v>35513.502221041366</v>
      </c>
      <c r="AB687" s="9">
        <f t="shared" si="87"/>
        <v>10627.417411997934</v>
      </c>
    </row>
    <row r="688" spans="1:28" x14ac:dyDescent="0.3">
      <c r="A688" s="1">
        <v>45412</v>
      </c>
      <c r="B688" s="2">
        <v>70.260000000000005</v>
      </c>
      <c r="C688" s="2">
        <v>77.040000000000006</v>
      </c>
      <c r="D688" s="9">
        <f>B688-B687</f>
        <v>-0.67000000000000171</v>
      </c>
      <c r="E688" s="9">
        <f>C688-C687</f>
        <v>-0.50999999999999091</v>
      </c>
      <c r="F688" s="3">
        <f>F$1/B688</f>
        <v>1423.2849416453173</v>
      </c>
      <c r="G688" s="3">
        <f>F$1/C688</f>
        <v>1298.0269989615783</v>
      </c>
      <c r="H688" s="2">
        <f>D688*F687</f>
        <v>-944.59326096151358</v>
      </c>
      <c r="I688" s="2">
        <f>E688*G687</f>
        <v>-657.64023210830544</v>
      </c>
      <c r="J688" s="2">
        <f>I688-H688</f>
        <v>286.95302885320814</v>
      </c>
      <c r="K688" s="2">
        <f t="shared" si="85"/>
        <v>-286.95302885320814</v>
      </c>
      <c r="L688" s="14">
        <f>C688/B688</f>
        <v>1.0964987190435525</v>
      </c>
      <c r="M688" s="14">
        <f t="shared" si="88"/>
        <v>1.0937980733645523</v>
      </c>
      <c r="N688" s="14">
        <f t="shared" si="92"/>
        <v>1.0931658966905744</v>
      </c>
      <c r="O688" s="14">
        <f t="shared" si="84"/>
        <v>1.0921425150384021</v>
      </c>
      <c r="P688" s="14">
        <f t="shared" si="86"/>
        <v>1.0905364683377101</v>
      </c>
      <c r="Q688" s="4" t="str">
        <f t="shared" si="91"/>
        <v>UNDER</v>
      </c>
      <c r="R688" s="4" t="str">
        <f t="shared" si="91"/>
        <v>OVER</v>
      </c>
      <c r="S688" s="4" t="str">
        <f t="shared" si="89"/>
        <v>OVER</v>
      </c>
      <c r="T688" s="4" t="str">
        <f t="shared" si="89"/>
        <v>OVER</v>
      </c>
      <c r="U688" s="2">
        <f>IF(Q688="OVER",$J688,$K688)</f>
        <v>-286.95302885320814</v>
      </c>
      <c r="V688" s="2">
        <f>IF(R688="OVER",$J688,$K688)</f>
        <v>286.95302885320814</v>
      </c>
      <c r="W688" s="2">
        <f>IF(S688="OVER",$J688,$K688)</f>
        <v>286.95302885320814</v>
      </c>
      <c r="X688" s="2">
        <f>IF(T688="OVER",$J688,$K688)</f>
        <v>286.95302885320814</v>
      </c>
      <c r="Y688" s="9">
        <f t="shared" si="90"/>
        <v>-25466.287113069171</v>
      </c>
      <c r="Z688" s="9">
        <f t="shared" si="90"/>
        <v>-24405.488668935788</v>
      </c>
      <c r="AA688" s="9">
        <f t="shared" si="90"/>
        <v>35800.455249894578</v>
      </c>
      <c r="AB688" s="9">
        <f t="shared" si="87"/>
        <v>10914.370440851142</v>
      </c>
    </row>
    <row r="689" spans="1:28" x14ac:dyDescent="0.3">
      <c r="A689" s="1">
        <v>45413</v>
      </c>
      <c r="B689" s="2">
        <v>69.97</v>
      </c>
      <c r="C689" s="2">
        <v>76.7</v>
      </c>
      <c r="D689" s="9">
        <f>B689-B688</f>
        <v>-0.29000000000000625</v>
      </c>
      <c r="E689" s="9">
        <f>C689-C688</f>
        <v>-0.34000000000000341</v>
      </c>
      <c r="F689" s="3">
        <f>F$1/B689</f>
        <v>1429.1839359725598</v>
      </c>
      <c r="G689" s="3">
        <f>F$1/C689</f>
        <v>1303.7809647979138</v>
      </c>
      <c r="H689" s="2">
        <f>D689*F688</f>
        <v>-412.7526330771509</v>
      </c>
      <c r="I689" s="2">
        <f>E689*G688</f>
        <v>-441.32917964694104</v>
      </c>
      <c r="J689" s="2">
        <f>I689-H689</f>
        <v>-28.576546569790139</v>
      </c>
      <c r="K689" s="2">
        <f t="shared" si="85"/>
        <v>28.576546569790139</v>
      </c>
      <c r="L689" s="14">
        <f>C689/B689</f>
        <v>1.0961840788909534</v>
      </c>
      <c r="M689" s="14">
        <f t="shared" si="88"/>
        <v>1.0939749728976984</v>
      </c>
      <c r="N689" s="14">
        <f t="shared" si="92"/>
        <v>1.0933252251853571</v>
      </c>
      <c r="O689" s="14">
        <f t="shared" si="84"/>
        <v>1.0922754437177715</v>
      </c>
      <c r="P689" s="14">
        <f t="shared" si="86"/>
        <v>1.0905719341867104</v>
      </c>
      <c r="Q689" s="4" t="str">
        <f t="shared" si="91"/>
        <v>OVER</v>
      </c>
      <c r="R689" s="4" t="str">
        <f t="shared" si="91"/>
        <v>OVER</v>
      </c>
      <c r="S689" s="4" t="str">
        <f t="shared" si="89"/>
        <v>OVER</v>
      </c>
      <c r="T689" s="4" t="str">
        <f t="shared" si="89"/>
        <v>OVER</v>
      </c>
      <c r="U689" s="2">
        <f>IF(Q689="OVER",$J689,$K689)</f>
        <v>-28.576546569790139</v>
      </c>
      <c r="V689" s="2">
        <f>IF(R689="OVER",$J689,$K689)</f>
        <v>-28.576546569790139</v>
      </c>
      <c r="W689" s="2">
        <f>IF(S689="OVER",$J689,$K689)</f>
        <v>-28.576546569790139</v>
      </c>
      <c r="X689" s="2">
        <f>IF(T689="OVER",$J689,$K689)</f>
        <v>-28.576546569790139</v>
      </c>
      <c r="Y689" s="9">
        <f t="shared" si="90"/>
        <v>-25494.863659638962</v>
      </c>
      <c r="Z689" s="9">
        <f t="shared" si="90"/>
        <v>-24434.06521550558</v>
      </c>
      <c r="AA689" s="9">
        <f t="shared" si="90"/>
        <v>35771.878703324786</v>
      </c>
      <c r="AB689" s="9">
        <f t="shared" si="87"/>
        <v>10885.793894281353</v>
      </c>
    </row>
    <row r="690" spans="1:28" x14ac:dyDescent="0.3">
      <c r="A690" s="1">
        <v>45414</v>
      </c>
      <c r="B690" s="2">
        <v>70.569999999999993</v>
      </c>
      <c r="C690" s="2">
        <v>77.2</v>
      </c>
      <c r="D690" s="9">
        <f>B690-B689</f>
        <v>0.59999999999999432</v>
      </c>
      <c r="E690" s="9">
        <f>C690-C689</f>
        <v>0.5</v>
      </c>
      <c r="F690" s="3">
        <f>F$1/B690</f>
        <v>1417.032733456143</v>
      </c>
      <c r="G690" s="3">
        <f>F$1/C690</f>
        <v>1295.3367875647668</v>
      </c>
      <c r="H690" s="2">
        <f>D690*F689</f>
        <v>857.5103615835277</v>
      </c>
      <c r="I690" s="2">
        <f>E690*G689</f>
        <v>651.89048239895692</v>
      </c>
      <c r="J690" s="2">
        <f>I690-H690</f>
        <v>-205.61987918457078</v>
      </c>
      <c r="K690" s="2">
        <f t="shared" si="85"/>
        <v>205.61987918457078</v>
      </c>
      <c r="L690" s="14">
        <f>C690/B690</f>
        <v>1.0939492702281424</v>
      </c>
      <c r="M690" s="14">
        <f t="shared" si="88"/>
        <v>1.0940698999205127</v>
      </c>
      <c r="N690" s="14">
        <f t="shared" si="92"/>
        <v>1.093402066128671</v>
      </c>
      <c r="O690" s="14">
        <f t="shared" si="84"/>
        <v>1.0923624970628867</v>
      </c>
      <c r="P690" s="14">
        <f t="shared" si="86"/>
        <v>1.0905913244423335</v>
      </c>
      <c r="Q690" s="4" t="str">
        <f t="shared" si="91"/>
        <v>OVER</v>
      </c>
      <c r="R690" s="4" t="str">
        <f t="shared" si="91"/>
        <v>OVER</v>
      </c>
      <c r="S690" s="4" t="str">
        <f t="shared" si="89"/>
        <v>OVER</v>
      </c>
      <c r="T690" s="4" t="str">
        <f t="shared" si="89"/>
        <v>OVER</v>
      </c>
      <c r="U690" s="2">
        <f>IF(Q690="OVER",$J690,$K690)</f>
        <v>-205.61987918457078</v>
      </c>
      <c r="V690" s="2">
        <f>IF(R690="OVER",$J690,$K690)</f>
        <v>-205.61987918457078</v>
      </c>
      <c r="W690" s="2">
        <f>IF(S690="OVER",$J690,$K690)</f>
        <v>-205.61987918457078</v>
      </c>
      <c r="X690" s="2">
        <f>IF(T690="OVER",$J690,$K690)</f>
        <v>-205.61987918457078</v>
      </c>
      <c r="Y690" s="9">
        <f t="shared" si="90"/>
        <v>-25700.483538823533</v>
      </c>
      <c r="Z690" s="9">
        <f t="shared" si="90"/>
        <v>-24639.68509469015</v>
      </c>
      <c r="AA690" s="9">
        <f t="shared" si="90"/>
        <v>35566.258824140219</v>
      </c>
      <c r="AB690" s="9">
        <f t="shared" si="87"/>
        <v>10680.174015096782</v>
      </c>
    </row>
    <row r="691" spans="1:28" x14ac:dyDescent="0.3">
      <c r="A691" s="1">
        <v>45415</v>
      </c>
      <c r="B691" s="2">
        <v>71.19</v>
      </c>
      <c r="C691" s="2">
        <v>77.87</v>
      </c>
      <c r="D691" s="9">
        <f>B691-B690</f>
        <v>0.62000000000000455</v>
      </c>
      <c r="E691" s="9">
        <f>C691-C690</f>
        <v>0.67000000000000171</v>
      </c>
      <c r="F691" s="3">
        <f>F$1/B691</f>
        <v>1404.691670178396</v>
      </c>
      <c r="G691" s="3">
        <f>F$1/C691</f>
        <v>1284.1916013869268</v>
      </c>
      <c r="H691" s="2">
        <f>D691*F690</f>
        <v>878.56029474281513</v>
      </c>
      <c r="I691" s="2">
        <f>E691*G690</f>
        <v>867.87564766839603</v>
      </c>
      <c r="J691" s="2">
        <f>I691-H691</f>
        <v>-10.684647074419104</v>
      </c>
      <c r="K691" s="2">
        <f t="shared" si="85"/>
        <v>10.684647074419104</v>
      </c>
      <c r="L691" s="14">
        <f>C691/B691</f>
        <v>1.0938334035679169</v>
      </c>
      <c r="M691" s="14">
        <f t="shared" si="88"/>
        <v>1.0940710563692584</v>
      </c>
      <c r="N691" s="14">
        <f t="shared" si="92"/>
        <v>1.0934782449133968</v>
      </c>
      <c r="O691" s="14">
        <f t="shared" si="84"/>
        <v>1.0924351215883663</v>
      </c>
      <c r="P691" s="14">
        <f t="shared" si="86"/>
        <v>1.0906055654205418</v>
      </c>
      <c r="Q691" s="4" t="str">
        <f t="shared" si="91"/>
        <v>UNDER</v>
      </c>
      <c r="R691" s="4" t="str">
        <f t="shared" si="91"/>
        <v>OVER</v>
      </c>
      <c r="S691" s="4" t="str">
        <f t="shared" si="89"/>
        <v>OVER</v>
      </c>
      <c r="T691" s="4" t="str">
        <f t="shared" si="89"/>
        <v>OVER</v>
      </c>
      <c r="U691" s="2">
        <f>IF(Q691="OVER",$J691,$K691)</f>
        <v>10.684647074419104</v>
      </c>
      <c r="V691" s="2">
        <f>IF(R691="OVER",$J691,$K691)</f>
        <v>-10.684647074419104</v>
      </c>
      <c r="W691" s="2">
        <f>IF(S691="OVER",$J691,$K691)</f>
        <v>-10.684647074419104</v>
      </c>
      <c r="X691" s="2">
        <f>IF(T691="OVER",$J691,$K691)</f>
        <v>-10.684647074419104</v>
      </c>
      <c r="Y691" s="9">
        <f t="shared" si="90"/>
        <v>-25689.798891749113</v>
      </c>
      <c r="Z691" s="9">
        <f t="shared" si="90"/>
        <v>-24650.369741764571</v>
      </c>
      <c r="AA691" s="9">
        <f t="shared" si="90"/>
        <v>35555.574177065799</v>
      </c>
      <c r="AB691" s="9">
        <f t="shared" si="87"/>
        <v>10669.489368022363</v>
      </c>
    </row>
    <row r="692" spans="1:28" x14ac:dyDescent="0.3">
      <c r="A692" s="1">
        <v>45418</v>
      </c>
      <c r="B692" s="2">
        <v>71.83</v>
      </c>
      <c r="C692" s="2">
        <v>78.42</v>
      </c>
      <c r="D692" s="9">
        <f>B692-B691</f>
        <v>0.64000000000000057</v>
      </c>
      <c r="E692" s="9">
        <f>C692-C691</f>
        <v>0.54999999999999716</v>
      </c>
      <c r="F692" s="3">
        <f>F$1/B692</f>
        <v>1392.1759710427398</v>
      </c>
      <c r="G692" s="3">
        <f>F$1/C692</f>
        <v>1275.1849018107625</v>
      </c>
      <c r="H692" s="2">
        <f>D692*F691</f>
        <v>899.00266891417425</v>
      </c>
      <c r="I692" s="2">
        <f>E692*G691</f>
        <v>706.30538076280607</v>
      </c>
      <c r="J692" s="2">
        <f>I692-H692</f>
        <v>-192.69728815136818</v>
      </c>
      <c r="K692" s="2">
        <f t="shared" si="85"/>
        <v>192.69728815136818</v>
      </c>
      <c r="L692" s="14">
        <f>C692/B692</f>
        <v>1.0917443964917166</v>
      </c>
      <c r="M692" s="14">
        <f t="shared" si="88"/>
        <v>1.0939039733788072</v>
      </c>
      <c r="N692" s="14">
        <f t="shared" si="92"/>
        <v>1.0934734868679965</v>
      </c>
      <c r="O692" s="14">
        <f t="shared" si="84"/>
        <v>1.0924792593771968</v>
      </c>
      <c r="P692" s="14">
        <f t="shared" si="86"/>
        <v>1.0906197804399955</v>
      </c>
      <c r="Q692" s="4" t="str">
        <f t="shared" si="91"/>
        <v>UNDER</v>
      </c>
      <c r="R692" s="4" t="str">
        <f t="shared" si="91"/>
        <v>OVER</v>
      </c>
      <c r="S692" s="4" t="str">
        <f t="shared" si="89"/>
        <v>UNDER</v>
      </c>
      <c r="T692" s="4" t="str">
        <f t="shared" si="89"/>
        <v>OVER</v>
      </c>
      <c r="U692" s="2">
        <f>IF(Q692="OVER",$J692,$K692)</f>
        <v>192.69728815136818</v>
      </c>
      <c r="V692" s="2">
        <f>IF(R692="OVER",$J692,$K692)</f>
        <v>-192.69728815136818</v>
      </c>
      <c r="W692" s="2">
        <f>IF(S692="OVER",$J692,$K692)</f>
        <v>192.69728815136818</v>
      </c>
      <c r="X692" s="2">
        <f>IF(T692="OVER",$J692,$K692)</f>
        <v>-192.69728815136818</v>
      </c>
      <c r="Y692" s="9">
        <f t="shared" si="90"/>
        <v>-25497.101603597745</v>
      </c>
      <c r="Z692" s="9">
        <f t="shared" si="90"/>
        <v>-24843.067029915939</v>
      </c>
      <c r="AA692" s="9">
        <f t="shared" si="90"/>
        <v>35748.271465217163</v>
      </c>
      <c r="AB692" s="9">
        <f t="shared" si="87"/>
        <v>10476.792079870995</v>
      </c>
    </row>
    <row r="693" spans="1:28" x14ac:dyDescent="0.3">
      <c r="A693" s="1">
        <v>45419</v>
      </c>
      <c r="B693" s="2">
        <v>71.64</v>
      </c>
      <c r="C693" s="2">
        <v>78.38</v>
      </c>
      <c r="D693" s="9">
        <f>B693-B692</f>
        <v>-0.18999999999999773</v>
      </c>
      <c r="E693" s="9">
        <f>C693-C692</f>
        <v>-4.0000000000006253E-2</v>
      </c>
      <c r="F693" s="3">
        <f>F$1/B693</f>
        <v>1395.8682300390842</v>
      </c>
      <c r="G693" s="3">
        <f>F$1/C693</f>
        <v>1275.8356723653994</v>
      </c>
      <c r="H693" s="2">
        <f>D693*F692</f>
        <v>-264.51343449811742</v>
      </c>
      <c r="I693" s="2">
        <f>E693*G692</f>
        <v>-51.007396072438475</v>
      </c>
      <c r="J693" s="2">
        <f>I693-H693</f>
        <v>213.50603842567895</v>
      </c>
      <c r="K693" s="2">
        <f t="shared" si="85"/>
        <v>-213.50603842567895</v>
      </c>
      <c r="L693" s="14">
        <f>C693/B693</f>
        <v>1.0940815187046342</v>
      </c>
      <c r="M693" s="14">
        <f t="shared" si="88"/>
        <v>1.0940232803461176</v>
      </c>
      <c r="N693" s="14">
        <f t="shared" si="92"/>
        <v>1.0935461436977616</v>
      </c>
      <c r="O693" s="14">
        <f t="shared" ref="O693:O756" si="93">AVERAGE(L644:L693)</f>
        <v>1.0925559979885682</v>
      </c>
      <c r="P693" s="14">
        <f t="shared" si="86"/>
        <v>1.0906471322829219</v>
      </c>
      <c r="Q693" s="4" t="str">
        <f t="shared" si="91"/>
        <v>UNDER</v>
      </c>
      <c r="R693" s="4" t="str">
        <f t="shared" si="91"/>
        <v>UNDER</v>
      </c>
      <c r="S693" s="4" t="str">
        <f t="shared" si="89"/>
        <v>OVER</v>
      </c>
      <c r="T693" s="4" t="str">
        <f t="shared" si="89"/>
        <v>OVER</v>
      </c>
      <c r="U693" s="2">
        <f>IF(Q693="OVER",$J693,$K693)</f>
        <v>-213.50603842567895</v>
      </c>
      <c r="V693" s="2">
        <f>IF(R693="OVER",$J693,$K693)</f>
        <v>-213.50603842567895</v>
      </c>
      <c r="W693" s="2">
        <f>IF(S693="OVER",$J693,$K693)</f>
        <v>213.50603842567895</v>
      </c>
      <c r="X693" s="2">
        <f>IF(T693="OVER",$J693,$K693)</f>
        <v>213.50603842567895</v>
      </c>
      <c r="Y693" s="9">
        <f t="shared" si="90"/>
        <v>-25710.607642023424</v>
      </c>
      <c r="Z693" s="9">
        <f t="shared" si="90"/>
        <v>-25056.573068341619</v>
      </c>
      <c r="AA693" s="9">
        <f t="shared" si="90"/>
        <v>35961.777503642843</v>
      </c>
      <c r="AB693" s="9">
        <f t="shared" si="87"/>
        <v>10690.298118296674</v>
      </c>
    </row>
    <row r="694" spans="1:28" x14ac:dyDescent="0.3">
      <c r="A694" s="1">
        <v>45420</v>
      </c>
      <c r="B694" s="2">
        <v>71.3</v>
      </c>
      <c r="C694" s="2">
        <v>78.13</v>
      </c>
      <c r="D694" s="9">
        <f>B694-B693</f>
        <v>-0.34000000000000341</v>
      </c>
      <c r="E694" s="9">
        <f>C694-C693</f>
        <v>-0.25</v>
      </c>
      <c r="F694" s="3">
        <f>F$1/B694</f>
        <v>1402.5245441795232</v>
      </c>
      <c r="G694" s="3">
        <f>F$1/C694</f>
        <v>1279.9180852425445</v>
      </c>
      <c r="H694" s="2">
        <f>D694*F693</f>
        <v>-474.59519821329337</v>
      </c>
      <c r="I694" s="2">
        <f>E694*G693</f>
        <v>-318.95891809134986</v>
      </c>
      <c r="J694" s="2">
        <f>I694-H694</f>
        <v>155.63628012194351</v>
      </c>
      <c r="K694" s="2">
        <f t="shared" si="85"/>
        <v>-155.63628012194351</v>
      </c>
      <c r="L694" s="14">
        <f>C694/B694</f>
        <v>1.0957924263674614</v>
      </c>
      <c r="M694" s="14">
        <f t="shared" si="88"/>
        <v>1.0942580517949834</v>
      </c>
      <c r="N694" s="14">
        <f t="shared" si="92"/>
        <v>1.0937770436818746</v>
      </c>
      <c r="O694" s="14">
        <f t="shared" si="93"/>
        <v>1.0926493447688872</v>
      </c>
      <c r="P694" s="14">
        <f t="shared" si="86"/>
        <v>1.0906844429613118</v>
      </c>
      <c r="Q694" s="4" t="str">
        <f t="shared" si="91"/>
        <v>OVER</v>
      </c>
      <c r="R694" s="4" t="str">
        <f t="shared" si="91"/>
        <v>OVER</v>
      </c>
      <c r="S694" s="4" t="str">
        <f t="shared" si="89"/>
        <v>OVER</v>
      </c>
      <c r="T694" s="4" t="str">
        <f t="shared" si="89"/>
        <v>OVER</v>
      </c>
      <c r="U694" s="2">
        <f>IF(Q694="OVER",$J694,$K694)</f>
        <v>155.63628012194351</v>
      </c>
      <c r="V694" s="2">
        <f>IF(R694="OVER",$J694,$K694)</f>
        <v>155.63628012194351</v>
      </c>
      <c r="W694" s="2">
        <f>IF(S694="OVER",$J694,$K694)</f>
        <v>155.63628012194351</v>
      </c>
      <c r="X694" s="2">
        <f>IF(T694="OVER",$J694,$K694)</f>
        <v>155.63628012194351</v>
      </c>
      <c r="Y694" s="9">
        <f t="shared" si="90"/>
        <v>-25554.97136190148</v>
      </c>
      <c r="Z694" s="9">
        <f t="shared" si="90"/>
        <v>-24900.936788219675</v>
      </c>
      <c r="AA694" s="9">
        <f t="shared" si="90"/>
        <v>36117.413783764787</v>
      </c>
      <c r="AB694" s="9">
        <f t="shared" si="87"/>
        <v>10845.934398418618</v>
      </c>
    </row>
    <row r="695" spans="1:28" x14ac:dyDescent="0.3">
      <c r="A695" s="1">
        <v>45421</v>
      </c>
      <c r="B695" s="2">
        <v>71.69</v>
      </c>
      <c r="C695" s="2">
        <v>78.260000000000005</v>
      </c>
      <c r="D695" s="9">
        <f>B695-B694</f>
        <v>0.39000000000000057</v>
      </c>
      <c r="E695" s="9">
        <f>C695-C694</f>
        <v>0.13000000000000966</v>
      </c>
      <c r="F695" s="3">
        <f>F$1/B695</f>
        <v>1394.8946854512485</v>
      </c>
      <c r="G695" s="3">
        <f>F$1/C695</f>
        <v>1277.791975466394</v>
      </c>
      <c r="H695" s="2">
        <f>D695*F694</f>
        <v>546.98457223001481</v>
      </c>
      <c r="I695" s="2">
        <f>E695*G694</f>
        <v>166.38935108154317</v>
      </c>
      <c r="J695" s="2">
        <f>I695-H695</f>
        <v>-380.59522114847164</v>
      </c>
      <c r="K695" s="2">
        <f t="shared" si="85"/>
        <v>380.59522114847164</v>
      </c>
      <c r="L695" s="14">
        <f>C695/B695</f>
        <v>1.0916445808341471</v>
      </c>
      <c r="M695" s="14">
        <f t="shared" si="88"/>
        <v>1.0940231062151864</v>
      </c>
      <c r="N695" s="14">
        <f t="shared" si="92"/>
        <v>1.0937608540802193</v>
      </c>
      <c r="O695" s="14">
        <f t="shared" si="93"/>
        <v>1.092672193022862</v>
      </c>
      <c r="P695" s="14">
        <f t="shared" si="86"/>
        <v>1.0906990325649069</v>
      </c>
      <c r="Q695" s="4" t="str">
        <f t="shared" si="91"/>
        <v>OVER</v>
      </c>
      <c r="R695" s="4" t="str">
        <f t="shared" si="91"/>
        <v>OVER</v>
      </c>
      <c r="S695" s="4" t="str">
        <f t="shared" si="89"/>
        <v>UNDER</v>
      </c>
      <c r="T695" s="4" t="str">
        <f t="shared" si="89"/>
        <v>OVER</v>
      </c>
      <c r="U695" s="2">
        <f>IF(Q695="OVER",$J695,$K695)</f>
        <v>-380.59522114847164</v>
      </c>
      <c r="V695" s="2">
        <f>IF(R695="OVER",$J695,$K695)</f>
        <v>-380.59522114847164</v>
      </c>
      <c r="W695" s="2">
        <f>IF(S695="OVER",$J695,$K695)</f>
        <v>380.59522114847164</v>
      </c>
      <c r="X695" s="2">
        <f>IF(T695="OVER",$J695,$K695)</f>
        <v>-380.59522114847164</v>
      </c>
      <c r="Y695" s="9">
        <f t="shared" si="90"/>
        <v>-25935.566583049953</v>
      </c>
      <c r="Z695" s="9">
        <f t="shared" si="90"/>
        <v>-25281.532009368148</v>
      </c>
      <c r="AA695" s="9">
        <f t="shared" si="90"/>
        <v>36498.009004913256</v>
      </c>
      <c r="AB695" s="9">
        <f t="shared" si="87"/>
        <v>10465.339177270147</v>
      </c>
    </row>
    <row r="696" spans="1:28" x14ac:dyDescent="0.3">
      <c r="A696" s="1">
        <v>45422</v>
      </c>
      <c r="B696" s="2">
        <v>71.459999999999994</v>
      </c>
      <c r="C696" s="2">
        <v>78.13</v>
      </c>
      <c r="D696" s="9">
        <f>B696-B695</f>
        <v>-0.23000000000000398</v>
      </c>
      <c r="E696" s="9">
        <f>C696-C695</f>
        <v>-0.13000000000000966</v>
      </c>
      <c r="F696" s="3">
        <f>F$1/B696</f>
        <v>1399.384270920795</v>
      </c>
      <c r="G696" s="3">
        <f>F$1/C696</f>
        <v>1279.9180852425445</v>
      </c>
      <c r="H696" s="2">
        <f>D696*F695</f>
        <v>-320.82577765379273</v>
      </c>
      <c r="I696" s="2">
        <f>E696*G695</f>
        <v>-166.11295681064357</v>
      </c>
      <c r="J696" s="2">
        <f>I696-H696</f>
        <v>154.71282084314916</v>
      </c>
      <c r="K696" s="2">
        <f t="shared" si="85"/>
        <v>-154.71282084314916</v>
      </c>
      <c r="L696" s="14">
        <f>C696/B696</f>
        <v>1.0933389308704171</v>
      </c>
      <c r="M696" s="14">
        <f t="shared" si="88"/>
        <v>1.0940398778544691</v>
      </c>
      <c r="N696" s="14">
        <f t="shared" si="92"/>
        <v>1.0937732092168322</v>
      </c>
      <c r="O696" s="14">
        <f t="shared" si="93"/>
        <v>1.0927281457474134</v>
      </c>
      <c r="P696" s="14">
        <f t="shared" si="86"/>
        <v>1.0907181335613385</v>
      </c>
      <c r="Q696" s="4" t="str">
        <f t="shared" si="91"/>
        <v>UNDER</v>
      </c>
      <c r="R696" s="4" t="str">
        <f t="shared" si="91"/>
        <v>UNDER</v>
      </c>
      <c r="S696" s="4" t="str">
        <f t="shared" si="89"/>
        <v>OVER</v>
      </c>
      <c r="T696" s="4" t="str">
        <f t="shared" si="89"/>
        <v>OVER</v>
      </c>
      <c r="U696" s="2">
        <f>IF(Q696="OVER",$J696,$K696)</f>
        <v>-154.71282084314916</v>
      </c>
      <c r="V696" s="2">
        <f>IF(R696="OVER",$J696,$K696)</f>
        <v>-154.71282084314916</v>
      </c>
      <c r="W696" s="2">
        <f>IF(S696="OVER",$J696,$K696)</f>
        <v>154.71282084314916</v>
      </c>
      <c r="X696" s="2">
        <f>IF(T696="OVER",$J696,$K696)</f>
        <v>154.71282084314916</v>
      </c>
      <c r="Y696" s="9">
        <f t="shared" si="90"/>
        <v>-26090.279403893102</v>
      </c>
      <c r="Z696" s="9">
        <f t="shared" si="90"/>
        <v>-25436.244830211297</v>
      </c>
      <c r="AA696" s="9">
        <f t="shared" si="90"/>
        <v>36652.721825756402</v>
      </c>
      <c r="AB696" s="9">
        <f t="shared" si="87"/>
        <v>10620.051998113297</v>
      </c>
    </row>
    <row r="697" spans="1:28" x14ac:dyDescent="0.3">
      <c r="A697" s="1">
        <v>45425</v>
      </c>
      <c r="B697" s="2">
        <v>71.59</v>
      </c>
      <c r="C697" s="2">
        <v>78.23</v>
      </c>
      <c r="D697" s="9">
        <f>B697-B696</f>
        <v>0.13000000000000966</v>
      </c>
      <c r="E697" s="9">
        <f>C697-C696</f>
        <v>0.10000000000000853</v>
      </c>
      <c r="F697" s="3">
        <f>F$1/B697</f>
        <v>1396.8431345159938</v>
      </c>
      <c r="G697" s="3">
        <f>F$1/C697</f>
        <v>1278.2819890067749</v>
      </c>
      <c r="H697" s="2">
        <f>D697*F696</f>
        <v>181.91995521971685</v>
      </c>
      <c r="I697" s="2">
        <f>E697*G696</f>
        <v>127.99180852426537</v>
      </c>
      <c r="J697" s="2">
        <f>I697-H697</f>
        <v>-53.928146695451488</v>
      </c>
      <c r="K697" s="2">
        <f t="shared" si="85"/>
        <v>53.928146695451488</v>
      </c>
      <c r="L697" s="14">
        <f>C697/B697</f>
        <v>1.092750384131862</v>
      </c>
      <c r="M697" s="14">
        <f t="shared" si="88"/>
        <v>1.0939817709130804</v>
      </c>
      <c r="N697" s="14">
        <f t="shared" si="92"/>
        <v>1.0937556049491135</v>
      </c>
      <c r="O697" s="14">
        <f t="shared" si="93"/>
        <v>1.0927546137607438</v>
      </c>
      <c r="P697" s="14">
        <f t="shared" si="86"/>
        <v>1.0907371282687679</v>
      </c>
      <c r="Q697" s="4" t="str">
        <f t="shared" si="91"/>
        <v>UNDER</v>
      </c>
      <c r="R697" s="4" t="str">
        <f t="shared" si="91"/>
        <v>UNDER</v>
      </c>
      <c r="S697" s="4" t="str">
        <f t="shared" si="89"/>
        <v>UNDER</v>
      </c>
      <c r="T697" s="4" t="str">
        <f t="shared" si="89"/>
        <v>OVER</v>
      </c>
      <c r="U697" s="2">
        <f>IF(Q697="OVER",$J697,$K697)</f>
        <v>53.928146695451488</v>
      </c>
      <c r="V697" s="2">
        <f>IF(R697="OVER",$J697,$K697)</f>
        <v>53.928146695451488</v>
      </c>
      <c r="W697" s="2">
        <f>IF(S697="OVER",$J697,$K697)</f>
        <v>53.928146695451488</v>
      </c>
      <c r="X697" s="2">
        <f>IF(T697="OVER",$J697,$K697)</f>
        <v>-53.928146695451488</v>
      </c>
      <c r="Y697" s="9">
        <f t="shared" si="90"/>
        <v>-26036.35125719765</v>
      </c>
      <c r="Z697" s="9">
        <f t="shared" si="90"/>
        <v>-25382.316683515844</v>
      </c>
      <c r="AA697" s="9">
        <f t="shared" si="90"/>
        <v>36706.649972451851</v>
      </c>
      <c r="AB697" s="9">
        <f t="shared" si="87"/>
        <v>10566.123851417846</v>
      </c>
    </row>
    <row r="698" spans="1:28" x14ac:dyDescent="0.3">
      <c r="A698" s="1">
        <v>45426</v>
      </c>
      <c r="B698" s="2">
        <v>72.069999999999993</v>
      </c>
      <c r="C698" s="2">
        <v>78.63</v>
      </c>
      <c r="D698" s="9">
        <f>B698-B697</f>
        <v>0.47999999999998977</v>
      </c>
      <c r="E698" s="9">
        <f>C698-C697</f>
        <v>0.39999999999999147</v>
      </c>
      <c r="F698" s="3">
        <f>F$1/B698</f>
        <v>1387.5398917718885</v>
      </c>
      <c r="G698" s="3">
        <f>F$1/C698</f>
        <v>1271.7792191275596</v>
      </c>
      <c r="H698" s="2">
        <f>D698*F697</f>
        <v>670.48470456766279</v>
      </c>
      <c r="I698" s="2">
        <f>E698*G697</f>
        <v>511.31279560269905</v>
      </c>
      <c r="J698" s="2">
        <f>I698-H698</f>
        <v>-159.17190896496373</v>
      </c>
      <c r="K698" s="2">
        <f t="shared" si="85"/>
        <v>159.17190896496373</v>
      </c>
      <c r="L698" s="14">
        <f>C698/B698</f>
        <v>1.0910226169002359</v>
      </c>
      <c r="M698" s="14">
        <f t="shared" si="88"/>
        <v>1.0934341606987488</v>
      </c>
      <c r="N698" s="14">
        <f t="shared" si="92"/>
        <v>1.0936161170316503</v>
      </c>
      <c r="O698" s="14">
        <f t="shared" si="93"/>
        <v>1.0927339108640914</v>
      </c>
      <c r="P698" s="14">
        <f t="shared" si="86"/>
        <v>1.0907472699486098</v>
      </c>
      <c r="Q698" s="4" t="str">
        <f t="shared" si="91"/>
        <v>UNDER</v>
      </c>
      <c r="R698" s="4" t="str">
        <f t="shared" si="91"/>
        <v>UNDER</v>
      </c>
      <c r="S698" s="4" t="str">
        <f t="shared" si="89"/>
        <v>UNDER</v>
      </c>
      <c r="T698" s="4" t="str">
        <f t="shared" si="89"/>
        <v>OVER</v>
      </c>
      <c r="U698" s="2">
        <f>IF(Q698="OVER",$J698,$K698)</f>
        <v>159.17190896496373</v>
      </c>
      <c r="V698" s="2">
        <f>IF(R698="OVER",$J698,$K698)</f>
        <v>159.17190896496373</v>
      </c>
      <c r="W698" s="2">
        <f>IF(S698="OVER",$J698,$K698)</f>
        <v>159.17190896496373</v>
      </c>
      <c r="X698" s="2">
        <f>IF(T698="OVER",$J698,$K698)</f>
        <v>-159.17190896496373</v>
      </c>
      <c r="Y698" s="9">
        <f t="shared" si="90"/>
        <v>-25877.179348232687</v>
      </c>
      <c r="Z698" s="9">
        <f t="shared" si="90"/>
        <v>-25223.144774550881</v>
      </c>
      <c r="AA698" s="9">
        <f t="shared" si="90"/>
        <v>36865.821881416814</v>
      </c>
      <c r="AB698" s="9">
        <f t="shared" si="87"/>
        <v>10406.951942452883</v>
      </c>
    </row>
    <row r="699" spans="1:28" x14ac:dyDescent="0.3">
      <c r="A699" s="1">
        <v>45427</v>
      </c>
      <c r="B699" s="2">
        <v>72.63</v>
      </c>
      <c r="C699" s="2">
        <v>79.34</v>
      </c>
      <c r="D699" s="9">
        <f>B699-B698</f>
        <v>0.56000000000000227</v>
      </c>
      <c r="E699" s="9">
        <f>C699-C698</f>
        <v>0.71000000000000796</v>
      </c>
      <c r="F699" s="3">
        <f>F$1/B699</f>
        <v>1376.8415255404104</v>
      </c>
      <c r="G699" s="3">
        <f>F$1/C699</f>
        <v>1260.3982858583313</v>
      </c>
      <c r="H699" s="2">
        <f>D699*F698</f>
        <v>777.02233939226073</v>
      </c>
      <c r="I699" s="2">
        <f>E699*G698</f>
        <v>902.96324558057745</v>
      </c>
      <c r="J699" s="2">
        <f>I699-H699</f>
        <v>125.94090618831672</v>
      </c>
      <c r="K699" s="2">
        <f t="shared" si="85"/>
        <v>-125.94090618831672</v>
      </c>
      <c r="L699" s="14">
        <f>C699/B699</f>
        <v>1.0923860663637617</v>
      </c>
      <c r="M699" s="14">
        <f t="shared" si="88"/>
        <v>1.0930543594460296</v>
      </c>
      <c r="N699" s="14">
        <f t="shared" si="92"/>
        <v>1.0935146661718638</v>
      </c>
      <c r="O699" s="14">
        <f t="shared" si="93"/>
        <v>1.0927308692066264</v>
      </c>
      <c r="P699" s="14">
        <f t="shared" si="86"/>
        <v>1.0907439707950324</v>
      </c>
      <c r="Q699" s="4" t="str">
        <f t="shared" si="91"/>
        <v>UNDER</v>
      </c>
      <c r="R699" s="4" t="str">
        <f t="shared" si="91"/>
        <v>UNDER</v>
      </c>
      <c r="S699" s="4" t="str">
        <f t="shared" si="89"/>
        <v>UNDER</v>
      </c>
      <c r="T699" s="4" t="str">
        <f t="shared" si="89"/>
        <v>OVER</v>
      </c>
      <c r="U699" s="2">
        <f>IF(Q699="OVER",$J699,$K699)</f>
        <v>-125.94090618831672</v>
      </c>
      <c r="V699" s="2">
        <f>IF(R699="OVER",$J699,$K699)</f>
        <v>-125.94090618831672</v>
      </c>
      <c r="W699" s="2">
        <f>IF(S699="OVER",$J699,$K699)</f>
        <v>-125.94090618831672</v>
      </c>
      <c r="X699" s="2">
        <f>IF(T699="OVER",$J699,$K699)</f>
        <v>125.94090618831672</v>
      </c>
      <c r="Y699" s="9">
        <f t="shared" si="90"/>
        <v>-26003.120254421003</v>
      </c>
      <c r="Z699" s="9">
        <f t="shared" si="90"/>
        <v>-25349.085680739197</v>
      </c>
      <c r="AA699" s="9">
        <f t="shared" si="90"/>
        <v>36739.880975228494</v>
      </c>
      <c r="AB699" s="9">
        <f t="shared" si="87"/>
        <v>10532.892848641199</v>
      </c>
    </row>
    <row r="700" spans="1:28" x14ac:dyDescent="0.3">
      <c r="A700" s="1">
        <v>45428</v>
      </c>
      <c r="B700" s="2">
        <v>72.400000000000006</v>
      </c>
      <c r="C700" s="2">
        <v>79.05</v>
      </c>
      <c r="D700" s="9">
        <f>B700-B699</f>
        <v>-0.22999999999998977</v>
      </c>
      <c r="E700" s="9">
        <f>C700-C699</f>
        <v>-0.29000000000000625</v>
      </c>
      <c r="F700" s="3">
        <f>F$1/B700</f>
        <v>1381.2154696132595</v>
      </c>
      <c r="G700" s="3">
        <f>F$1/C700</f>
        <v>1265.022137887413</v>
      </c>
      <c r="H700" s="2">
        <f>D700*F699</f>
        <v>-316.67355087428029</v>
      </c>
      <c r="I700" s="2">
        <f>E700*G699</f>
        <v>-365.51550289892396</v>
      </c>
      <c r="J700" s="2">
        <f>I700-H700</f>
        <v>-48.84195202464366</v>
      </c>
      <c r="K700" s="2">
        <f t="shared" si="85"/>
        <v>48.84195202464366</v>
      </c>
      <c r="L700" s="14">
        <f>C700/B700</f>
        <v>1.0918508287292816</v>
      </c>
      <c r="M700" s="14">
        <f t="shared" si="88"/>
        <v>1.0928445152961435</v>
      </c>
      <c r="N700" s="14">
        <f t="shared" si="92"/>
        <v>1.093457207608328</v>
      </c>
      <c r="O700" s="14">
        <f t="shared" si="93"/>
        <v>1.0927563016918891</v>
      </c>
      <c r="P700" s="14">
        <f t="shared" si="86"/>
        <v>1.0907472193520866</v>
      </c>
      <c r="Q700" s="4" t="str">
        <f t="shared" si="91"/>
        <v>UNDER</v>
      </c>
      <c r="R700" s="4" t="str">
        <f t="shared" si="91"/>
        <v>UNDER</v>
      </c>
      <c r="S700" s="4" t="str">
        <f t="shared" si="89"/>
        <v>UNDER</v>
      </c>
      <c r="T700" s="4" t="str">
        <f t="shared" si="89"/>
        <v>OVER</v>
      </c>
      <c r="U700" s="2">
        <f>IF(Q700="OVER",$J700,$K700)</f>
        <v>48.84195202464366</v>
      </c>
      <c r="V700" s="2">
        <f>IF(R700="OVER",$J700,$K700)</f>
        <v>48.84195202464366</v>
      </c>
      <c r="W700" s="2">
        <f>IF(S700="OVER",$J700,$K700)</f>
        <v>48.84195202464366</v>
      </c>
      <c r="X700" s="2">
        <f>IF(T700="OVER",$J700,$K700)</f>
        <v>-48.84195202464366</v>
      </c>
      <c r="Y700" s="9">
        <f t="shared" si="90"/>
        <v>-25954.27830239636</v>
      </c>
      <c r="Z700" s="9">
        <f t="shared" si="90"/>
        <v>-25300.243728714555</v>
      </c>
      <c r="AA700" s="9">
        <f t="shared" si="90"/>
        <v>36788.72292725314</v>
      </c>
      <c r="AB700" s="9">
        <f t="shared" si="87"/>
        <v>10484.050896616554</v>
      </c>
    </row>
    <row r="701" spans="1:28" x14ac:dyDescent="0.3">
      <c r="A701" s="1">
        <v>45429</v>
      </c>
      <c r="B701" s="2">
        <v>72.45</v>
      </c>
      <c r="C701" s="2">
        <v>79.19</v>
      </c>
      <c r="D701" s="9">
        <f>B701-B700</f>
        <v>4.9999999999997158E-2</v>
      </c>
      <c r="E701" s="9">
        <f>C701-C700</f>
        <v>0.14000000000000057</v>
      </c>
      <c r="F701" s="3">
        <f>F$1/B701</f>
        <v>1380.2622498274673</v>
      </c>
      <c r="G701" s="3">
        <f>F$1/C701</f>
        <v>1262.7857052658164</v>
      </c>
      <c r="H701" s="2">
        <f>D701*F700</f>
        <v>69.060773480659051</v>
      </c>
      <c r="I701" s="2">
        <f>E701*G700</f>
        <v>177.10309930423855</v>
      </c>
      <c r="J701" s="2">
        <f>I701-H701</f>
        <v>108.0423258235795</v>
      </c>
      <c r="K701" s="2">
        <f t="shared" si="85"/>
        <v>-108.0423258235795</v>
      </c>
      <c r="L701" s="14">
        <f>C701/B701</f>
        <v>1.0930296756383713</v>
      </c>
      <c r="M701" s="14">
        <f t="shared" si="88"/>
        <v>1.0927641425031891</v>
      </c>
      <c r="N701" s="14">
        <f t="shared" si="92"/>
        <v>1.0934175994362234</v>
      </c>
      <c r="O701" s="14">
        <f t="shared" si="93"/>
        <v>1.0928239448854777</v>
      </c>
      <c r="P701" s="14">
        <f t="shared" si="86"/>
        <v>1.0907645114970821</v>
      </c>
      <c r="Q701" s="4" t="str">
        <f t="shared" si="91"/>
        <v>UNDER</v>
      </c>
      <c r="R701" s="4" t="str">
        <f t="shared" si="91"/>
        <v>UNDER</v>
      </c>
      <c r="S701" s="4" t="str">
        <f t="shared" si="89"/>
        <v>OVER</v>
      </c>
      <c r="T701" s="4" t="str">
        <f t="shared" si="89"/>
        <v>OVER</v>
      </c>
      <c r="U701" s="2">
        <f>IF(Q701="OVER",$J701,$K701)</f>
        <v>-108.0423258235795</v>
      </c>
      <c r="V701" s="2">
        <f>IF(R701="OVER",$J701,$K701)</f>
        <v>-108.0423258235795</v>
      </c>
      <c r="W701" s="2">
        <f>IF(S701="OVER",$J701,$K701)</f>
        <v>108.0423258235795</v>
      </c>
      <c r="X701" s="2">
        <f>IF(T701="OVER",$J701,$K701)</f>
        <v>108.0423258235795</v>
      </c>
      <c r="Y701" s="9">
        <f t="shared" si="90"/>
        <v>-26062.320628219939</v>
      </c>
      <c r="Z701" s="9">
        <f t="shared" si="90"/>
        <v>-25408.286054538134</v>
      </c>
      <c r="AA701" s="9">
        <f t="shared" si="90"/>
        <v>36896.765253076723</v>
      </c>
      <c r="AB701" s="9">
        <f t="shared" si="87"/>
        <v>10592.093222440133</v>
      </c>
    </row>
    <row r="702" spans="1:28" x14ac:dyDescent="0.3">
      <c r="A702" s="1">
        <v>45432</v>
      </c>
      <c r="B702" s="2">
        <v>72.8</v>
      </c>
      <c r="C702" s="2">
        <v>79.45</v>
      </c>
      <c r="D702" s="9">
        <f>B702-B701</f>
        <v>0.34999999999999432</v>
      </c>
      <c r="E702" s="9">
        <f>C702-C701</f>
        <v>0.26000000000000512</v>
      </c>
      <c r="F702" s="3">
        <f>F$1/B702</f>
        <v>1373.6263736263736</v>
      </c>
      <c r="G702" s="3">
        <f>F$1/C702</f>
        <v>1258.6532410320956</v>
      </c>
      <c r="H702" s="2">
        <f>D702*F701</f>
        <v>483.0917874396057</v>
      </c>
      <c r="I702" s="2">
        <f>E702*G701</f>
        <v>328.32428336911875</v>
      </c>
      <c r="J702" s="2">
        <f>I702-H702</f>
        <v>-154.76750407048695</v>
      </c>
      <c r="K702" s="2">
        <f t="shared" si="85"/>
        <v>154.76750407048695</v>
      </c>
      <c r="L702" s="14">
        <f>C702/B702</f>
        <v>1.091346153846154</v>
      </c>
      <c r="M702" s="14">
        <f t="shared" si="88"/>
        <v>1.0927243182386326</v>
      </c>
      <c r="N702" s="14">
        <f t="shared" si="92"/>
        <v>1.0933141458087197</v>
      </c>
      <c r="O702" s="14">
        <f t="shared" si="93"/>
        <v>1.0928586241950879</v>
      </c>
      <c r="P702" s="14">
        <f t="shared" si="86"/>
        <v>1.0907557299188817</v>
      </c>
      <c r="Q702" s="4" t="str">
        <f t="shared" si="91"/>
        <v>OVER</v>
      </c>
      <c r="R702" s="4" t="str">
        <f t="shared" si="91"/>
        <v>UNDER</v>
      </c>
      <c r="S702" s="4" t="str">
        <f t="shared" si="89"/>
        <v>UNDER</v>
      </c>
      <c r="T702" s="4" t="str">
        <f t="shared" si="89"/>
        <v>OVER</v>
      </c>
      <c r="U702" s="2">
        <f>IF(Q702="OVER",$J702,$K702)</f>
        <v>-154.76750407048695</v>
      </c>
      <c r="V702" s="2">
        <f>IF(R702="OVER",$J702,$K702)</f>
        <v>154.76750407048695</v>
      </c>
      <c r="W702" s="2">
        <f>IF(S702="OVER",$J702,$K702)</f>
        <v>154.76750407048695</v>
      </c>
      <c r="X702" s="2">
        <f>IF(T702="OVER",$J702,$K702)</f>
        <v>-154.76750407048695</v>
      </c>
      <c r="Y702" s="9">
        <f t="shared" si="90"/>
        <v>-26217.088132290424</v>
      </c>
      <c r="Z702" s="9">
        <f t="shared" si="90"/>
        <v>-25253.518550467648</v>
      </c>
      <c r="AA702" s="9">
        <f t="shared" si="90"/>
        <v>37051.532757147208</v>
      </c>
      <c r="AB702" s="9">
        <f t="shared" si="87"/>
        <v>10437.325718369646</v>
      </c>
    </row>
    <row r="703" spans="1:28" x14ac:dyDescent="0.3">
      <c r="A703" s="1">
        <v>45433</v>
      </c>
      <c r="B703" s="2">
        <v>72.569999999999993</v>
      </c>
      <c r="C703" s="2">
        <v>79.260000000000005</v>
      </c>
      <c r="D703" s="9">
        <f>B703-B702</f>
        <v>-0.23000000000000398</v>
      </c>
      <c r="E703" s="9">
        <f>C703-C702</f>
        <v>-0.18999999999999773</v>
      </c>
      <c r="F703" s="3">
        <f>F$1/B703</f>
        <v>1377.9798814937303</v>
      </c>
      <c r="G703" s="3">
        <f>F$1/C703</f>
        <v>1261.6704516780217</v>
      </c>
      <c r="H703" s="2">
        <f>D703*F702</f>
        <v>-315.93406593407138</v>
      </c>
      <c r="I703" s="2">
        <f>E703*G702</f>
        <v>-239.14411579609529</v>
      </c>
      <c r="J703" s="2">
        <f>I703-H703</f>
        <v>76.789950137976092</v>
      </c>
      <c r="K703" s="2">
        <f t="shared" si="85"/>
        <v>-76.789950137976092</v>
      </c>
      <c r="L703" s="14">
        <f>C703/B703</f>
        <v>1.0921868540719306</v>
      </c>
      <c r="M703" s="14">
        <f t="shared" si="88"/>
        <v>1.0925348517753624</v>
      </c>
      <c r="N703" s="14">
        <f t="shared" si="92"/>
        <v>1.0932790660607399</v>
      </c>
      <c r="O703" s="14">
        <f t="shared" si="93"/>
        <v>1.0929267380078285</v>
      </c>
      <c r="P703" s="14">
        <f t="shared" si="86"/>
        <v>1.0907607609175487</v>
      </c>
      <c r="Q703" s="4" t="str">
        <f t="shared" si="91"/>
        <v>UNDER</v>
      </c>
      <c r="R703" s="4" t="str">
        <f t="shared" si="91"/>
        <v>UNDER</v>
      </c>
      <c r="S703" s="4" t="str">
        <f t="shared" si="89"/>
        <v>UNDER</v>
      </c>
      <c r="T703" s="4" t="str">
        <f t="shared" si="89"/>
        <v>OVER</v>
      </c>
      <c r="U703" s="2">
        <f>IF(Q703="OVER",$J703,$K703)</f>
        <v>-76.789950137976092</v>
      </c>
      <c r="V703" s="2">
        <f>IF(R703="OVER",$J703,$K703)</f>
        <v>-76.789950137976092</v>
      </c>
      <c r="W703" s="2">
        <f>IF(S703="OVER",$J703,$K703)</f>
        <v>-76.789950137976092</v>
      </c>
      <c r="X703" s="2">
        <f>IF(T703="OVER",$J703,$K703)</f>
        <v>76.789950137976092</v>
      </c>
      <c r="Y703" s="9">
        <f t="shared" si="90"/>
        <v>-26293.8780824284</v>
      </c>
      <c r="Z703" s="9">
        <f t="shared" si="90"/>
        <v>-25330.308500605624</v>
      </c>
      <c r="AA703" s="9">
        <f t="shared" si="90"/>
        <v>36974.742807009236</v>
      </c>
      <c r="AB703" s="9">
        <f t="shared" si="87"/>
        <v>10514.115668507622</v>
      </c>
    </row>
    <row r="704" spans="1:28" x14ac:dyDescent="0.3">
      <c r="A704" s="1">
        <v>45434</v>
      </c>
      <c r="B704" s="2">
        <v>72.430000000000007</v>
      </c>
      <c r="C704" s="2">
        <v>79.12</v>
      </c>
      <c r="D704" s="9">
        <f>B704-B703</f>
        <v>-0.13999999999998636</v>
      </c>
      <c r="E704" s="9">
        <f>C704-C703</f>
        <v>-0.14000000000000057</v>
      </c>
      <c r="F704" s="3">
        <f>F$1/B704</f>
        <v>1380.6433798149938</v>
      </c>
      <c r="G704" s="3">
        <f>F$1/C704</f>
        <v>1263.9029322548029</v>
      </c>
      <c r="H704" s="2">
        <f>D704*F703</f>
        <v>-192.91718340910344</v>
      </c>
      <c r="I704" s="2">
        <f>E704*G703</f>
        <v>-176.63386323492375</v>
      </c>
      <c r="J704" s="2">
        <f>I704-H704</f>
        <v>16.283320174179693</v>
      </c>
      <c r="K704" s="2">
        <f t="shared" si="85"/>
        <v>-16.283320174179693</v>
      </c>
      <c r="L704" s="14">
        <f>C704/B704</f>
        <v>1.0923650421096232</v>
      </c>
      <c r="M704" s="14">
        <f t="shared" si="88"/>
        <v>1.0921921133495784</v>
      </c>
      <c r="N704" s="14">
        <f t="shared" si="92"/>
        <v>1.0932250825722807</v>
      </c>
      <c r="O704" s="14">
        <f t="shared" si="93"/>
        <v>1.0930233830444156</v>
      </c>
      <c r="P704" s="14">
        <f t="shared" si="86"/>
        <v>1.0907808474901244</v>
      </c>
      <c r="Q704" s="4" t="str">
        <f t="shared" si="91"/>
        <v>UNDER</v>
      </c>
      <c r="R704" s="4" t="str">
        <f t="shared" si="91"/>
        <v>UNDER</v>
      </c>
      <c r="S704" s="4" t="str">
        <f t="shared" si="89"/>
        <v>UNDER</v>
      </c>
      <c r="T704" s="4" t="str">
        <f t="shared" si="89"/>
        <v>OVER</v>
      </c>
      <c r="U704" s="2">
        <f>IF(Q704="OVER",$J704,$K704)</f>
        <v>-16.283320174179693</v>
      </c>
      <c r="V704" s="2">
        <f>IF(R704="OVER",$J704,$K704)</f>
        <v>-16.283320174179693</v>
      </c>
      <c r="W704" s="2">
        <f>IF(S704="OVER",$J704,$K704)</f>
        <v>-16.283320174179693</v>
      </c>
      <c r="X704" s="2">
        <f>IF(T704="OVER",$J704,$K704)</f>
        <v>16.283320174179693</v>
      </c>
      <c r="Y704" s="9">
        <f t="shared" si="90"/>
        <v>-26310.161402602582</v>
      </c>
      <c r="Z704" s="9">
        <f t="shared" si="90"/>
        <v>-25346.591820779806</v>
      </c>
      <c r="AA704" s="9">
        <f t="shared" si="90"/>
        <v>36958.459486835054</v>
      </c>
      <c r="AB704" s="9">
        <f t="shared" si="87"/>
        <v>10530.398988681802</v>
      </c>
    </row>
    <row r="705" spans="1:28" x14ac:dyDescent="0.3">
      <c r="A705" s="1">
        <v>45435</v>
      </c>
      <c r="B705" s="2">
        <v>71.75</v>
      </c>
      <c r="C705" s="2">
        <v>78.36</v>
      </c>
      <c r="D705" s="9">
        <f>B705-B704</f>
        <v>-0.68000000000000682</v>
      </c>
      <c r="E705" s="9">
        <f>C705-C704</f>
        <v>-0.76000000000000512</v>
      </c>
      <c r="F705" s="3">
        <f>F$1/B705</f>
        <v>1393.7282229965156</v>
      </c>
      <c r="G705" s="3">
        <f>F$1/C705</f>
        <v>1276.1613067891781</v>
      </c>
      <c r="H705" s="2">
        <f>D705*F704</f>
        <v>-938.83749827420513</v>
      </c>
      <c r="I705" s="2">
        <f>E705*G704</f>
        <v>-960.5662285136566</v>
      </c>
      <c r="J705" s="2">
        <f>I705-H705</f>
        <v>-21.728730239451465</v>
      </c>
      <c r="K705" s="2">
        <f t="shared" si="85"/>
        <v>21.728730239451465</v>
      </c>
      <c r="L705" s="14">
        <f>C705/B705</f>
        <v>1.0921254355400696</v>
      </c>
      <c r="M705" s="14">
        <f t="shared" si="88"/>
        <v>1.0922401988201709</v>
      </c>
      <c r="N705" s="14">
        <f t="shared" si="92"/>
        <v>1.0931316525176784</v>
      </c>
      <c r="O705" s="14">
        <f t="shared" si="93"/>
        <v>1.0931002947300139</v>
      </c>
      <c r="P705" s="14">
        <f t="shared" si="86"/>
        <v>1.0907775351011202</v>
      </c>
      <c r="Q705" s="4" t="str">
        <f t="shared" si="91"/>
        <v>OVER</v>
      </c>
      <c r="R705" s="4" t="str">
        <f t="shared" si="91"/>
        <v>UNDER</v>
      </c>
      <c r="S705" s="4" t="str">
        <f t="shared" si="89"/>
        <v>UNDER</v>
      </c>
      <c r="T705" s="4" t="str">
        <f t="shared" si="89"/>
        <v>OVER</v>
      </c>
      <c r="U705" s="2">
        <f>IF(Q705="OVER",$J705,$K705)</f>
        <v>-21.728730239451465</v>
      </c>
      <c r="V705" s="2">
        <f>IF(R705="OVER",$J705,$K705)</f>
        <v>21.728730239451465</v>
      </c>
      <c r="W705" s="2">
        <f>IF(S705="OVER",$J705,$K705)</f>
        <v>21.728730239451465</v>
      </c>
      <c r="X705" s="2">
        <f>IF(T705="OVER",$J705,$K705)</f>
        <v>-21.728730239451465</v>
      </c>
      <c r="Y705" s="9">
        <f t="shared" si="90"/>
        <v>-26331.890132842032</v>
      </c>
      <c r="Z705" s="9">
        <f t="shared" si="90"/>
        <v>-25324.863090540355</v>
      </c>
      <c r="AA705" s="9">
        <f t="shared" si="90"/>
        <v>36980.188217074508</v>
      </c>
      <c r="AB705" s="9">
        <f t="shared" si="87"/>
        <v>10508.670258442351</v>
      </c>
    </row>
    <row r="706" spans="1:28" x14ac:dyDescent="0.3">
      <c r="A706" s="1">
        <v>45436</v>
      </c>
      <c r="B706" s="2">
        <v>72.22</v>
      </c>
      <c r="C706" s="2">
        <v>78.78</v>
      </c>
      <c r="D706" s="9">
        <f>B706-B705</f>
        <v>0.46999999999999886</v>
      </c>
      <c r="E706" s="9">
        <f>C706-C705</f>
        <v>0.42000000000000171</v>
      </c>
      <c r="F706" s="3">
        <f>F$1/B706</f>
        <v>1384.6579894765994</v>
      </c>
      <c r="G706" s="3">
        <f>F$1/C706</f>
        <v>1269.3577050012693</v>
      </c>
      <c r="H706" s="2">
        <f>D706*F705</f>
        <v>655.05226480836075</v>
      </c>
      <c r="I706" s="2">
        <f>E706*G705</f>
        <v>535.98774885145701</v>
      </c>
      <c r="J706" s="2">
        <f>I706-H706</f>
        <v>-119.06451595690373</v>
      </c>
      <c r="K706" s="2">
        <f t="shared" si="85"/>
        <v>119.06451595690373</v>
      </c>
      <c r="L706" s="14">
        <f>C706/B706</f>
        <v>1.0908335641096649</v>
      </c>
      <c r="M706" s="14">
        <f t="shared" si="88"/>
        <v>1.0919896621440954</v>
      </c>
      <c r="N706" s="14">
        <f t="shared" si="92"/>
        <v>1.093014769999282</v>
      </c>
      <c r="O706" s="14">
        <f t="shared" si="93"/>
        <v>1.0930715794785413</v>
      </c>
      <c r="P706" s="14">
        <f t="shared" si="86"/>
        <v>1.090773840566539</v>
      </c>
      <c r="Q706" s="4" t="str">
        <f t="shared" si="91"/>
        <v>UNDER</v>
      </c>
      <c r="R706" s="4" t="str">
        <f t="shared" si="91"/>
        <v>UNDER</v>
      </c>
      <c r="S706" s="4" t="str">
        <f t="shared" si="89"/>
        <v>UNDER</v>
      </c>
      <c r="T706" s="4" t="str">
        <f t="shared" si="89"/>
        <v>OVER</v>
      </c>
      <c r="U706" s="2">
        <f>IF(Q706="OVER",$J706,$K706)</f>
        <v>119.06451595690373</v>
      </c>
      <c r="V706" s="2">
        <f>IF(R706="OVER",$J706,$K706)</f>
        <v>119.06451595690373</v>
      </c>
      <c r="W706" s="2">
        <f>IF(S706="OVER",$J706,$K706)</f>
        <v>119.06451595690373</v>
      </c>
      <c r="X706" s="2">
        <f>IF(T706="OVER",$J706,$K706)</f>
        <v>-119.06451595690373</v>
      </c>
      <c r="Y706" s="9">
        <f t="shared" si="90"/>
        <v>-26212.825616885129</v>
      </c>
      <c r="Z706" s="9">
        <f t="shared" si="90"/>
        <v>-25205.798574583452</v>
      </c>
      <c r="AA706" s="9">
        <f t="shared" si="90"/>
        <v>37099.252733031411</v>
      </c>
      <c r="AB706" s="9">
        <f t="shared" si="87"/>
        <v>10389.605742485448</v>
      </c>
    </row>
    <row r="707" spans="1:28" x14ac:dyDescent="0.3">
      <c r="A707" s="1">
        <v>45440</v>
      </c>
      <c r="B707" s="2">
        <v>72.239999999999995</v>
      </c>
      <c r="C707" s="2">
        <v>78.88</v>
      </c>
      <c r="D707" s="9">
        <f>B707-B706</f>
        <v>1.9999999999996021E-2</v>
      </c>
      <c r="E707" s="9">
        <f>C707-C706</f>
        <v>9.9999999999994316E-2</v>
      </c>
      <c r="F707" s="3">
        <f>F$1/B707</f>
        <v>1384.2746400885937</v>
      </c>
      <c r="G707" s="3">
        <f>F$1/C707</f>
        <v>1267.7484787018257</v>
      </c>
      <c r="H707" s="2">
        <f>D707*F706</f>
        <v>27.693159789526479</v>
      </c>
      <c r="I707" s="2">
        <f>E707*G706</f>
        <v>126.93577050011972</v>
      </c>
      <c r="J707" s="2">
        <f>I707-H707</f>
        <v>99.24261071059324</v>
      </c>
      <c r="K707" s="2">
        <f t="shared" si="85"/>
        <v>-99.24261071059324</v>
      </c>
      <c r="L707" s="14">
        <f>C707/B707</f>
        <v>1.0919158361018826</v>
      </c>
      <c r="M707" s="14">
        <f t="shared" si="88"/>
        <v>1.0919062073410977</v>
      </c>
      <c r="N707" s="14">
        <f t="shared" si="92"/>
        <v>1.0929439891270891</v>
      </c>
      <c r="O707" s="14">
        <f t="shared" si="93"/>
        <v>1.0930466459568802</v>
      </c>
      <c r="P707" s="14">
        <f t="shared" si="86"/>
        <v>1.0907725539213604</v>
      </c>
      <c r="Q707" s="4" t="str">
        <f t="shared" si="91"/>
        <v>UNDER</v>
      </c>
      <c r="R707" s="4" t="str">
        <f t="shared" si="91"/>
        <v>UNDER</v>
      </c>
      <c r="S707" s="4" t="str">
        <f t="shared" si="89"/>
        <v>UNDER</v>
      </c>
      <c r="T707" s="4" t="str">
        <f t="shared" si="89"/>
        <v>OVER</v>
      </c>
      <c r="U707" s="2">
        <f>IF(Q707="OVER",$J707,$K707)</f>
        <v>-99.24261071059324</v>
      </c>
      <c r="V707" s="2">
        <f>IF(R707="OVER",$J707,$K707)</f>
        <v>-99.24261071059324</v>
      </c>
      <c r="W707" s="2">
        <f>IF(S707="OVER",$J707,$K707)</f>
        <v>-99.24261071059324</v>
      </c>
      <c r="X707" s="2">
        <f>IF(T707="OVER",$J707,$K707)</f>
        <v>99.24261071059324</v>
      </c>
      <c r="Y707" s="9">
        <f t="shared" si="90"/>
        <v>-26312.068227595722</v>
      </c>
      <c r="Z707" s="9">
        <f t="shared" si="90"/>
        <v>-25305.041185294045</v>
      </c>
      <c r="AA707" s="9">
        <f t="shared" si="90"/>
        <v>37000.010122320818</v>
      </c>
      <c r="AB707" s="9">
        <f t="shared" si="87"/>
        <v>10488.848353196041</v>
      </c>
    </row>
    <row r="708" spans="1:28" x14ac:dyDescent="0.3">
      <c r="A708" s="1">
        <v>45441</v>
      </c>
      <c r="B708" s="2">
        <v>71.69</v>
      </c>
      <c r="C708" s="2">
        <v>78.459999999999994</v>
      </c>
      <c r="D708" s="9">
        <f>B708-B707</f>
        <v>-0.54999999999999716</v>
      </c>
      <c r="E708" s="9">
        <f>C708-C707</f>
        <v>-0.42000000000000171</v>
      </c>
      <c r="F708" s="3">
        <f>F$1/B708</f>
        <v>1394.8946854512485</v>
      </c>
      <c r="G708" s="3">
        <f>F$1/C708</f>
        <v>1274.5347947998982</v>
      </c>
      <c r="H708" s="2">
        <f>D708*F707</f>
        <v>-761.35105204872264</v>
      </c>
      <c r="I708" s="2">
        <f>E708*G707</f>
        <v>-532.45436105476892</v>
      </c>
      <c r="J708" s="2">
        <f>I708-H708</f>
        <v>228.89669099395371</v>
      </c>
      <c r="K708" s="2">
        <f t="shared" si="85"/>
        <v>-228.89669099395371</v>
      </c>
      <c r="L708" s="14">
        <f>C708/B708</f>
        <v>1.0944343702050494</v>
      </c>
      <c r="M708" s="14">
        <f t="shared" si="88"/>
        <v>1.0922473826715791</v>
      </c>
      <c r="N708" s="14">
        <f t="shared" si="92"/>
        <v>1.092840771685164</v>
      </c>
      <c r="O708" s="14">
        <f t="shared" si="93"/>
        <v>1.0930669563392299</v>
      </c>
      <c r="P708" s="14">
        <f t="shared" si="86"/>
        <v>1.0907988339888184</v>
      </c>
      <c r="Q708" s="4" t="str">
        <f t="shared" si="91"/>
        <v>OVER</v>
      </c>
      <c r="R708" s="4" t="str">
        <f t="shared" si="91"/>
        <v>UNDER</v>
      </c>
      <c r="S708" s="4" t="str">
        <f t="shared" si="89"/>
        <v>OVER</v>
      </c>
      <c r="T708" s="4" t="str">
        <f t="shared" si="89"/>
        <v>OVER</v>
      </c>
      <c r="U708" s="2">
        <f>IF(Q708="OVER",$J708,$K708)</f>
        <v>228.89669099395371</v>
      </c>
      <c r="V708" s="2">
        <f>IF(R708="OVER",$J708,$K708)</f>
        <v>-228.89669099395371</v>
      </c>
      <c r="W708" s="2">
        <f>IF(S708="OVER",$J708,$K708)</f>
        <v>228.89669099395371</v>
      </c>
      <c r="X708" s="2">
        <f>IF(T708="OVER",$J708,$K708)</f>
        <v>228.89669099395371</v>
      </c>
      <c r="Y708" s="9">
        <f t="shared" si="90"/>
        <v>-26083.171536601767</v>
      </c>
      <c r="Z708" s="9">
        <f t="shared" si="90"/>
        <v>-25533.937876288001</v>
      </c>
      <c r="AA708" s="9">
        <f t="shared" si="90"/>
        <v>37228.906813314774</v>
      </c>
      <c r="AB708" s="9">
        <f t="shared" si="87"/>
        <v>10717.745044189995</v>
      </c>
    </row>
    <row r="709" spans="1:28" x14ac:dyDescent="0.3">
      <c r="A709" s="1">
        <v>45442</v>
      </c>
      <c r="B709" s="2">
        <v>71.540000000000006</v>
      </c>
      <c r="C709" s="2">
        <v>78.180000000000007</v>
      </c>
      <c r="D709" s="9">
        <f>B709-B708</f>
        <v>-0.14999999999999147</v>
      </c>
      <c r="E709" s="9">
        <f>C709-C708</f>
        <v>-0.27999999999998693</v>
      </c>
      <c r="F709" s="3">
        <f>F$1/B709</f>
        <v>1397.819401733296</v>
      </c>
      <c r="G709" s="3">
        <f>F$1/C709</f>
        <v>1279.0995139421846</v>
      </c>
      <c r="H709" s="2">
        <f>D709*F708</f>
        <v>-209.2342028176754</v>
      </c>
      <c r="I709" s="2">
        <f>E709*G708</f>
        <v>-356.86974254395483</v>
      </c>
      <c r="J709" s="2">
        <f>I709-H709</f>
        <v>-147.63553972627943</v>
      </c>
      <c r="K709" s="2">
        <f t="shared" ref="K709:K772" si="94">H709-I709</f>
        <v>147.63553972627943</v>
      </c>
      <c r="L709" s="14">
        <f>C709/B709</f>
        <v>1.0928152082750908</v>
      </c>
      <c r="M709" s="14">
        <f t="shared" si="88"/>
        <v>1.0922902968627117</v>
      </c>
      <c r="N709" s="14">
        <f t="shared" si="92"/>
        <v>1.0926723281543709</v>
      </c>
      <c r="O709" s="14">
        <f t="shared" si="93"/>
        <v>1.0930472136035592</v>
      </c>
      <c r="P709" s="14">
        <f t="shared" si="86"/>
        <v>1.0908172594088539</v>
      </c>
      <c r="Q709" s="4" t="str">
        <f t="shared" si="91"/>
        <v>OVER</v>
      </c>
      <c r="R709" s="4" t="str">
        <f t="shared" si="91"/>
        <v>OVER</v>
      </c>
      <c r="S709" s="4" t="str">
        <f t="shared" si="89"/>
        <v>UNDER</v>
      </c>
      <c r="T709" s="4" t="str">
        <f t="shared" si="89"/>
        <v>OVER</v>
      </c>
      <c r="U709" s="2">
        <f>IF(Q709="OVER",$J709,$K709)</f>
        <v>-147.63553972627943</v>
      </c>
      <c r="V709" s="2">
        <f>IF(R709="OVER",$J709,$K709)</f>
        <v>-147.63553972627943</v>
      </c>
      <c r="W709" s="2">
        <f>IF(S709="OVER",$J709,$K709)</f>
        <v>147.63553972627943</v>
      </c>
      <c r="X709" s="2">
        <f>IF(T709="OVER",$J709,$K709)</f>
        <v>-147.63553972627943</v>
      </c>
      <c r="Y709" s="9">
        <f t="shared" si="90"/>
        <v>-26230.807076328045</v>
      </c>
      <c r="Z709" s="9">
        <f t="shared" si="90"/>
        <v>-25681.573416014278</v>
      </c>
      <c r="AA709" s="9">
        <f t="shared" si="90"/>
        <v>37376.542353041055</v>
      </c>
      <c r="AB709" s="9">
        <f t="shared" si="87"/>
        <v>10570.109504463715</v>
      </c>
    </row>
    <row r="710" spans="1:28" x14ac:dyDescent="0.3">
      <c r="A710" s="1">
        <v>45443</v>
      </c>
      <c r="B710" s="2">
        <v>71.67</v>
      </c>
      <c r="C710" s="2">
        <v>78.290000000000006</v>
      </c>
      <c r="D710" s="9">
        <f>B710-B709</f>
        <v>0.12999999999999545</v>
      </c>
      <c r="E710" s="9">
        <f>C710-C709</f>
        <v>0.10999999999999943</v>
      </c>
      <c r="F710" s="3">
        <f>F$1/B710</f>
        <v>1395.2839402818474</v>
      </c>
      <c r="G710" s="3">
        <f>F$1/C710</f>
        <v>1277.3023374632774</v>
      </c>
      <c r="H710" s="2">
        <f>D710*F709</f>
        <v>181.71652222532211</v>
      </c>
      <c r="I710" s="2">
        <f>E710*G709</f>
        <v>140.70094653363958</v>
      </c>
      <c r="J710" s="2">
        <f>I710-H710</f>
        <v>-41.015575691682528</v>
      </c>
      <c r="K710" s="2">
        <f t="shared" si="94"/>
        <v>41.015575691682528</v>
      </c>
      <c r="L710" s="14">
        <f>C710/B710</f>
        <v>1.0923677968466583</v>
      </c>
      <c r="M710" s="14">
        <f t="shared" si="88"/>
        <v>1.0923419936744494</v>
      </c>
      <c r="N710" s="14">
        <f t="shared" si="92"/>
        <v>1.0925932544852968</v>
      </c>
      <c r="O710" s="14">
        <f t="shared" si="93"/>
        <v>1.0930273496234799</v>
      </c>
      <c r="P710" s="14">
        <f t="shared" si="86"/>
        <v>1.0908248801379763</v>
      </c>
      <c r="Q710" s="4" t="str">
        <f t="shared" si="91"/>
        <v>OVER</v>
      </c>
      <c r="R710" s="4" t="str">
        <f t="shared" si="91"/>
        <v>OVER</v>
      </c>
      <c r="S710" s="4" t="str">
        <f t="shared" si="89"/>
        <v>UNDER</v>
      </c>
      <c r="T710" s="4" t="str">
        <f t="shared" si="89"/>
        <v>OVER</v>
      </c>
      <c r="U710" s="2">
        <f>IF(Q710="OVER",$J710,$K710)</f>
        <v>-41.015575691682528</v>
      </c>
      <c r="V710" s="2">
        <f>IF(R710="OVER",$J710,$K710)</f>
        <v>-41.015575691682528</v>
      </c>
      <c r="W710" s="2">
        <f>IF(S710="OVER",$J710,$K710)</f>
        <v>41.015575691682528</v>
      </c>
      <c r="X710" s="2">
        <f>IF(T710="OVER",$J710,$K710)</f>
        <v>-41.015575691682528</v>
      </c>
      <c r="Y710" s="9">
        <f t="shared" si="90"/>
        <v>-26271.822652019728</v>
      </c>
      <c r="Z710" s="9">
        <f t="shared" si="90"/>
        <v>-25722.588991705961</v>
      </c>
      <c r="AA710" s="9">
        <f t="shared" si="90"/>
        <v>37417.557928732735</v>
      </c>
      <c r="AB710" s="9">
        <f t="shared" si="87"/>
        <v>10529.093928772032</v>
      </c>
    </row>
    <row r="711" spans="1:28" x14ac:dyDescent="0.3">
      <c r="A711" s="1">
        <v>45446</v>
      </c>
      <c r="B711" s="2">
        <v>71.569999999999993</v>
      </c>
      <c r="C711" s="2">
        <v>78.31</v>
      </c>
      <c r="D711" s="9">
        <f>B711-B710</f>
        <v>-0.10000000000000853</v>
      </c>
      <c r="E711" s="9">
        <f>C711-C710</f>
        <v>1.9999999999996021E-2</v>
      </c>
      <c r="F711" s="3">
        <f>F$1/B711</f>
        <v>1397.2334777141261</v>
      </c>
      <c r="G711" s="3">
        <f>F$1/C711</f>
        <v>1276.9761205465456</v>
      </c>
      <c r="H711" s="2">
        <f>D711*F710</f>
        <v>-139.52839402819663</v>
      </c>
      <c r="I711" s="2">
        <f>E711*G710</f>
        <v>25.546046749260466</v>
      </c>
      <c r="J711" s="2">
        <f>I711-H711</f>
        <v>165.07444077745708</v>
      </c>
      <c r="K711" s="2">
        <f t="shared" si="94"/>
        <v>-165.07444077745708</v>
      </c>
      <c r="L711" s="14">
        <f>C711/B711</f>
        <v>1.0941735363979321</v>
      </c>
      <c r="M711" s="14">
        <f t="shared" si="88"/>
        <v>1.0924563797504052</v>
      </c>
      <c r="N711" s="14">
        <f t="shared" si="92"/>
        <v>1.0926102611267974</v>
      </c>
      <c r="O711" s="14">
        <f t="shared" si="93"/>
        <v>1.0930495868712624</v>
      </c>
      <c r="P711" s="14">
        <f t="shared" si="86"/>
        <v>1.0908517854193873</v>
      </c>
      <c r="Q711" s="4" t="str">
        <f t="shared" si="91"/>
        <v>OVER</v>
      </c>
      <c r="R711" s="4" t="str">
        <f t="shared" si="91"/>
        <v>UNDER</v>
      </c>
      <c r="S711" s="4" t="str">
        <f t="shared" si="89"/>
        <v>OVER</v>
      </c>
      <c r="T711" s="4" t="str">
        <f t="shared" si="89"/>
        <v>OVER</v>
      </c>
      <c r="U711" s="2">
        <f>IF(Q711="OVER",$J711,$K711)</f>
        <v>165.07444077745708</v>
      </c>
      <c r="V711" s="2">
        <f>IF(R711="OVER",$J711,$K711)</f>
        <v>-165.07444077745708</v>
      </c>
      <c r="W711" s="2">
        <f>IF(S711="OVER",$J711,$K711)</f>
        <v>165.07444077745708</v>
      </c>
      <c r="X711" s="2">
        <f>IF(T711="OVER",$J711,$K711)</f>
        <v>165.07444077745708</v>
      </c>
      <c r="Y711" s="9">
        <f t="shared" si="90"/>
        <v>-26106.748211242269</v>
      </c>
      <c r="Z711" s="9">
        <f t="shared" si="90"/>
        <v>-25887.663432483419</v>
      </c>
      <c r="AA711" s="9">
        <f t="shared" si="90"/>
        <v>37582.632369510189</v>
      </c>
      <c r="AB711" s="9">
        <f t="shared" si="87"/>
        <v>10694.168369549488</v>
      </c>
    </row>
    <row r="712" spans="1:28" x14ac:dyDescent="0.3">
      <c r="A712" s="1">
        <v>45447</v>
      </c>
      <c r="B712" s="2">
        <v>71.599999999999994</v>
      </c>
      <c r="C712" s="2">
        <v>78.19</v>
      </c>
      <c r="D712" s="9">
        <f>B712-B711</f>
        <v>3.0000000000001137E-2</v>
      </c>
      <c r="E712" s="9">
        <f>C712-C711</f>
        <v>-0.12000000000000455</v>
      </c>
      <c r="F712" s="3">
        <f>F$1/B712</f>
        <v>1396.6480446927376</v>
      </c>
      <c r="G712" s="3">
        <f>F$1/C712</f>
        <v>1278.935925310142</v>
      </c>
      <c r="H712" s="2">
        <f>D712*F711</f>
        <v>41.917004331425375</v>
      </c>
      <c r="I712" s="2">
        <f>E712*G711</f>
        <v>-153.23713446559128</v>
      </c>
      <c r="J712" s="2">
        <f>I712-H712</f>
        <v>-195.15413879701666</v>
      </c>
      <c r="K712" s="2">
        <f t="shared" si="94"/>
        <v>195.15413879701666</v>
      </c>
      <c r="L712" s="14">
        <f>C712/B712</f>
        <v>1.0920391061452515</v>
      </c>
      <c r="M712" s="14">
        <f t="shared" si="88"/>
        <v>1.0925256749803149</v>
      </c>
      <c r="N712" s="14">
        <f t="shared" si="92"/>
        <v>1.0926249966094741</v>
      </c>
      <c r="O712" s="14">
        <f t="shared" si="93"/>
        <v>1.0930076912854025</v>
      </c>
      <c r="P712" s="14">
        <f t="shared" si="86"/>
        <v>1.0908622724953032</v>
      </c>
      <c r="Q712" s="4" t="str">
        <f t="shared" si="91"/>
        <v>OVER</v>
      </c>
      <c r="R712" s="4" t="str">
        <f t="shared" si="91"/>
        <v>OVER</v>
      </c>
      <c r="S712" s="4" t="str">
        <f t="shared" si="89"/>
        <v>UNDER</v>
      </c>
      <c r="T712" s="4" t="str">
        <f t="shared" si="89"/>
        <v>OVER</v>
      </c>
      <c r="U712" s="2">
        <f>IF(Q712="OVER",$J712,$K712)</f>
        <v>-195.15413879701666</v>
      </c>
      <c r="V712" s="2">
        <f>IF(R712="OVER",$J712,$K712)</f>
        <v>-195.15413879701666</v>
      </c>
      <c r="W712" s="2">
        <f>IF(S712="OVER",$J712,$K712)</f>
        <v>195.15413879701666</v>
      </c>
      <c r="X712" s="2">
        <f>IF(T712="OVER",$J712,$K712)</f>
        <v>-195.15413879701666</v>
      </c>
      <c r="Y712" s="9">
        <f t="shared" si="90"/>
        <v>-26301.902350039287</v>
      </c>
      <c r="Z712" s="9">
        <f t="shared" si="90"/>
        <v>-26082.817571280437</v>
      </c>
      <c r="AA712" s="9">
        <f t="shared" si="90"/>
        <v>37777.786508307203</v>
      </c>
      <c r="AB712" s="9">
        <f t="shared" si="87"/>
        <v>10499.014230752471</v>
      </c>
    </row>
    <row r="713" spans="1:28" x14ac:dyDescent="0.3">
      <c r="A713" s="1">
        <v>45448</v>
      </c>
      <c r="B713" s="2">
        <v>72.3</v>
      </c>
      <c r="C713" s="2">
        <v>78.77</v>
      </c>
      <c r="D713" s="9">
        <f>B713-B712</f>
        <v>0.70000000000000284</v>
      </c>
      <c r="E713" s="9">
        <f>C713-C712</f>
        <v>0.57999999999999829</v>
      </c>
      <c r="F713" s="3">
        <f>F$1/B713</f>
        <v>1383.1258644536654</v>
      </c>
      <c r="G713" s="3">
        <f>F$1/C713</f>
        <v>1269.5188523549575</v>
      </c>
      <c r="H713" s="2">
        <f>D713*F712</f>
        <v>977.65363128492027</v>
      </c>
      <c r="I713" s="2">
        <f>E713*G712</f>
        <v>741.78283667988023</v>
      </c>
      <c r="J713" s="2">
        <f>I713-H713</f>
        <v>-235.87079460504003</v>
      </c>
      <c r="K713" s="2">
        <f t="shared" si="94"/>
        <v>235.87079460504003</v>
      </c>
      <c r="L713" s="14">
        <f>C713/B713</f>
        <v>1.089488243430152</v>
      </c>
      <c r="M713" s="14">
        <f t="shared" si="88"/>
        <v>1.0922558139161374</v>
      </c>
      <c r="N713" s="14">
        <f t="shared" si="92"/>
        <v>1.0923953328457501</v>
      </c>
      <c r="O713" s="14">
        <f t="shared" si="93"/>
        <v>1.0929477928312077</v>
      </c>
      <c r="P713" s="14">
        <f t="shared" si="86"/>
        <v>1.0908665004160549</v>
      </c>
      <c r="Q713" s="4" t="str">
        <f t="shared" si="91"/>
        <v>UNDER</v>
      </c>
      <c r="R713" s="4" t="str">
        <f t="shared" si="91"/>
        <v>UNDER</v>
      </c>
      <c r="S713" s="4" t="str">
        <f t="shared" si="89"/>
        <v>UNDER</v>
      </c>
      <c r="T713" s="4" t="str">
        <f t="shared" si="89"/>
        <v>UNDER</v>
      </c>
      <c r="U713" s="2">
        <f>IF(Q713="OVER",$J713,$K713)</f>
        <v>235.87079460504003</v>
      </c>
      <c r="V713" s="2">
        <f>IF(R713="OVER",$J713,$K713)</f>
        <v>235.87079460504003</v>
      </c>
      <c r="W713" s="2">
        <f>IF(S713="OVER",$J713,$K713)</f>
        <v>235.87079460504003</v>
      </c>
      <c r="X713" s="2">
        <f>IF(T713="OVER",$J713,$K713)</f>
        <v>235.87079460504003</v>
      </c>
      <c r="Y713" s="9">
        <f t="shared" si="90"/>
        <v>-26066.031555434245</v>
      </c>
      <c r="Z713" s="9">
        <f t="shared" si="90"/>
        <v>-25846.946776675395</v>
      </c>
      <c r="AA713" s="9">
        <f t="shared" si="90"/>
        <v>38013.657302912245</v>
      </c>
      <c r="AB713" s="9">
        <f t="shared" si="87"/>
        <v>10734.885025357511</v>
      </c>
    </row>
    <row r="714" spans="1:28" x14ac:dyDescent="0.3">
      <c r="A714" s="1">
        <v>45449</v>
      </c>
      <c r="B714" s="2">
        <v>71.83</v>
      </c>
      <c r="C714" s="2">
        <v>78.349999999999994</v>
      </c>
      <c r="D714" s="9">
        <f>B714-B713</f>
        <v>-0.46999999999999886</v>
      </c>
      <c r="E714" s="9">
        <f>C714-C713</f>
        <v>-0.42000000000000171</v>
      </c>
      <c r="F714" s="3">
        <f>F$1/B714</f>
        <v>1392.1759710427398</v>
      </c>
      <c r="G714" s="3">
        <f>F$1/C714</f>
        <v>1276.3241863433313</v>
      </c>
      <c r="H714" s="2">
        <f>D714*F713</f>
        <v>-650.06915629322111</v>
      </c>
      <c r="I714" s="2">
        <f>E714*G713</f>
        <v>-533.19791798908432</v>
      </c>
      <c r="J714" s="2">
        <f>I714-H714</f>
        <v>116.8712383041368</v>
      </c>
      <c r="K714" s="2">
        <f t="shared" si="94"/>
        <v>-116.8712383041368</v>
      </c>
      <c r="L714" s="14">
        <f>C714/B714</f>
        <v>1.0907698733119866</v>
      </c>
      <c r="M714" s="14">
        <f t="shared" si="88"/>
        <v>1.0920962970363737</v>
      </c>
      <c r="N714" s="14">
        <f t="shared" si="92"/>
        <v>1.0921442051929762</v>
      </c>
      <c r="O714" s="14">
        <f t="shared" si="93"/>
        <v>1.0928887915067369</v>
      </c>
      <c r="P714" s="14">
        <f t="shared" si="86"/>
        <v>1.0908710997462088</v>
      </c>
      <c r="Q714" s="4" t="str">
        <f t="shared" si="91"/>
        <v>UNDER</v>
      </c>
      <c r="R714" s="4" t="str">
        <f t="shared" si="91"/>
        <v>UNDER</v>
      </c>
      <c r="S714" s="4" t="str">
        <f t="shared" si="89"/>
        <v>UNDER</v>
      </c>
      <c r="T714" s="4" t="str">
        <f t="shared" si="89"/>
        <v>UNDER</v>
      </c>
      <c r="U714" s="2">
        <f>IF(Q714="OVER",$J714,$K714)</f>
        <v>-116.8712383041368</v>
      </c>
      <c r="V714" s="2">
        <f>IF(R714="OVER",$J714,$K714)</f>
        <v>-116.8712383041368</v>
      </c>
      <c r="W714" s="2">
        <f>IF(S714="OVER",$J714,$K714)</f>
        <v>-116.8712383041368</v>
      </c>
      <c r="X714" s="2">
        <f>IF(T714="OVER",$J714,$K714)</f>
        <v>-116.8712383041368</v>
      </c>
      <c r="Y714" s="9">
        <f t="shared" si="90"/>
        <v>-26182.902793738383</v>
      </c>
      <c r="Z714" s="9">
        <f t="shared" si="90"/>
        <v>-25963.818014979533</v>
      </c>
      <c r="AA714" s="9">
        <f t="shared" si="90"/>
        <v>37896.78606460811</v>
      </c>
      <c r="AB714" s="9">
        <f t="shared" si="87"/>
        <v>10618.013787053374</v>
      </c>
    </row>
    <row r="715" spans="1:28" x14ac:dyDescent="0.3">
      <c r="A715" s="1">
        <v>45450</v>
      </c>
      <c r="B715" s="2">
        <v>71.73</v>
      </c>
      <c r="C715" s="2">
        <v>78.03</v>
      </c>
      <c r="D715" s="9">
        <f>B715-B714</f>
        <v>-9.9999999999994316E-2</v>
      </c>
      <c r="E715" s="9">
        <f>C715-C714</f>
        <v>-0.31999999999999318</v>
      </c>
      <c r="F715" s="3">
        <f>F$1/B715</f>
        <v>1394.1168269901018</v>
      </c>
      <c r="G715" s="3">
        <f>F$1/C715</f>
        <v>1281.5583749839805</v>
      </c>
      <c r="H715" s="2">
        <f>D715*F714</f>
        <v>-139.21759710426608</v>
      </c>
      <c r="I715" s="2">
        <f>E715*G714</f>
        <v>-408.42373962985732</v>
      </c>
      <c r="J715" s="2">
        <f>I715-H715</f>
        <v>-269.20614252559125</v>
      </c>
      <c r="K715" s="2">
        <f t="shared" si="94"/>
        <v>269.20614252559125</v>
      </c>
      <c r="L715" s="14">
        <f>C715/B715</f>
        <v>1.0878293601003763</v>
      </c>
      <c r="M715" s="14">
        <f t="shared" si="88"/>
        <v>1.0916666894924045</v>
      </c>
      <c r="N715" s="14">
        <f t="shared" si="92"/>
        <v>1.0919534441562877</v>
      </c>
      <c r="O715" s="14">
        <f t="shared" si="93"/>
        <v>1.0927650835461318</v>
      </c>
      <c r="P715" s="14">
        <f t="shared" ref="P715:P778" si="95">AVERAGE(L516:L715)</f>
        <v>1.090819475963646</v>
      </c>
      <c r="Q715" s="4" t="str">
        <f t="shared" si="91"/>
        <v>UNDER</v>
      </c>
      <c r="R715" s="4" t="str">
        <f t="shared" si="91"/>
        <v>UNDER</v>
      </c>
      <c r="S715" s="4" t="str">
        <f t="shared" si="89"/>
        <v>UNDER</v>
      </c>
      <c r="T715" s="4" t="str">
        <f t="shared" si="89"/>
        <v>UNDER</v>
      </c>
      <c r="U715" s="2">
        <f>IF(Q715="OVER",$J715,$K715)</f>
        <v>269.20614252559125</v>
      </c>
      <c r="V715" s="2">
        <f>IF(R715="OVER",$J715,$K715)</f>
        <v>269.20614252559125</v>
      </c>
      <c r="W715" s="2">
        <f>IF(S715="OVER",$J715,$K715)</f>
        <v>269.20614252559125</v>
      </c>
      <c r="X715" s="2">
        <f>IF(T715="OVER",$J715,$K715)</f>
        <v>269.20614252559125</v>
      </c>
      <c r="Y715" s="9">
        <f t="shared" si="90"/>
        <v>-25913.696651212791</v>
      </c>
      <c r="Z715" s="9">
        <f t="shared" si="90"/>
        <v>-25694.611872453941</v>
      </c>
      <c r="AA715" s="9">
        <f t="shared" si="90"/>
        <v>38165.992207133699</v>
      </c>
      <c r="AB715" s="9">
        <f t="shared" si="87"/>
        <v>10887.219929578965</v>
      </c>
    </row>
    <row r="716" spans="1:28" x14ac:dyDescent="0.3">
      <c r="A716" s="1">
        <v>45453</v>
      </c>
      <c r="B716" s="2">
        <v>71.900000000000006</v>
      </c>
      <c r="C716" s="2">
        <v>78.25</v>
      </c>
      <c r="D716" s="9">
        <f>B716-B715</f>
        <v>0.17000000000000171</v>
      </c>
      <c r="E716" s="9">
        <f>C716-C715</f>
        <v>0.21999999999999886</v>
      </c>
      <c r="F716" s="3">
        <f>F$1/B716</f>
        <v>1390.8205841446452</v>
      </c>
      <c r="G716" s="3">
        <f>F$1/C716</f>
        <v>1277.9552715654952</v>
      </c>
      <c r="H716" s="2">
        <f>D716*F715</f>
        <v>236.99986058831968</v>
      </c>
      <c r="I716" s="2">
        <f>E716*G715</f>
        <v>281.94284249647427</v>
      </c>
      <c r="J716" s="2">
        <f>I716-H716</f>
        <v>44.942981908154593</v>
      </c>
      <c r="K716" s="2">
        <f t="shared" si="94"/>
        <v>-44.942981908154593</v>
      </c>
      <c r="L716" s="14">
        <f>C716/B716</f>
        <v>1.088317107093185</v>
      </c>
      <c r="M716" s="14">
        <f t="shared" si="88"/>
        <v>1.0914150437907566</v>
      </c>
      <c r="N716" s="14">
        <f t="shared" si="92"/>
        <v>1.0917023529674261</v>
      </c>
      <c r="O716" s="14">
        <f t="shared" si="93"/>
        <v>1.0926721704853668</v>
      </c>
      <c r="P716" s="14">
        <f t="shared" si="95"/>
        <v>1.0907936496831736</v>
      </c>
      <c r="Q716" s="4" t="str">
        <f t="shared" si="91"/>
        <v>UNDER</v>
      </c>
      <c r="R716" s="4" t="str">
        <f t="shared" si="91"/>
        <v>UNDER</v>
      </c>
      <c r="S716" s="4" t="str">
        <f t="shared" si="89"/>
        <v>UNDER</v>
      </c>
      <c r="T716" s="4" t="str">
        <f t="shared" si="89"/>
        <v>UNDER</v>
      </c>
      <c r="U716" s="2">
        <f>IF(Q716="OVER",$J716,$K716)</f>
        <v>-44.942981908154593</v>
      </c>
      <c r="V716" s="2">
        <f>IF(R716="OVER",$J716,$K716)</f>
        <v>-44.942981908154593</v>
      </c>
      <c r="W716" s="2">
        <f>IF(S716="OVER",$J716,$K716)</f>
        <v>-44.942981908154593</v>
      </c>
      <c r="X716" s="2">
        <f>IF(T716="OVER",$J716,$K716)</f>
        <v>-44.942981908154593</v>
      </c>
      <c r="Y716" s="9">
        <f t="shared" si="90"/>
        <v>-25958.639633120947</v>
      </c>
      <c r="Z716" s="9">
        <f t="shared" si="90"/>
        <v>-25739.554854362097</v>
      </c>
      <c r="AA716" s="9">
        <f t="shared" si="90"/>
        <v>38121.049225225543</v>
      </c>
      <c r="AB716" s="9">
        <f t="shared" si="90"/>
        <v>10842.276947670811</v>
      </c>
    </row>
    <row r="717" spans="1:28" x14ac:dyDescent="0.3">
      <c r="A717" s="1">
        <v>45454</v>
      </c>
      <c r="B717" s="2">
        <v>71.7</v>
      </c>
      <c r="C717" s="2">
        <v>78.25</v>
      </c>
      <c r="D717" s="9">
        <f>B717-B716</f>
        <v>-0.20000000000000284</v>
      </c>
      <c r="E717" s="9">
        <f>C717-C716</f>
        <v>0</v>
      </c>
      <c r="F717" s="3">
        <f>F$1/B717</f>
        <v>1394.7001394700139</v>
      </c>
      <c r="G717" s="3">
        <f>F$1/C717</f>
        <v>1277.9552715654952</v>
      </c>
      <c r="H717" s="2">
        <f>D717*F716</f>
        <v>-278.164116828933</v>
      </c>
      <c r="I717" s="2">
        <f>E717*G716</f>
        <v>0</v>
      </c>
      <c r="J717" s="2">
        <f>I717-H717</f>
        <v>278.164116828933</v>
      </c>
      <c r="K717" s="2">
        <f t="shared" si="94"/>
        <v>-278.164116828933</v>
      </c>
      <c r="L717" s="14">
        <f>C717/B717</f>
        <v>1.0913528591352859</v>
      </c>
      <c r="M717" s="14">
        <f t="shared" ref="M717:M780" si="96">AVERAGE(L708:L717)</f>
        <v>1.0913587460940968</v>
      </c>
      <c r="N717" s="14">
        <f t="shared" si="92"/>
        <v>1.0916324767175973</v>
      </c>
      <c r="O717" s="14">
        <f t="shared" si="93"/>
        <v>1.0926278344281712</v>
      </c>
      <c r="P717" s="14">
        <f t="shared" si="95"/>
        <v>1.0907991926829599</v>
      </c>
      <c r="Q717" s="4" t="str">
        <f t="shared" si="91"/>
        <v>UNDER</v>
      </c>
      <c r="R717" s="4" t="str">
        <f t="shared" si="91"/>
        <v>UNDER</v>
      </c>
      <c r="S717" s="4" t="str">
        <f t="shared" ref="S717:T780" si="97">IF($L717&gt;O717,"OVER","UNDER")</f>
        <v>UNDER</v>
      </c>
      <c r="T717" s="4" t="str">
        <f t="shared" si="97"/>
        <v>OVER</v>
      </c>
      <c r="U717" s="2">
        <f>IF(Q717="OVER",$J717,$K717)</f>
        <v>-278.164116828933</v>
      </c>
      <c r="V717" s="2">
        <f>IF(R717="OVER",$J717,$K717)</f>
        <v>-278.164116828933</v>
      </c>
      <c r="W717" s="2">
        <f>IF(S717="OVER",$J717,$K717)</f>
        <v>-278.164116828933</v>
      </c>
      <c r="X717" s="2">
        <f>IF(T717="OVER",$J717,$K717)</f>
        <v>278.164116828933</v>
      </c>
      <c r="Y717" s="9">
        <f t="shared" ref="Y717:AB780" si="98">Y716+U717</f>
        <v>-26236.803749949879</v>
      </c>
      <c r="Z717" s="9">
        <f t="shared" si="98"/>
        <v>-26017.718971191029</v>
      </c>
      <c r="AA717" s="9">
        <f t="shared" si="98"/>
        <v>37842.885108396607</v>
      </c>
      <c r="AB717" s="9">
        <f t="shared" si="98"/>
        <v>11120.441064499744</v>
      </c>
    </row>
    <row r="718" spans="1:28" x14ac:dyDescent="0.3">
      <c r="A718" s="1">
        <v>45455</v>
      </c>
      <c r="B718" s="2">
        <v>72.290000000000006</v>
      </c>
      <c r="C718" s="2">
        <v>78.8</v>
      </c>
      <c r="D718" s="9">
        <f>B718-B717</f>
        <v>0.59000000000000341</v>
      </c>
      <c r="E718" s="9">
        <f>C718-C717</f>
        <v>0.54999999999999716</v>
      </c>
      <c r="F718" s="3">
        <f>F$1/B718</f>
        <v>1383.3171946327291</v>
      </c>
      <c r="G718" s="3">
        <f>F$1/C718</f>
        <v>1269.0355329949239</v>
      </c>
      <c r="H718" s="2">
        <f>D718*F717</f>
        <v>822.87308228731297</v>
      </c>
      <c r="I718" s="2">
        <f>E718*G717</f>
        <v>702.87539936101871</v>
      </c>
      <c r="J718" s="2">
        <f>I718-H718</f>
        <v>-119.99768292629426</v>
      </c>
      <c r="K718" s="2">
        <f t="shared" si="94"/>
        <v>119.99768292629426</v>
      </c>
      <c r="L718" s="14">
        <f>C718/B718</f>
        <v>1.0900539493705905</v>
      </c>
      <c r="M718" s="14">
        <f t="shared" si="96"/>
        <v>1.0909207040106508</v>
      </c>
      <c r="N718" s="14">
        <f t="shared" si="92"/>
        <v>1.0915840433411153</v>
      </c>
      <c r="O718" s="14">
        <f t="shared" si="93"/>
        <v>1.0925868081524253</v>
      </c>
      <c r="P718" s="14">
        <f t="shared" si="95"/>
        <v>1.0907966404960225</v>
      </c>
      <c r="Q718" s="4" t="str">
        <f t="shared" ref="Q718:R781" si="99">IF($L717&gt;M717,"OVER","UNDER")</f>
        <v>UNDER</v>
      </c>
      <c r="R718" s="4" t="str">
        <f t="shared" si="99"/>
        <v>UNDER</v>
      </c>
      <c r="S718" s="4" t="str">
        <f t="shared" si="97"/>
        <v>UNDER</v>
      </c>
      <c r="T718" s="4" t="str">
        <f t="shared" si="97"/>
        <v>UNDER</v>
      </c>
      <c r="U718" s="2">
        <f>IF(Q718="OVER",$J718,$K718)</f>
        <v>119.99768292629426</v>
      </c>
      <c r="V718" s="2">
        <f>IF(R718="OVER",$J718,$K718)</f>
        <v>119.99768292629426</v>
      </c>
      <c r="W718" s="2">
        <f>IF(S718="OVER",$J718,$K718)</f>
        <v>119.99768292629426</v>
      </c>
      <c r="X718" s="2">
        <f>IF(T718="OVER",$J718,$K718)</f>
        <v>119.99768292629426</v>
      </c>
      <c r="Y718" s="9">
        <f t="shared" si="98"/>
        <v>-26116.806067023583</v>
      </c>
      <c r="Z718" s="9">
        <f t="shared" si="98"/>
        <v>-25897.721288264733</v>
      </c>
      <c r="AA718" s="9">
        <f t="shared" si="98"/>
        <v>37962.882791322903</v>
      </c>
      <c r="AB718" s="9">
        <f t="shared" si="98"/>
        <v>11240.438747426038</v>
      </c>
    </row>
    <row r="719" spans="1:28" x14ac:dyDescent="0.3">
      <c r="A719" s="1">
        <v>45456</v>
      </c>
      <c r="B719" s="2">
        <v>71.91</v>
      </c>
      <c r="C719" s="2">
        <v>78.39</v>
      </c>
      <c r="D719" s="9">
        <f>B719-B718</f>
        <v>-0.38000000000000966</v>
      </c>
      <c r="E719" s="9">
        <f>C719-C718</f>
        <v>-0.40999999999999659</v>
      </c>
      <c r="F719" s="3">
        <f>F$1/B719</f>
        <v>1390.6271728549577</v>
      </c>
      <c r="G719" s="3">
        <f>F$1/C719</f>
        <v>1275.6729174639622</v>
      </c>
      <c r="H719" s="2">
        <f>D719*F718</f>
        <v>-525.66053396045038</v>
      </c>
      <c r="I719" s="2">
        <f>E719*G718</f>
        <v>-520.30456852791451</v>
      </c>
      <c r="J719" s="2">
        <f>I719-H719</f>
        <v>5.3559654325358679</v>
      </c>
      <c r="K719" s="2">
        <f t="shared" si="94"/>
        <v>-5.3559654325358679</v>
      </c>
      <c r="L719" s="14">
        <f>C719/B719</f>
        <v>1.0901126408010013</v>
      </c>
      <c r="M719" s="14">
        <f t="shared" si="96"/>
        <v>1.0906504472632419</v>
      </c>
      <c r="N719" s="14">
        <f t="shared" si="92"/>
        <v>1.0914703720629768</v>
      </c>
      <c r="O719" s="14">
        <f t="shared" si="93"/>
        <v>1.0925291107885393</v>
      </c>
      <c r="P719" s="14">
        <f t="shared" si="95"/>
        <v>1.0907998008191895</v>
      </c>
      <c r="Q719" s="4" t="str">
        <f t="shared" si="99"/>
        <v>UNDER</v>
      </c>
      <c r="R719" s="4" t="str">
        <f t="shared" si="99"/>
        <v>UNDER</v>
      </c>
      <c r="S719" s="4" t="str">
        <f t="shared" si="97"/>
        <v>UNDER</v>
      </c>
      <c r="T719" s="4" t="str">
        <f t="shared" si="97"/>
        <v>UNDER</v>
      </c>
      <c r="U719" s="2">
        <f>IF(Q719="OVER",$J719,$K719)</f>
        <v>-5.3559654325358679</v>
      </c>
      <c r="V719" s="2">
        <f>IF(R719="OVER",$J719,$K719)</f>
        <v>-5.3559654325358679</v>
      </c>
      <c r="W719" s="2">
        <f>IF(S719="OVER",$J719,$K719)</f>
        <v>-5.3559654325358679</v>
      </c>
      <c r="X719" s="2">
        <f>IF(T719="OVER",$J719,$K719)</f>
        <v>-5.3559654325358679</v>
      </c>
      <c r="Y719" s="9">
        <f t="shared" si="98"/>
        <v>-26122.162032456119</v>
      </c>
      <c r="Z719" s="9">
        <f t="shared" si="98"/>
        <v>-25903.077253697269</v>
      </c>
      <c r="AA719" s="9">
        <f t="shared" si="98"/>
        <v>37957.526825890367</v>
      </c>
      <c r="AB719" s="9">
        <f t="shared" si="98"/>
        <v>11235.082781993502</v>
      </c>
    </row>
    <row r="720" spans="1:28" x14ac:dyDescent="0.3">
      <c r="A720" s="1">
        <v>45457</v>
      </c>
      <c r="B720" s="2">
        <v>71.52</v>
      </c>
      <c r="C720" s="2">
        <v>77.95</v>
      </c>
      <c r="D720" s="9">
        <f>B720-B719</f>
        <v>-0.39000000000000057</v>
      </c>
      <c r="E720" s="9">
        <f>C720-C719</f>
        <v>-0.43999999999999773</v>
      </c>
      <c r="F720" s="3">
        <f>F$1/B720</f>
        <v>1398.2102908277407</v>
      </c>
      <c r="G720" s="3">
        <f>F$1/C720</f>
        <v>1282.8736369467606</v>
      </c>
      <c r="H720" s="2">
        <f>D720*F719</f>
        <v>-542.34459741343426</v>
      </c>
      <c r="I720" s="2">
        <f>E720*G719</f>
        <v>-561.29608368414051</v>
      </c>
      <c r="J720" s="2">
        <f>I720-H720</f>
        <v>-18.951486270706255</v>
      </c>
      <c r="K720" s="2">
        <f t="shared" si="94"/>
        <v>18.951486270706255</v>
      </c>
      <c r="L720" s="14">
        <f>C720/B720</f>
        <v>1.0899049217002239</v>
      </c>
      <c r="M720" s="14">
        <f t="shared" si="96"/>
        <v>1.0904041597485985</v>
      </c>
      <c r="N720" s="14">
        <f t="shared" si="92"/>
        <v>1.0913730767115239</v>
      </c>
      <c r="O720" s="14">
        <f t="shared" si="93"/>
        <v>1.0924789601953067</v>
      </c>
      <c r="P720" s="14">
        <f t="shared" si="95"/>
        <v>1.0908121590736291</v>
      </c>
      <c r="Q720" s="4" t="str">
        <f t="shared" si="99"/>
        <v>UNDER</v>
      </c>
      <c r="R720" s="4" t="str">
        <f t="shared" si="99"/>
        <v>UNDER</v>
      </c>
      <c r="S720" s="4" t="str">
        <f t="shared" si="97"/>
        <v>UNDER</v>
      </c>
      <c r="T720" s="4" t="str">
        <f t="shared" si="97"/>
        <v>UNDER</v>
      </c>
      <c r="U720" s="2">
        <f>IF(Q720="OVER",$J720,$K720)</f>
        <v>18.951486270706255</v>
      </c>
      <c r="V720" s="2">
        <f>IF(R720="OVER",$J720,$K720)</f>
        <v>18.951486270706255</v>
      </c>
      <c r="W720" s="2">
        <f>IF(S720="OVER",$J720,$K720)</f>
        <v>18.951486270706255</v>
      </c>
      <c r="X720" s="2">
        <f>IF(T720="OVER",$J720,$K720)</f>
        <v>18.951486270706255</v>
      </c>
      <c r="Y720" s="9">
        <f t="shared" si="98"/>
        <v>-26103.210546185412</v>
      </c>
      <c r="Z720" s="9">
        <f t="shared" si="98"/>
        <v>-25884.125767426562</v>
      </c>
      <c r="AA720" s="9">
        <f t="shared" si="98"/>
        <v>37976.478312161074</v>
      </c>
      <c r="AB720" s="9">
        <f t="shared" si="98"/>
        <v>11254.034268264208</v>
      </c>
    </row>
    <row r="721" spans="1:28" x14ac:dyDescent="0.3">
      <c r="A721" s="1">
        <v>45460</v>
      </c>
      <c r="B721" s="2">
        <v>71.53</v>
      </c>
      <c r="C721" s="2">
        <v>78.180000000000007</v>
      </c>
      <c r="D721" s="9">
        <f>B721-B720</f>
        <v>1.0000000000005116E-2</v>
      </c>
      <c r="E721" s="9">
        <f>C721-C720</f>
        <v>0.23000000000000398</v>
      </c>
      <c r="F721" s="3">
        <f>F$1/B721</f>
        <v>1398.0148189570809</v>
      </c>
      <c r="G721" s="3">
        <f>F$1/C721</f>
        <v>1279.0995139421846</v>
      </c>
      <c r="H721" s="2">
        <f>D721*F720</f>
        <v>13.98210290828456</v>
      </c>
      <c r="I721" s="2">
        <f>E721*G720</f>
        <v>295.06093649776005</v>
      </c>
      <c r="J721" s="2">
        <f>I721-H721</f>
        <v>281.07883358947549</v>
      </c>
      <c r="K721" s="2">
        <f t="shared" si="94"/>
        <v>-281.07883358947549</v>
      </c>
      <c r="L721" s="14">
        <f>C721/B721</f>
        <v>1.092967985460646</v>
      </c>
      <c r="M721" s="14">
        <f t="shared" si="96"/>
        <v>1.0902836046548701</v>
      </c>
      <c r="N721" s="14">
        <f t="shared" si="92"/>
        <v>1.0913699922026376</v>
      </c>
      <c r="O721" s="14">
        <f t="shared" si="93"/>
        <v>1.0924921233470515</v>
      </c>
      <c r="P721" s="14">
        <f t="shared" si="95"/>
        <v>1.090832506684402</v>
      </c>
      <c r="Q721" s="4" t="str">
        <f t="shared" si="99"/>
        <v>UNDER</v>
      </c>
      <c r="R721" s="4" t="str">
        <f t="shared" si="99"/>
        <v>UNDER</v>
      </c>
      <c r="S721" s="4" t="str">
        <f t="shared" si="97"/>
        <v>OVER</v>
      </c>
      <c r="T721" s="4" t="str">
        <f t="shared" si="97"/>
        <v>OVER</v>
      </c>
      <c r="U721" s="2">
        <f>IF(Q721="OVER",$J721,$K721)</f>
        <v>-281.07883358947549</v>
      </c>
      <c r="V721" s="2">
        <f>IF(R721="OVER",$J721,$K721)</f>
        <v>-281.07883358947549</v>
      </c>
      <c r="W721" s="2">
        <f>IF(S721="OVER",$J721,$K721)</f>
        <v>281.07883358947549</v>
      </c>
      <c r="X721" s="2">
        <f>IF(T721="OVER",$J721,$K721)</f>
        <v>281.07883358947549</v>
      </c>
      <c r="Y721" s="9">
        <f t="shared" si="98"/>
        <v>-26384.289379774887</v>
      </c>
      <c r="Z721" s="9">
        <f t="shared" si="98"/>
        <v>-26165.204601016037</v>
      </c>
      <c r="AA721" s="9">
        <f t="shared" si="98"/>
        <v>38257.55714575055</v>
      </c>
      <c r="AB721" s="9">
        <f t="shared" si="98"/>
        <v>11535.113101853683</v>
      </c>
    </row>
    <row r="722" spans="1:28" x14ac:dyDescent="0.3">
      <c r="A722" s="1">
        <v>45461</v>
      </c>
      <c r="B722" s="2">
        <v>71.69</v>
      </c>
      <c r="C722" s="2">
        <v>78.209999999999994</v>
      </c>
      <c r="D722" s="9">
        <f>B722-B721</f>
        <v>0.15999999999999659</v>
      </c>
      <c r="E722" s="9">
        <f>C722-C721</f>
        <v>2.9999999999986926E-2</v>
      </c>
      <c r="F722" s="3">
        <f>F$1/B722</f>
        <v>1394.8946854512485</v>
      </c>
      <c r="G722" s="3">
        <f>F$1/C722</f>
        <v>1278.6088735455826</v>
      </c>
      <c r="H722" s="2">
        <f>D722*F721</f>
        <v>223.68237103312819</v>
      </c>
      <c r="I722" s="2">
        <f>E722*G721</f>
        <v>38.372985418248817</v>
      </c>
      <c r="J722" s="2">
        <f>I722-H722</f>
        <v>-185.30938561487937</v>
      </c>
      <c r="K722" s="2">
        <f t="shared" si="94"/>
        <v>185.30938561487937</v>
      </c>
      <c r="L722" s="14">
        <f>C722/B722</f>
        <v>1.0909471334914214</v>
      </c>
      <c r="M722" s="14">
        <f t="shared" si="96"/>
        <v>1.0901744073894868</v>
      </c>
      <c r="N722" s="14">
        <f t="shared" si="92"/>
        <v>1.0913500411849011</v>
      </c>
      <c r="O722" s="14">
        <f t="shared" si="93"/>
        <v>1.0924742748688854</v>
      </c>
      <c r="P722" s="14">
        <f t="shared" si="95"/>
        <v>1.0908494378233409</v>
      </c>
      <c r="Q722" s="4" t="str">
        <f t="shared" si="99"/>
        <v>OVER</v>
      </c>
      <c r="R722" s="4" t="str">
        <f t="shared" si="99"/>
        <v>OVER</v>
      </c>
      <c r="S722" s="4" t="str">
        <f t="shared" si="97"/>
        <v>UNDER</v>
      </c>
      <c r="T722" s="4" t="str">
        <f t="shared" si="97"/>
        <v>OVER</v>
      </c>
      <c r="U722" s="2">
        <f>IF(Q722="OVER",$J722,$K722)</f>
        <v>-185.30938561487937</v>
      </c>
      <c r="V722" s="2">
        <f>IF(R722="OVER",$J722,$K722)</f>
        <v>-185.30938561487937</v>
      </c>
      <c r="W722" s="2">
        <f>IF(S722="OVER",$J722,$K722)</f>
        <v>185.30938561487937</v>
      </c>
      <c r="X722" s="2">
        <f>IF(T722="OVER",$J722,$K722)</f>
        <v>-185.30938561487937</v>
      </c>
      <c r="Y722" s="9">
        <f t="shared" si="98"/>
        <v>-26569.598765389768</v>
      </c>
      <c r="Z722" s="9">
        <f t="shared" si="98"/>
        <v>-26350.513986630918</v>
      </c>
      <c r="AA722" s="9">
        <f t="shared" si="98"/>
        <v>38442.866531365427</v>
      </c>
      <c r="AB722" s="9">
        <f t="shared" si="98"/>
        <v>11349.803716238805</v>
      </c>
    </row>
    <row r="723" spans="1:28" x14ac:dyDescent="0.3">
      <c r="A723" s="1">
        <v>45463</v>
      </c>
      <c r="B723" s="2">
        <v>71.42</v>
      </c>
      <c r="C723" s="2">
        <v>77.91</v>
      </c>
      <c r="D723" s="9">
        <f>B723-B722</f>
        <v>-0.26999999999999602</v>
      </c>
      <c r="E723" s="9">
        <f>C723-C722</f>
        <v>-0.29999999999999716</v>
      </c>
      <c r="F723" s="3">
        <f>F$1/B723</f>
        <v>1400.1680201624195</v>
      </c>
      <c r="G723" s="3">
        <f>F$1/C723</f>
        <v>1283.532280836863</v>
      </c>
      <c r="H723" s="2">
        <f>D723*F722</f>
        <v>-376.62156507183153</v>
      </c>
      <c r="I723" s="2">
        <f>E723*G722</f>
        <v>-383.58266206367114</v>
      </c>
      <c r="J723" s="2">
        <f>I723-H723</f>
        <v>-6.9610969918396108</v>
      </c>
      <c r="K723" s="2">
        <f t="shared" si="94"/>
        <v>6.9610969918396108</v>
      </c>
      <c r="L723" s="14">
        <f>C723/B723</f>
        <v>1.090870904508541</v>
      </c>
      <c r="M723" s="14">
        <f t="shared" si="96"/>
        <v>1.0903126734973259</v>
      </c>
      <c r="N723" s="14">
        <f t="shared" si="92"/>
        <v>1.0912842437067316</v>
      </c>
      <c r="O723" s="14">
        <f t="shared" si="93"/>
        <v>1.0924391253168695</v>
      </c>
      <c r="P723" s="14">
        <f t="shared" si="95"/>
        <v>1.0908525728336884</v>
      </c>
      <c r="Q723" s="4" t="str">
        <f t="shared" si="99"/>
        <v>OVER</v>
      </c>
      <c r="R723" s="4" t="str">
        <f t="shared" si="99"/>
        <v>UNDER</v>
      </c>
      <c r="S723" s="4" t="str">
        <f t="shared" si="97"/>
        <v>UNDER</v>
      </c>
      <c r="T723" s="4" t="str">
        <f t="shared" si="97"/>
        <v>OVER</v>
      </c>
      <c r="U723" s="2">
        <f>IF(Q723="OVER",$J723,$K723)</f>
        <v>-6.9610969918396108</v>
      </c>
      <c r="V723" s="2">
        <f>IF(R723="OVER",$J723,$K723)</f>
        <v>6.9610969918396108</v>
      </c>
      <c r="W723" s="2">
        <f>IF(S723="OVER",$J723,$K723)</f>
        <v>6.9610969918396108</v>
      </c>
      <c r="X723" s="2">
        <f>IF(T723="OVER",$J723,$K723)</f>
        <v>-6.9610969918396108</v>
      </c>
      <c r="Y723" s="9">
        <f t="shared" si="98"/>
        <v>-26576.559862381608</v>
      </c>
      <c r="Z723" s="9">
        <f t="shared" si="98"/>
        <v>-26343.552889639079</v>
      </c>
      <c r="AA723" s="9">
        <f t="shared" si="98"/>
        <v>38449.82762835727</v>
      </c>
      <c r="AB723" s="9">
        <f t="shared" si="98"/>
        <v>11342.842619246965</v>
      </c>
    </row>
    <row r="724" spans="1:28" x14ac:dyDescent="0.3">
      <c r="A724" s="1">
        <v>45464</v>
      </c>
      <c r="B724" s="2">
        <v>71.59</v>
      </c>
      <c r="C724" s="2">
        <v>78.040000000000006</v>
      </c>
      <c r="D724" s="9">
        <f>B724-B723</f>
        <v>0.17000000000000171</v>
      </c>
      <c r="E724" s="9">
        <f>C724-C723</f>
        <v>0.13000000000000966</v>
      </c>
      <c r="F724" s="3">
        <f>F$1/B724</f>
        <v>1396.8431345159938</v>
      </c>
      <c r="G724" s="3">
        <f>F$1/C724</f>
        <v>1281.3941568426446</v>
      </c>
      <c r="H724" s="2">
        <f>D724*F723</f>
        <v>238.0285634276137</v>
      </c>
      <c r="I724" s="2">
        <f>E724*G723</f>
        <v>166.85919650880459</v>
      </c>
      <c r="J724" s="2">
        <f>I724-H724</f>
        <v>-71.169366918809118</v>
      </c>
      <c r="K724" s="2">
        <f t="shared" si="94"/>
        <v>71.169366918809118</v>
      </c>
      <c r="L724" s="14">
        <f>C724/B724</f>
        <v>1.0900963821762817</v>
      </c>
      <c r="M724" s="14">
        <f t="shared" si="96"/>
        <v>1.0902453243837553</v>
      </c>
      <c r="N724" s="14">
        <f t="shared" si="92"/>
        <v>1.0911708107100648</v>
      </c>
      <c r="O724" s="14">
        <f t="shared" si="93"/>
        <v>1.0924175644266914</v>
      </c>
      <c r="P724" s="14">
        <f t="shared" si="95"/>
        <v>1.0908623012214176</v>
      </c>
      <c r="Q724" s="4" t="str">
        <f t="shared" si="99"/>
        <v>OVER</v>
      </c>
      <c r="R724" s="4" t="str">
        <f t="shared" si="99"/>
        <v>UNDER</v>
      </c>
      <c r="S724" s="4" t="str">
        <f t="shared" si="97"/>
        <v>UNDER</v>
      </c>
      <c r="T724" s="4" t="str">
        <f t="shared" si="97"/>
        <v>UNDER</v>
      </c>
      <c r="U724" s="2">
        <f>IF(Q724="OVER",$J724,$K724)</f>
        <v>-71.169366918809118</v>
      </c>
      <c r="V724" s="2">
        <f>IF(R724="OVER",$J724,$K724)</f>
        <v>71.169366918809118</v>
      </c>
      <c r="W724" s="2">
        <f>IF(S724="OVER",$J724,$K724)</f>
        <v>71.169366918809118</v>
      </c>
      <c r="X724" s="2">
        <f>IF(T724="OVER",$J724,$K724)</f>
        <v>71.169366918809118</v>
      </c>
      <c r="Y724" s="9">
        <f t="shared" si="98"/>
        <v>-26647.729229300418</v>
      </c>
      <c r="Z724" s="9">
        <f t="shared" si="98"/>
        <v>-26272.383522720269</v>
      </c>
      <c r="AA724" s="9">
        <f t="shared" si="98"/>
        <v>38520.99699527608</v>
      </c>
      <c r="AB724" s="9">
        <f t="shared" si="98"/>
        <v>11414.011986165775</v>
      </c>
    </row>
    <row r="725" spans="1:28" x14ac:dyDescent="0.3">
      <c r="A725" s="1">
        <v>45467</v>
      </c>
      <c r="B725" s="2">
        <v>71.55</v>
      </c>
      <c r="C725" s="2">
        <v>78.02</v>
      </c>
      <c r="D725" s="9">
        <f>B725-B724</f>
        <v>-4.0000000000006253E-2</v>
      </c>
      <c r="E725" s="9">
        <f>C725-C724</f>
        <v>-2.0000000000010232E-2</v>
      </c>
      <c r="F725" s="3">
        <f>F$1/B725</f>
        <v>1397.6240391334732</v>
      </c>
      <c r="G725" s="3">
        <f>F$1/C725</f>
        <v>1281.7226352217381</v>
      </c>
      <c r="H725" s="2">
        <f>D725*F724</f>
        <v>-55.873725380648487</v>
      </c>
      <c r="I725" s="2">
        <f>E725*G724</f>
        <v>-25.627883136866004</v>
      </c>
      <c r="J725" s="2">
        <f>I725-H725</f>
        <v>30.245842243782484</v>
      </c>
      <c r="K725" s="2">
        <f t="shared" si="94"/>
        <v>-30.245842243782484</v>
      </c>
      <c r="L725" s="14">
        <f>C725/B725</f>
        <v>1.0904262753319356</v>
      </c>
      <c r="M725" s="14">
        <f t="shared" si="96"/>
        <v>1.0905050159069112</v>
      </c>
      <c r="N725" s="14">
        <f t="shared" si="92"/>
        <v>1.0910858526996579</v>
      </c>
      <c r="O725" s="14">
        <f t="shared" si="93"/>
        <v>1.0923867224759851</v>
      </c>
      <c r="P725" s="14">
        <f t="shared" si="95"/>
        <v>1.0908625732726231</v>
      </c>
      <c r="Q725" s="4" t="str">
        <f t="shared" si="99"/>
        <v>UNDER</v>
      </c>
      <c r="R725" s="4" t="str">
        <f t="shared" si="99"/>
        <v>UNDER</v>
      </c>
      <c r="S725" s="4" t="str">
        <f t="shared" si="97"/>
        <v>UNDER</v>
      </c>
      <c r="T725" s="4" t="str">
        <f t="shared" si="97"/>
        <v>UNDER</v>
      </c>
      <c r="U725" s="2">
        <f>IF(Q725="OVER",$J725,$K725)</f>
        <v>-30.245842243782484</v>
      </c>
      <c r="V725" s="2">
        <f>IF(R725="OVER",$J725,$K725)</f>
        <v>-30.245842243782484</v>
      </c>
      <c r="W725" s="2">
        <f>IF(S725="OVER",$J725,$K725)</f>
        <v>-30.245842243782484</v>
      </c>
      <c r="X725" s="2">
        <f>IF(T725="OVER",$J725,$K725)</f>
        <v>-30.245842243782484</v>
      </c>
      <c r="Y725" s="9">
        <f t="shared" si="98"/>
        <v>-26677.975071544199</v>
      </c>
      <c r="Z725" s="9">
        <f t="shared" si="98"/>
        <v>-26302.62936496405</v>
      </c>
      <c r="AA725" s="9">
        <f t="shared" si="98"/>
        <v>38490.751153032295</v>
      </c>
      <c r="AB725" s="9">
        <f t="shared" si="98"/>
        <v>11383.766143921992</v>
      </c>
    </row>
    <row r="726" spans="1:28" x14ac:dyDescent="0.3">
      <c r="A726" s="1">
        <v>45468</v>
      </c>
      <c r="B726" s="2">
        <v>71.73</v>
      </c>
      <c r="C726" s="2">
        <v>78.260000000000005</v>
      </c>
      <c r="D726" s="9">
        <f>B726-B725</f>
        <v>0.18000000000000682</v>
      </c>
      <c r="E726" s="9">
        <f>C726-C725</f>
        <v>0.24000000000000909</v>
      </c>
      <c r="F726" s="3">
        <f>F$1/B726</f>
        <v>1394.1168269901018</v>
      </c>
      <c r="G726" s="3">
        <f>F$1/C726</f>
        <v>1277.791975466394</v>
      </c>
      <c r="H726" s="2">
        <f>D726*F725</f>
        <v>251.57232704403469</v>
      </c>
      <c r="I726" s="2">
        <f>E726*G725</f>
        <v>307.61343245322877</v>
      </c>
      <c r="J726" s="2">
        <f>I726-H726</f>
        <v>56.041105409194074</v>
      </c>
      <c r="K726" s="2">
        <f t="shared" si="94"/>
        <v>-56.041105409194074</v>
      </c>
      <c r="L726" s="14">
        <f>C726/B726</f>
        <v>1.0910358288024538</v>
      </c>
      <c r="M726" s="14">
        <f t="shared" si="96"/>
        <v>1.0907768880778381</v>
      </c>
      <c r="N726" s="14">
        <f t="shared" si="92"/>
        <v>1.0910959659342974</v>
      </c>
      <c r="O726" s="14">
        <f t="shared" si="93"/>
        <v>1.0923456024892708</v>
      </c>
      <c r="P726" s="14">
        <f t="shared" si="95"/>
        <v>1.0908637335896985</v>
      </c>
      <c r="Q726" s="4" t="str">
        <f t="shared" si="99"/>
        <v>UNDER</v>
      </c>
      <c r="R726" s="4" t="str">
        <f t="shared" si="99"/>
        <v>UNDER</v>
      </c>
      <c r="S726" s="4" t="str">
        <f t="shared" si="97"/>
        <v>UNDER</v>
      </c>
      <c r="T726" s="4" t="str">
        <f t="shared" si="97"/>
        <v>OVER</v>
      </c>
      <c r="U726" s="2">
        <f>IF(Q726="OVER",$J726,$K726)</f>
        <v>-56.041105409194074</v>
      </c>
      <c r="V726" s="2">
        <f>IF(R726="OVER",$J726,$K726)</f>
        <v>-56.041105409194074</v>
      </c>
      <c r="W726" s="2">
        <f>IF(S726="OVER",$J726,$K726)</f>
        <v>-56.041105409194074</v>
      </c>
      <c r="X726" s="2">
        <f>IF(T726="OVER",$J726,$K726)</f>
        <v>56.041105409194074</v>
      </c>
      <c r="Y726" s="9">
        <f t="shared" si="98"/>
        <v>-26734.016176953392</v>
      </c>
      <c r="Z726" s="9">
        <f t="shared" si="98"/>
        <v>-26358.670470373243</v>
      </c>
      <c r="AA726" s="9">
        <f t="shared" si="98"/>
        <v>38434.710047623099</v>
      </c>
      <c r="AB726" s="9">
        <f t="shared" si="98"/>
        <v>11439.807249331187</v>
      </c>
    </row>
    <row r="727" spans="1:28" x14ac:dyDescent="0.3">
      <c r="A727" s="1">
        <v>45469</v>
      </c>
      <c r="B727" s="2">
        <v>71.91</v>
      </c>
      <c r="C727" s="2">
        <v>78.459999999999994</v>
      </c>
      <c r="D727" s="9">
        <f>B727-B726</f>
        <v>0.17999999999999261</v>
      </c>
      <c r="E727" s="9">
        <f>C727-C726</f>
        <v>0.19999999999998863</v>
      </c>
      <c r="F727" s="3">
        <f>F$1/B727</f>
        <v>1390.6271728549577</v>
      </c>
      <c r="G727" s="3">
        <f>F$1/C727</f>
        <v>1274.5347947998982</v>
      </c>
      <c r="H727" s="2">
        <f>D727*F726</f>
        <v>250.94102885820803</v>
      </c>
      <c r="I727" s="2">
        <f>E727*G726</f>
        <v>255.55839509326427</v>
      </c>
      <c r="J727" s="2">
        <f>I727-H727</f>
        <v>4.6173662350562381</v>
      </c>
      <c r="K727" s="2">
        <f t="shared" si="94"/>
        <v>-4.6173662350562381</v>
      </c>
      <c r="L727" s="14">
        <f>C727/B727</f>
        <v>1.0910860798219997</v>
      </c>
      <c r="M727" s="14">
        <f t="shared" si="96"/>
        <v>1.0907502101465094</v>
      </c>
      <c r="N727" s="14">
        <f t="shared" ref="N727:N790" si="100">AVERAGE(L708:L727)</f>
        <v>1.0910544781203031</v>
      </c>
      <c r="O727" s="14">
        <f t="shared" si="93"/>
        <v>1.092305274695986</v>
      </c>
      <c r="P727" s="14">
        <f t="shared" si="95"/>
        <v>1.0908665278358536</v>
      </c>
      <c r="Q727" s="4" t="str">
        <f t="shared" si="99"/>
        <v>OVER</v>
      </c>
      <c r="R727" s="4" t="str">
        <f t="shared" si="99"/>
        <v>UNDER</v>
      </c>
      <c r="S727" s="4" t="str">
        <f t="shared" si="97"/>
        <v>UNDER</v>
      </c>
      <c r="T727" s="4" t="str">
        <f t="shared" si="97"/>
        <v>OVER</v>
      </c>
      <c r="U727" s="2">
        <f>IF(Q727="OVER",$J727,$K727)</f>
        <v>4.6173662350562381</v>
      </c>
      <c r="V727" s="2">
        <f>IF(R727="OVER",$J727,$K727)</f>
        <v>-4.6173662350562381</v>
      </c>
      <c r="W727" s="2">
        <f>IF(S727="OVER",$J727,$K727)</f>
        <v>-4.6173662350562381</v>
      </c>
      <c r="X727" s="2">
        <f>IF(T727="OVER",$J727,$K727)</f>
        <v>4.6173662350562381</v>
      </c>
      <c r="Y727" s="9">
        <f t="shared" si="98"/>
        <v>-26729.398810718336</v>
      </c>
      <c r="Z727" s="9">
        <f t="shared" si="98"/>
        <v>-26363.287836608299</v>
      </c>
      <c r="AA727" s="9">
        <f t="shared" si="98"/>
        <v>38430.092681388043</v>
      </c>
      <c r="AB727" s="9">
        <f t="shared" si="98"/>
        <v>11444.424615566242</v>
      </c>
    </row>
    <row r="728" spans="1:28" x14ac:dyDescent="0.3">
      <c r="A728" s="1">
        <v>45470</v>
      </c>
      <c r="B728" s="2">
        <v>72.19</v>
      </c>
      <c r="C728" s="2">
        <v>78.81</v>
      </c>
      <c r="D728" s="9">
        <f>B728-B727</f>
        <v>0.28000000000000114</v>
      </c>
      <c r="E728" s="9">
        <f>C728-C727</f>
        <v>0.35000000000000853</v>
      </c>
      <c r="F728" s="3">
        <f>F$1/B728</f>
        <v>1385.2334118298934</v>
      </c>
      <c r="G728" s="3">
        <f>F$1/C728</f>
        <v>1268.874508311128</v>
      </c>
      <c r="H728" s="2">
        <f>D728*F727</f>
        <v>389.37560839938976</v>
      </c>
      <c r="I728" s="2">
        <f>E728*G727</f>
        <v>446.08717817997524</v>
      </c>
      <c r="J728" s="2">
        <f>I728-H728</f>
        <v>56.711569780585478</v>
      </c>
      <c r="K728" s="2">
        <f t="shared" si="94"/>
        <v>-56.711569780585478</v>
      </c>
      <c r="L728" s="14">
        <f>C728/B728</f>
        <v>1.0917024518631391</v>
      </c>
      <c r="M728" s="14">
        <f t="shared" si="96"/>
        <v>1.0909150603957642</v>
      </c>
      <c r="N728" s="14">
        <f t="shared" si="100"/>
        <v>1.0909178822032075</v>
      </c>
      <c r="O728" s="14">
        <f t="shared" si="93"/>
        <v>1.092263076228259</v>
      </c>
      <c r="P728" s="14">
        <f t="shared" si="95"/>
        <v>1.0908737765572629</v>
      </c>
      <c r="Q728" s="4" t="str">
        <f t="shared" si="99"/>
        <v>OVER</v>
      </c>
      <c r="R728" s="4" t="str">
        <f t="shared" si="99"/>
        <v>OVER</v>
      </c>
      <c r="S728" s="4" t="str">
        <f t="shared" si="97"/>
        <v>UNDER</v>
      </c>
      <c r="T728" s="4" t="str">
        <f t="shared" si="97"/>
        <v>OVER</v>
      </c>
      <c r="U728" s="2">
        <f>IF(Q728="OVER",$J728,$K728)</f>
        <v>56.711569780585478</v>
      </c>
      <c r="V728" s="2">
        <f>IF(R728="OVER",$J728,$K728)</f>
        <v>56.711569780585478</v>
      </c>
      <c r="W728" s="2">
        <f>IF(S728="OVER",$J728,$K728)</f>
        <v>-56.711569780585478</v>
      </c>
      <c r="X728" s="2">
        <f>IF(T728="OVER",$J728,$K728)</f>
        <v>56.711569780585478</v>
      </c>
      <c r="Y728" s="9">
        <f t="shared" si="98"/>
        <v>-26672.68724093775</v>
      </c>
      <c r="Z728" s="9">
        <f t="shared" si="98"/>
        <v>-26306.576266827713</v>
      </c>
      <c r="AA728" s="9">
        <f t="shared" si="98"/>
        <v>38373.381111607458</v>
      </c>
      <c r="AB728" s="9">
        <f t="shared" si="98"/>
        <v>11501.136185346828</v>
      </c>
    </row>
    <row r="729" spans="1:28" x14ac:dyDescent="0.3">
      <c r="A729" s="1">
        <v>45471</v>
      </c>
      <c r="B729" s="2">
        <v>72.06</v>
      </c>
      <c r="C729" s="2">
        <v>78.63</v>
      </c>
      <c r="D729" s="9">
        <f>B729-B728</f>
        <v>-0.12999999999999545</v>
      </c>
      <c r="E729" s="9">
        <f>C729-C728</f>
        <v>-0.18000000000000682</v>
      </c>
      <c r="F729" s="3">
        <f>F$1/B729</f>
        <v>1387.7324451845684</v>
      </c>
      <c r="G729" s="3">
        <f>F$1/C729</f>
        <v>1271.7792191275596</v>
      </c>
      <c r="H729" s="2">
        <f>D729*F728</f>
        <v>-180.08034353787983</v>
      </c>
      <c r="I729" s="2">
        <f>E729*G728</f>
        <v>-228.3974114960117</v>
      </c>
      <c r="J729" s="2">
        <f>I729-H729</f>
        <v>-48.317067958131872</v>
      </c>
      <c r="K729" s="2">
        <f t="shared" si="94"/>
        <v>48.317067958131872</v>
      </c>
      <c r="L729" s="14">
        <f>C729/B729</f>
        <v>1.0911740216486261</v>
      </c>
      <c r="M729" s="14">
        <f t="shared" si="96"/>
        <v>1.0910211984805269</v>
      </c>
      <c r="N729" s="14">
        <f t="shared" si="100"/>
        <v>1.0908358228718842</v>
      </c>
      <c r="O729" s="14">
        <f t="shared" si="93"/>
        <v>1.0921982549900418</v>
      </c>
      <c r="P729" s="14">
        <f t="shared" si="95"/>
        <v>1.0908733921463449</v>
      </c>
      <c r="Q729" s="4" t="str">
        <f t="shared" si="99"/>
        <v>OVER</v>
      </c>
      <c r="R729" s="4" t="str">
        <f t="shared" si="99"/>
        <v>OVER</v>
      </c>
      <c r="S729" s="4" t="str">
        <f t="shared" si="97"/>
        <v>UNDER</v>
      </c>
      <c r="T729" s="4" t="str">
        <f t="shared" si="97"/>
        <v>OVER</v>
      </c>
      <c r="U729" s="2">
        <f>IF(Q729="OVER",$J729,$K729)</f>
        <v>-48.317067958131872</v>
      </c>
      <c r="V729" s="2">
        <f>IF(R729="OVER",$J729,$K729)</f>
        <v>-48.317067958131872</v>
      </c>
      <c r="W729" s="2">
        <f>IF(S729="OVER",$J729,$K729)</f>
        <v>48.317067958131872</v>
      </c>
      <c r="X729" s="2">
        <f>IF(T729="OVER",$J729,$K729)</f>
        <v>-48.317067958131872</v>
      </c>
      <c r="Y729" s="9">
        <f t="shared" si="98"/>
        <v>-26721.004308895881</v>
      </c>
      <c r="Z729" s="9">
        <f t="shared" si="98"/>
        <v>-26354.893334785844</v>
      </c>
      <c r="AA729" s="9">
        <f t="shared" si="98"/>
        <v>38421.698179565588</v>
      </c>
      <c r="AB729" s="9">
        <f t="shared" si="98"/>
        <v>11452.819117388695</v>
      </c>
    </row>
    <row r="730" spans="1:28" x14ac:dyDescent="0.3">
      <c r="A730" s="1">
        <v>45474</v>
      </c>
      <c r="B730" s="2">
        <v>71.900000000000006</v>
      </c>
      <c r="C730" s="2">
        <v>78.33</v>
      </c>
      <c r="D730" s="9">
        <f>B730-B729</f>
        <v>-0.15999999999999659</v>
      </c>
      <c r="E730" s="9">
        <f>C730-C729</f>
        <v>-0.29999999999999716</v>
      </c>
      <c r="F730" s="3">
        <f>F$1/B730</f>
        <v>1390.8205841446452</v>
      </c>
      <c r="G730" s="3">
        <f>F$1/C730</f>
        <v>1276.6500702157539</v>
      </c>
      <c r="H730" s="2">
        <f>D730*F729</f>
        <v>-222.0371912295262</v>
      </c>
      <c r="I730" s="2">
        <f>E730*G729</f>
        <v>-381.53376573826426</v>
      </c>
      <c r="J730" s="2">
        <f>I730-H730</f>
        <v>-159.49657450873806</v>
      </c>
      <c r="K730" s="2">
        <f t="shared" si="94"/>
        <v>159.49657450873806</v>
      </c>
      <c r="L730" s="14">
        <f>C730/B730</f>
        <v>1.0894297635605006</v>
      </c>
      <c r="M730" s="14">
        <f t="shared" si="96"/>
        <v>1.0909736826665546</v>
      </c>
      <c r="N730" s="14">
        <f t="shared" si="100"/>
        <v>1.0906889212075765</v>
      </c>
      <c r="O730" s="14">
        <f t="shared" si="93"/>
        <v>1.0921268502612518</v>
      </c>
      <c r="P730" s="14">
        <f t="shared" si="95"/>
        <v>1.0908729743361054</v>
      </c>
      <c r="Q730" s="4" t="str">
        <f t="shared" si="99"/>
        <v>OVER</v>
      </c>
      <c r="R730" s="4" t="str">
        <f t="shared" si="99"/>
        <v>OVER</v>
      </c>
      <c r="S730" s="4" t="str">
        <f t="shared" si="97"/>
        <v>UNDER</v>
      </c>
      <c r="T730" s="4" t="str">
        <f t="shared" si="97"/>
        <v>UNDER</v>
      </c>
      <c r="U730" s="2">
        <f>IF(Q730="OVER",$J730,$K730)</f>
        <v>-159.49657450873806</v>
      </c>
      <c r="V730" s="2">
        <f>IF(R730="OVER",$J730,$K730)</f>
        <v>-159.49657450873806</v>
      </c>
      <c r="W730" s="2">
        <f>IF(S730="OVER",$J730,$K730)</f>
        <v>159.49657450873806</v>
      </c>
      <c r="X730" s="2">
        <f>IF(T730="OVER",$J730,$K730)</f>
        <v>159.49657450873806</v>
      </c>
      <c r="Y730" s="9">
        <f t="shared" si="98"/>
        <v>-26880.50088340462</v>
      </c>
      <c r="Z730" s="9">
        <f t="shared" si="98"/>
        <v>-26514.389909294583</v>
      </c>
      <c r="AA730" s="9">
        <f t="shared" si="98"/>
        <v>38581.194754074328</v>
      </c>
      <c r="AB730" s="9">
        <f t="shared" si="98"/>
        <v>11612.315691897433</v>
      </c>
    </row>
    <row r="731" spans="1:28" x14ac:dyDescent="0.3">
      <c r="A731" s="1">
        <v>45475</v>
      </c>
      <c r="B731" s="2">
        <v>72.010000000000005</v>
      </c>
      <c r="C731" s="2">
        <v>78.510000000000005</v>
      </c>
      <c r="D731" s="9">
        <f>B731-B730</f>
        <v>0.10999999999999943</v>
      </c>
      <c r="E731" s="9">
        <f>C731-C730</f>
        <v>0.18000000000000682</v>
      </c>
      <c r="F731" s="3">
        <f>F$1/B731</f>
        <v>1388.6960144424384</v>
      </c>
      <c r="G731" s="3">
        <f>F$1/C731</f>
        <v>1273.7230925996687</v>
      </c>
      <c r="H731" s="2">
        <f>D731*F730</f>
        <v>152.99026425591018</v>
      </c>
      <c r="I731" s="2">
        <f>E731*G730</f>
        <v>229.79701263884442</v>
      </c>
      <c r="J731" s="2">
        <f>I731-H731</f>
        <v>76.806748382934245</v>
      </c>
      <c r="K731" s="2">
        <f t="shared" si="94"/>
        <v>-76.806748382934245</v>
      </c>
      <c r="L731" s="14">
        <f>C731/B731</f>
        <v>1.0902652409387585</v>
      </c>
      <c r="M731" s="14">
        <f t="shared" si="96"/>
        <v>1.0907034082143658</v>
      </c>
      <c r="N731" s="14">
        <f t="shared" si="100"/>
        <v>1.0904935064346177</v>
      </c>
      <c r="O731" s="14">
        <f t="shared" si="93"/>
        <v>1.0920557182984176</v>
      </c>
      <c r="P731" s="14">
        <f t="shared" si="95"/>
        <v>1.0908820011603064</v>
      </c>
      <c r="Q731" s="4" t="str">
        <f t="shared" si="99"/>
        <v>UNDER</v>
      </c>
      <c r="R731" s="4" t="str">
        <f t="shared" si="99"/>
        <v>UNDER</v>
      </c>
      <c r="S731" s="4" t="str">
        <f t="shared" si="97"/>
        <v>UNDER</v>
      </c>
      <c r="T731" s="4" t="str">
        <f t="shared" si="97"/>
        <v>UNDER</v>
      </c>
      <c r="U731" s="2">
        <f>IF(Q731="OVER",$J731,$K731)</f>
        <v>-76.806748382934245</v>
      </c>
      <c r="V731" s="2">
        <f>IF(R731="OVER",$J731,$K731)</f>
        <v>-76.806748382934245</v>
      </c>
      <c r="W731" s="2">
        <f>IF(S731="OVER",$J731,$K731)</f>
        <v>-76.806748382934245</v>
      </c>
      <c r="X731" s="2">
        <f>IF(T731="OVER",$J731,$K731)</f>
        <v>-76.806748382934245</v>
      </c>
      <c r="Y731" s="9">
        <f t="shared" si="98"/>
        <v>-26957.307631787553</v>
      </c>
      <c r="Z731" s="9">
        <f t="shared" si="98"/>
        <v>-26591.196657677516</v>
      </c>
      <c r="AA731" s="9">
        <f t="shared" si="98"/>
        <v>38504.388005691391</v>
      </c>
      <c r="AB731" s="9">
        <f t="shared" si="98"/>
        <v>11535.508943514498</v>
      </c>
    </row>
    <row r="732" spans="1:28" x14ac:dyDescent="0.3">
      <c r="A732" s="1">
        <v>45476</v>
      </c>
      <c r="B732" s="2">
        <v>72.06</v>
      </c>
      <c r="C732" s="2">
        <v>78.63</v>
      </c>
      <c r="D732" s="9">
        <f>B732-B731</f>
        <v>4.9999999999997158E-2</v>
      </c>
      <c r="E732" s="9">
        <f>C732-C731</f>
        <v>0.11999999999999034</v>
      </c>
      <c r="F732" s="3">
        <f>F$1/B732</f>
        <v>1387.7324451845684</v>
      </c>
      <c r="G732" s="3">
        <f>F$1/C732</f>
        <v>1271.7792191275596</v>
      </c>
      <c r="H732" s="2">
        <f>D732*F731</f>
        <v>69.43480072211797</v>
      </c>
      <c r="I732" s="2">
        <f>E732*G731</f>
        <v>152.84677111194793</v>
      </c>
      <c r="J732" s="2">
        <f>I732-H732</f>
        <v>83.41197038982996</v>
      </c>
      <c r="K732" s="2">
        <f t="shared" si="94"/>
        <v>-83.41197038982996</v>
      </c>
      <c r="L732" s="14">
        <f>C732/B732</f>
        <v>1.0911740216486261</v>
      </c>
      <c r="M732" s="14">
        <f t="shared" si="96"/>
        <v>1.0907260970300865</v>
      </c>
      <c r="N732" s="14">
        <f t="shared" si="100"/>
        <v>1.0904502522097865</v>
      </c>
      <c r="O732" s="14">
        <f t="shared" si="93"/>
        <v>1.0920108942034659</v>
      </c>
      <c r="P732" s="14">
        <f t="shared" si="95"/>
        <v>1.0908857628784612</v>
      </c>
      <c r="Q732" s="4" t="str">
        <f t="shared" si="99"/>
        <v>UNDER</v>
      </c>
      <c r="R732" s="4" t="str">
        <f t="shared" si="99"/>
        <v>UNDER</v>
      </c>
      <c r="S732" s="4" t="str">
        <f t="shared" si="97"/>
        <v>UNDER</v>
      </c>
      <c r="T732" s="4" t="str">
        <f t="shared" si="97"/>
        <v>OVER</v>
      </c>
      <c r="U732" s="2">
        <f>IF(Q732="OVER",$J732,$K732)</f>
        <v>-83.41197038982996</v>
      </c>
      <c r="V732" s="2">
        <f>IF(R732="OVER",$J732,$K732)</f>
        <v>-83.41197038982996</v>
      </c>
      <c r="W732" s="2">
        <f>IF(S732="OVER",$J732,$K732)</f>
        <v>-83.41197038982996</v>
      </c>
      <c r="X732" s="2">
        <f>IF(T732="OVER",$J732,$K732)</f>
        <v>83.41197038982996</v>
      </c>
      <c r="Y732" s="9">
        <f t="shared" si="98"/>
        <v>-27040.719602177382</v>
      </c>
      <c r="Z732" s="9">
        <f t="shared" si="98"/>
        <v>-26674.608628067344</v>
      </c>
      <c r="AA732" s="9">
        <f t="shared" si="98"/>
        <v>38420.976035301559</v>
      </c>
      <c r="AB732" s="9">
        <f t="shared" si="98"/>
        <v>11618.920913904329</v>
      </c>
    </row>
    <row r="733" spans="1:28" x14ac:dyDescent="0.3">
      <c r="A733" s="1">
        <v>45478</v>
      </c>
      <c r="B733" s="2">
        <v>72.209999999999994</v>
      </c>
      <c r="C733" s="2">
        <v>78.739999999999995</v>
      </c>
      <c r="D733" s="9">
        <f>B733-B732</f>
        <v>0.14999999999999147</v>
      </c>
      <c r="E733" s="9">
        <f>C733-C732</f>
        <v>0.10999999999999943</v>
      </c>
      <c r="F733" s="3">
        <f>F$1/B733</f>
        <v>1384.8497438027975</v>
      </c>
      <c r="G733" s="3">
        <f>F$1/C733</f>
        <v>1270.0025400050802</v>
      </c>
      <c r="H733" s="2">
        <f>D733*F732</f>
        <v>208.15986677767341</v>
      </c>
      <c r="I733" s="2">
        <f>E733*G732</f>
        <v>139.89571410403084</v>
      </c>
      <c r="J733" s="2">
        <f>I733-H733</f>
        <v>-68.26415267364257</v>
      </c>
      <c r="K733" s="2">
        <f t="shared" si="94"/>
        <v>68.26415267364257</v>
      </c>
      <c r="L733" s="14">
        <f>C733/B733</f>
        <v>1.0904306882703227</v>
      </c>
      <c r="M733" s="14">
        <f t="shared" si="96"/>
        <v>1.0906820754062645</v>
      </c>
      <c r="N733" s="14">
        <f t="shared" si="100"/>
        <v>1.0904973744517954</v>
      </c>
      <c r="O733" s="14">
        <f t="shared" si="93"/>
        <v>1.0919617389882417</v>
      </c>
      <c r="P733" s="14">
        <f t="shared" si="95"/>
        <v>1.0908733757635292</v>
      </c>
      <c r="Q733" s="4" t="str">
        <f t="shared" si="99"/>
        <v>OVER</v>
      </c>
      <c r="R733" s="4" t="str">
        <f t="shared" si="99"/>
        <v>OVER</v>
      </c>
      <c r="S733" s="4" t="str">
        <f t="shared" si="97"/>
        <v>UNDER</v>
      </c>
      <c r="T733" s="4" t="str">
        <f t="shared" si="97"/>
        <v>UNDER</v>
      </c>
      <c r="U733" s="2">
        <f>IF(Q733="OVER",$J733,$K733)</f>
        <v>-68.26415267364257</v>
      </c>
      <c r="V733" s="2">
        <f>IF(R733="OVER",$J733,$K733)</f>
        <v>-68.26415267364257</v>
      </c>
      <c r="W733" s="2">
        <f>IF(S733="OVER",$J733,$K733)</f>
        <v>68.26415267364257</v>
      </c>
      <c r="X733" s="2">
        <f>IF(T733="OVER",$J733,$K733)</f>
        <v>68.26415267364257</v>
      </c>
      <c r="Y733" s="9">
        <f t="shared" si="98"/>
        <v>-27108.983754851026</v>
      </c>
      <c r="Z733" s="9">
        <f t="shared" si="98"/>
        <v>-26742.872780740989</v>
      </c>
      <c r="AA733" s="9">
        <f t="shared" si="98"/>
        <v>38489.2401879752</v>
      </c>
      <c r="AB733" s="9">
        <f t="shared" si="98"/>
        <v>11687.185066577971</v>
      </c>
    </row>
    <row r="734" spans="1:28" x14ac:dyDescent="0.3">
      <c r="A734" s="1">
        <v>45481</v>
      </c>
      <c r="B734" s="2">
        <v>72.33</v>
      </c>
      <c r="C734" s="2">
        <v>78.930000000000007</v>
      </c>
      <c r="D734" s="9">
        <f>B734-B733</f>
        <v>0.12000000000000455</v>
      </c>
      <c r="E734" s="9">
        <f>C734-C733</f>
        <v>0.19000000000001194</v>
      </c>
      <c r="F734" s="3">
        <f>F$1/B734</f>
        <v>1382.5521913452233</v>
      </c>
      <c r="G734" s="3">
        <f>F$1/C734</f>
        <v>1266.9453946534902</v>
      </c>
      <c r="H734" s="2">
        <f>D734*F733</f>
        <v>166.181969256342</v>
      </c>
      <c r="I734" s="2">
        <f>E734*G733</f>
        <v>241.30048260098039</v>
      </c>
      <c r="J734" s="2">
        <f>I734-H734</f>
        <v>75.118513344638387</v>
      </c>
      <c r="K734" s="2">
        <f t="shared" si="94"/>
        <v>-75.118513344638387</v>
      </c>
      <c r="L734" s="14">
        <f>C734/B734</f>
        <v>1.0912484446287849</v>
      </c>
      <c r="M734" s="14">
        <f t="shared" si="96"/>
        <v>1.0907972816515148</v>
      </c>
      <c r="N734" s="14">
        <f t="shared" si="100"/>
        <v>1.0905213030176351</v>
      </c>
      <c r="O734" s="14">
        <f t="shared" si="93"/>
        <v>1.0919178136432413</v>
      </c>
      <c r="P734" s="14">
        <f t="shared" si="95"/>
        <v>1.0908858353021873</v>
      </c>
      <c r="Q734" s="4" t="str">
        <f t="shared" si="99"/>
        <v>UNDER</v>
      </c>
      <c r="R734" s="4" t="str">
        <f t="shared" si="99"/>
        <v>UNDER</v>
      </c>
      <c r="S734" s="4" t="str">
        <f t="shared" si="97"/>
        <v>UNDER</v>
      </c>
      <c r="T734" s="4" t="str">
        <f t="shared" si="97"/>
        <v>OVER</v>
      </c>
      <c r="U734" s="2">
        <f>IF(Q734="OVER",$J734,$K734)</f>
        <v>-75.118513344638387</v>
      </c>
      <c r="V734" s="2">
        <f>IF(R734="OVER",$J734,$K734)</f>
        <v>-75.118513344638387</v>
      </c>
      <c r="W734" s="2">
        <f>IF(S734="OVER",$J734,$K734)</f>
        <v>-75.118513344638387</v>
      </c>
      <c r="X734" s="2">
        <f>IF(T734="OVER",$J734,$K734)</f>
        <v>75.118513344638387</v>
      </c>
      <c r="Y734" s="9">
        <f t="shared" si="98"/>
        <v>-27184.102268195664</v>
      </c>
      <c r="Z734" s="9">
        <f t="shared" si="98"/>
        <v>-26817.991294085627</v>
      </c>
      <c r="AA734" s="9">
        <f t="shared" si="98"/>
        <v>38414.121674630558</v>
      </c>
      <c r="AB734" s="9">
        <f t="shared" si="98"/>
        <v>11762.303579922609</v>
      </c>
    </row>
    <row r="735" spans="1:28" x14ac:dyDescent="0.3">
      <c r="A735" s="1">
        <v>45482</v>
      </c>
      <c r="B735" s="2">
        <v>72.14</v>
      </c>
      <c r="C735" s="2">
        <v>78.84</v>
      </c>
      <c r="D735" s="9">
        <f>B735-B734</f>
        <v>-0.18999999999999773</v>
      </c>
      <c r="E735" s="9">
        <f>C735-C734</f>
        <v>-9.0000000000003411E-2</v>
      </c>
      <c r="F735" s="3">
        <f>F$1/B735</f>
        <v>1386.193512614361</v>
      </c>
      <c r="G735" s="3">
        <f>F$1/C735</f>
        <v>1268.3916793505834</v>
      </c>
      <c r="H735" s="2">
        <f>D735*F734</f>
        <v>-262.68491635558928</v>
      </c>
      <c r="I735" s="2">
        <f>E735*G734</f>
        <v>-114.02508551881844</v>
      </c>
      <c r="J735" s="2">
        <f>I735-H735</f>
        <v>148.65983083677082</v>
      </c>
      <c r="K735" s="2">
        <f t="shared" si="94"/>
        <v>-148.65983083677082</v>
      </c>
      <c r="L735" s="14">
        <f>C735/B735</f>
        <v>1.0928749653451622</v>
      </c>
      <c r="M735" s="14">
        <f t="shared" si="96"/>
        <v>1.0910421506528372</v>
      </c>
      <c r="N735" s="14">
        <f t="shared" si="100"/>
        <v>1.0907735832798746</v>
      </c>
      <c r="O735" s="14">
        <f t="shared" si="93"/>
        <v>1.0918954322175021</v>
      </c>
      <c r="P735" s="14">
        <f t="shared" si="95"/>
        <v>1.090895797291568</v>
      </c>
      <c r="Q735" s="4" t="str">
        <f t="shared" si="99"/>
        <v>OVER</v>
      </c>
      <c r="R735" s="4" t="str">
        <f t="shared" si="99"/>
        <v>OVER</v>
      </c>
      <c r="S735" s="4" t="str">
        <f t="shared" si="97"/>
        <v>OVER</v>
      </c>
      <c r="T735" s="4" t="str">
        <f t="shared" si="97"/>
        <v>OVER</v>
      </c>
      <c r="U735" s="2">
        <f>IF(Q735="OVER",$J735,$K735)</f>
        <v>148.65983083677082</v>
      </c>
      <c r="V735" s="2">
        <f>IF(R735="OVER",$J735,$K735)</f>
        <v>148.65983083677082</v>
      </c>
      <c r="W735" s="2">
        <f>IF(S735="OVER",$J735,$K735)</f>
        <v>148.65983083677082</v>
      </c>
      <c r="X735" s="2">
        <f>IF(T735="OVER",$J735,$K735)</f>
        <v>148.65983083677082</v>
      </c>
      <c r="Y735" s="9">
        <f t="shared" si="98"/>
        <v>-27035.442437358892</v>
      </c>
      <c r="Z735" s="9">
        <f t="shared" si="98"/>
        <v>-26669.331463248855</v>
      </c>
      <c r="AA735" s="9">
        <f t="shared" si="98"/>
        <v>38562.781505467326</v>
      </c>
      <c r="AB735" s="9">
        <f t="shared" si="98"/>
        <v>11910.963410759379</v>
      </c>
    </row>
    <row r="736" spans="1:28" x14ac:dyDescent="0.3">
      <c r="A736" s="1">
        <v>45483</v>
      </c>
      <c r="B736" s="2">
        <v>72.42</v>
      </c>
      <c r="C736" s="2">
        <v>79.010000000000005</v>
      </c>
      <c r="D736" s="9">
        <f>B736-B735</f>
        <v>0.28000000000000114</v>
      </c>
      <c r="E736" s="9">
        <f>C736-C735</f>
        <v>0.17000000000000171</v>
      </c>
      <c r="F736" s="3">
        <f>F$1/B736</f>
        <v>1380.8340237503451</v>
      </c>
      <c r="G736" s="3">
        <f>F$1/C736</f>
        <v>1265.6625743576762</v>
      </c>
      <c r="H736" s="2">
        <f>D736*F735</f>
        <v>388.13418353202263</v>
      </c>
      <c r="I736" s="2">
        <f>E736*G735</f>
        <v>215.62658548960135</v>
      </c>
      <c r="J736" s="2">
        <f>I736-H736</f>
        <v>-172.50759804242128</v>
      </c>
      <c r="K736" s="2">
        <f t="shared" si="94"/>
        <v>172.50759804242128</v>
      </c>
      <c r="L736" s="14">
        <f>C736/B736</f>
        <v>1.0909969621651479</v>
      </c>
      <c r="M736" s="14">
        <f t="shared" si="96"/>
        <v>1.0910382639891067</v>
      </c>
      <c r="N736" s="14">
        <f t="shared" si="100"/>
        <v>1.0909075760334725</v>
      </c>
      <c r="O736" s="14">
        <f t="shared" si="93"/>
        <v>1.0918519471712533</v>
      </c>
      <c r="P736" s="14">
        <f t="shared" si="95"/>
        <v>1.09090305382714</v>
      </c>
      <c r="Q736" s="4" t="str">
        <f t="shared" si="99"/>
        <v>OVER</v>
      </c>
      <c r="R736" s="4" t="str">
        <f t="shared" si="99"/>
        <v>OVER</v>
      </c>
      <c r="S736" s="4" t="str">
        <f t="shared" si="97"/>
        <v>UNDER</v>
      </c>
      <c r="T736" s="4" t="str">
        <f t="shared" si="97"/>
        <v>OVER</v>
      </c>
      <c r="U736" s="2">
        <f>IF(Q736="OVER",$J736,$K736)</f>
        <v>-172.50759804242128</v>
      </c>
      <c r="V736" s="2">
        <f>IF(R736="OVER",$J736,$K736)</f>
        <v>-172.50759804242128</v>
      </c>
      <c r="W736" s="2">
        <f>IF(S736="OVER",$J736,$K736)</f>
        <v>172.50759804242128</v>
      </c>
      <c r="X736" s="2">
        <f>IF(T736="OVER",$J736,$K736)</f>
        <v>-172.50759804242128</v>
      </c>
      <c r="Y736" s="9">
        <f t="shared" si="98"/>
        <v>-27207.950035401314</v>
      </c>
      <c r="Z736" s="9">
        <f t="shared" si="98"/>
        <v>-26841.839061291277</v>
      </c>
      <c r="AA736" s="9">
        <f t="shared" si="98"/>
        <v>38735.289103509749</v>
      </c>
      <c r="AB736" s="9">
        <f t="shared" si="98"/>
        <v>11738.455812716958</v>
      </c>
    </row>
    <row r="737" spans="1:28" x14ac:dyDescent="0.3">
      <c r="A737" s="1">
        <v>45484</v>
      </c>
      <c r="B737" s="2">
        <v>73.06</v>
      </c>
      <c r="C737" s="2">
        <v>79.680000000000007</v>
      </c>
      <c r="D737" s="9">
        <f>B737-B736</f>
        <v>0.64000000000000057</v>
      </c>
      <c r="E737" s="9">
        <f>C737-C736</f>
        <v>0.67000000000000171</v>
      </c>
      <c r="F737" s="3">
        <f>F$1/B737</f>
        <v>1368.7380235422941</v>
      </c>
      <c r="G737" s="3">
        <f>F$1/C737</f>
        <v>1255.0200803212849</v>
      </c>
      <c r="H737" s="2">
        <f>D737*F736</f>
        <v>883.73377520022166</v>
      </c>
      <c r="I737" s="2">
        <f>E737*G736</f>
        <v>847.99392481964526</v>
      </c>
      <c r="J737" s="2">
        <f>I737-H737</f>
        <v>-35.739850380576399</v>
      </c>
      <c r="K737" s="2">
        <f t="shared" si="94"/>
        <v>35.739850380576399</v>
      </c>
      <c r="L737" s="14">
        <f>C737/B737</f>
        <v>1.0906104571585</v>
      </c>
      <c r="M737" s="14">
        <f t="shared" si="96"/>
        <v>1.0909907017227567</v>
      </c>
      <c r="N737" s="14">
        <f t="shared" si="100"/>
        <v>1.0908704559346334</v>
      </c>
      <c r="O737" s="14">
        <f t="shared" si="93"/>
        <v>1.0917975272435083</v>
      </c>
      <c r="P737" s="14">
        <f t="shared" si="95"/>
        <v>1.0908996164374161</v>
      </c>
      <c r="Q737" s="4" t="str">
        <f t="shared" si="99"/>
        <v>UNDER</v>
      </c>
      <c r="R737" s="4" t="str">
        <f t="shared" si="99"/>
        <v>OVER</v>
      </c>
      <c r="S737" s="4" t="str">
        <f t="shared" si="97"/>
        <v>UNDER</v>
      </c>
      <c r="T737" s="4" t="str">
        <f t="shared" si="97"/>
        <v>UNDER</v>
      </c>
      <c r="U737" s="2">
        <f>IF(Q737="OVER",$J737,$K737)</f>
        <v>35.739850380576399</v>
      </c>
      <c r="V737" s="2">
        <f>IF(R737="OVER",$J737,$K737)</f>
        <v>-35.739850380576399</v>
      </c>
      <c r="W737" s="2">
        <f>IF(S737="OVER",$J737,$K737)</f>
        <v>35.739850380576399</v>
      </c>
      <c r="X737" s="2">
        <f>IF(T737="OVER",$J737,$K737)</f>
        <v>35.739850380576399</v>
      </c>
      <c r="Y737" s="9">
        <f t="shared" si="98"/>
        <v>-27172.210185020736</v>
      </c>
      <c r="Z737" s="9">
        <f t="shared" si="98"/>
        <v>-26877.578911671855</v>
      </c>
      <c r="AA737" s="9">
        <f t="shared" si="98"/>
        <v>38771.028953890323</v>
      </c>
      <c r="AB737" s="9">
        <f t="shared" si="98"/>
        <v>11774.195663097535</v>
      </c>
    </row>
    <row r="738" spans="1:28" x14ac:dyDescent="0.3">
      <c r="A738" s="1">
        <v>45485</v>
      </c>
      <c r="B738" s="2">
        <v>73.55</v>
      </c>
      <c r="C738" s="2">
        <v>80.19</v>
      </c>
      <c r="D738" s="9">
        <f>B738-B737</f>
        <v>0.48999999999999488</v>
      </c>
      <c r="E738" s="9">
        <f>C738-C737</f>
        <v>0.50999999999999091</v>
      </c>
      <c r="F738" s="3">
        <f>F$1/B738</f>
        <v>1359.6193065941536</v>
      </c>
      <c r="G738" s="3">
        <f>F$1/C738</f>
        <v>1247.0382840753211</v>
      </c>
      <c r="H738" s="2">
        <f>D738*F737</f>
        <v>670.68163153571709</v>
      </c>
      <c r="I738" s="2">
        <f>E738*G737</f>
        <v>640.06024096384385</v>
      </c>
      <c r="J738" s="2">
        <f>I738-H738</f>
        <v>-30.621390571873235</v>
      </c>
      <c r="K738" s="2">
        <f t="shared" si="94"/>
        <v>30.621390571873235</v>
      </c>
      <c r="L738" s="14">
        <f>C738/B738</f>
        <v>1.0902787219578518</v>
      </c>
      <c r="M738" s="14">
        <f t="shared" si="96"/>
        <v>1.0908483287322279</v>
      </c>
      <c r="N738" s="14">
        <f t="shared" si="100"/>
        <v>1.0908816945639963</v>
      </c>
      <c r="O738" s="14">
        <f t="shared" si="93"/>
        <v>1.0916731273017943</v>
      </c>
      <c r="P738" s="14">
        <f t="shared" si="95"/>
        <v>1.0908999487264506</v>
      </c>
      <c r="Q738" s="4" t="str">
        <f t="shared" si="99"/>
        <v>UNDER</v>
      </c>
      <c r="R738" s="4" t="str">
        <f t="shared" si="99"/>
        <v>UNDER</v>
      </c>
      <c r="S738" s="4" t="str">
        <f t="shared" si="97"/>
        <v>UNDER</v>
      </c>
      <c r="T738" s="4" t="str">
        <f t="shared" si="97"/>
        <v>UNDER</v>
      </c>
      <c r="U738" s="2">
        <f>IF(Q738="OVER",$J738,$K738)</f>
        <v>30.621390571873235</v>
      </c>
      <c r="V738" s="2">
        <f>IF(R738="OVER",$J738,$K738)</f>
        <v>30.621390571873235</v>
      </c>
      <c r="W738" s="2">
        <f>IF(S738="OVER",$J738,$K738)</f>
        <v>30.621390571873235</v>
      </c>
      <c r="X738" s="2">
        <f>IF(T738="OVER",$J738,$K738)</f>
        <v>30.621390571873235</v>
      </c>
      <c r="Y738" s="9">
        <f t="shared" si="98"/>
        <v>-27141.588794448864</v>
      </c>
      <c r="Z738" s="9">
        <f t="shared" si="98"/>
        <v>-26846.957521099983</v>
      </c>
      <c r="AA738" s="9">
        <f t="shared" si="98"/>
        <v>38801.650344462199</v>
      </c>
      <c r="AB738" s="9">
        <f t="shared" si="98"/>
        <v>11804.817053669409</v>
      </c>
    </row>
    <row r="739" spans="1:28" x14ac:dyDescent="0.3">
      <c r="A739" s="1">
        <v>45488</v>
      </c>
      <c r="B739" s="2">
        <v>73.66</v>
      </c>
      <c r="C739" s="2">
        <v>80.42</v>
      </c>
      <c r="D739" s="9">
        <f>B739-B738</f>
        <v>0.10999999999999943</v>
      </c>
      <c r="E739" s="9">
        <f>C739-C738</f>
        <v>0.23000000000000398</v>
      </c>
      <c r="F739" s="3">
        <f>F$1/B739</f>
        <v>1357.5889220743959</v>
      </c>
      <c r="G739" s="3">
        <f>F$1/C739</f>
        <v>1243.4717731907485</v>
      </c>
      <c r="H739" s="2">
        <f>D739*F738</f>
        <v>149.55812372535613</v>
      </c>
      <c r="I739" s="2">
        <f>E739*G738</f>
        <v>286.8188053373288</v>
      </c>
      <c r="J739" s="2">
        <f>I739-H739</f>
        <v>137.26068161197267</v>
      </c>
      <c r="K739" s="2">
        <f t="shared" si="94"/>
        <v>-137.26068161197267</v>
      </c>
      <c r="L739" s="14">
        <f>C739/B739</f>
        <v>1.0917730111322292</v>
      </c>
      <c r="M739" s="14">
        <f t="shared" si="96"/>
        <v>1.0909082276805884</v>
      </c>
      <c r="N739" s="14">
        <f t="shared" si="100"/>
        <v>1.0909647130805575</v>
      </c>
      <c r="O739" s="14">
        <f t="shared" si="93"/>
        <v>1.0915849059466196</v>
      </c>
      <c r="P739" s="14">
        <f t="shared" si="95"/>
        <v>1.0909036628052025</v>
      </c>
      <c r="Q739" s="4" t="str">
        <f t="shared" si="99"/>
        <v>UNDER</v>
      </c>
      <c r="R739" s="4" t="str">
        <f t="shared" si="99"/>
        <v>UNDER</v>
      </c>
      <c r="S739" s="4" t="str">
        <f t="shared" si="97"/>
        <v>OVER</v>
      </c>
      <c r="T739" s="4" t="str">
        <f t="shared" si="97"/>
        <v>OVER</v>
      </c>
      <c r="U739" s="2">
        <f>IF(Q739="OVER",$J739,$K739)</f>
        <v>-137.26068161197267</v>
      </c>
      <c r="V739" s="2">
        <f>IF(R739="OVER",$J739,$K739)</f>
        <v>-137.26068161197267</v>
      </c>
      <c r="W739" s="2">
        <f>IF(S739="OVER",$J739,$K739)</f>
        <v>137.26068161197267</v>
      </c>
      <c r="X739" s="2">
        <f>IF(T739="OVER",$J739,$K739)</f>
        <v>137.26068161197267</v>
      </c>
      <c r="Y739" s="9">
        <f t="shared" si="98"/>
        <v>-27278.849476060837</v>
      </c>
      <c r="Z739" s="9">
        <f t="shared" si="98"/>
        <v>-26984.218202711956</v>
      </c>
      <c r="AA739" s="9">
        <f t="shared" si="98"/>
        <v>38938.911026074173</v>
      </c>
      <c r="AB739" s="9">
        <f t="shared" si="98"/>
        <v>11942.077735281382</v>
      </c>
    </row>
    <row r="740" spans="1:28" x14ac:dyDescent="0.3">
      <c r="A740" s="1">
        <v>45489</v>
      </c>
      <c r="B740" s="2">
        <v>74.27</v>
      </c>
      <c r="C740" s="2">
        <v>81.25</v>
      </c>
      <c r="D740" s="9">
        <f>B740-B739</f>
        <v>0.60999999999999943</v>
      </c>
      <c r="E740" s="9">
        <f>C740-C739</f>
        <v>0.82999999999999829</v>
      </c>
      <c r="F740" s="3">
        <f>F$1/B740</f>
        <v>1346.4386697185944</v>
      </c>
      <c r="G740" s="3">
        <f>F$1/C740</f>
        <v>1230.7692307692307</v>
      </c>
      <c r="H740" s="2">
        <f>D740*F739</f>
        <v>828.12924246538068</v>
      </c>
      <c r="I740" s="2">
        <f>E740*G739</f>
        <v>1032.0815717483192</v>
      </c>
      <c r="J740" s="2">
        <f>I740-H740</f>
        <v>203.95232928293854</v>
      </c>
      <c r="K740" s="2">
        <f t="shared" si="94"/>
        <v>-203.95232928293854</v>
      </c>
      <c r="L740" s="14">
        <f>C740/B740</f>
        <v>1.0939814191463579</v>
      </c>
      <c r="M740" s="14">
        <f t="shared" si="96"/>
        <v>1.0913633932391742</v>
      </c>
      <c r="N740" s="14">
        <f t="shared" si="100"/>
        <v>1.0911685379528642</v>
      </c>
      <c r="O740" s="14">
        <f t="shared" si="93"/>
        <v>1.0915855489249842</v>
      </c>
      <c r="P740" s="14">
        <f t="shared" si="95"/>
        <v>1.0909188231122142</v>
      </c>
      <c r="Q740" s="4" t="str">
        <f t="shared" si="99"/>
        <v>OVER</v>
      </c>
      <c r="R740" s="4" t="str">
        <f t="shared" si="99"/>
        <v>OVER</v>
      </c>
      <c r="S740" s="4" t="str">
        <f t="shared" si="97"/>
        <v>OVER</v>
      </c>
      <c r="T740" s="4" t="str">
        <f t="shared" si="97"/>
        <v>OVER</v>
      </c>
      <c r="U740" s="2">
        <f>IF(Q740="OVER",$J740,$K740)</f>
        <v>203.95232928293854</v>
      </c>
      <c r="V740" s="2">
        <f>IF(R740="OVER",$J740,$K740)</f>
        <v>203.95232928293854</v>
      </c>
      <c r="W740" s="2">
        <f>IF(S740="OVER",$J740,$K740)</f>
        <v>203.95232928293854</v>
      </c>
      <c r="X740" s="2">
        <f>IF(T740="OVER",$J740,$K740)</f>
        <v>203.95232928293854</v>
      </c>
      <c r="Y740" s="9">
        <f t="shared" si="98"/>
        <v>-27074.897146777897</v>
      </c>
      <c r="Z740" s="9">
        <f t="shared" si="98"/>
        <v>-26780.265873429016</v>
      </c>
      <c r="AA740" s="9">
        <f t="shared" si="98"/>
        <v>39142.863355357113</v>
      </c>
      <c r="AB740" s="9">
        <f t="shared" si="98"/>
        <v>12146.03006456432</v>
      </c>
    </row>
    <row r="741" spans="1:28" x14ac:dyDescent="0.3">
      <c r="A741" s="1">
        <v>45490</v>
      </c>
      <c r="B741" s="2">
        <v>73.58</v>
      </c>
      <c r="C741" s="2">
        <v>80.58</v>
      </c>
      <c r="D741" s="9">
        <f>B741-B740</f>
        <v>-0.68999999999999773</v>
      </c>
      <c r="E741" s="9">
        <f>C741-C740</f>
        <v>-0.67000000000000171</v>
      </c>
      <c r="F741" s="3">
        <f>F$1/B741</f>
        <v>1359.064963305246</v>
      </c>
      <c r="G741" s="3">
        <f>F$1/C741</f>
        <v>1241.0027302060064</v>
      </c>
      <c r="H741" s="2">
        <f>D741*F740</f>
        <v>-929.04268210582711</v>
      </c>
      <c r="I741" s="2">
        <f>E741*G740</f>
        <v>-824.61538461538669</v>
      </c>
      <c r="J741" s="2">
        <f>I741-H741</f>
        <v>104.42729749044042</v>
      </c>
      <c r="K741" s="2">
        <f t="shared" si="94"/>
        <v>-104.42729749044042</v>
      </c>
      <c r="L741" s="14">
        <f>C741/B741</f>
        <v>1.0951345474313672</v>
      </c>
      <c r="M741" s="14">
        <f t="shared" si="96"/>
        <v>1.0918503238884349</v>
      </c>
      <c r="N741" s="14">
        <f t="shared" si="100"/>
        <v>1.0912768660514005</v>
      </c>
      <c r="O741" s="14">
        <f t="shared" si="93"/>
        <v>1.0916115718022532</v>
      </c>
      <c r="P741" s="14">
        <f t="shared" si="95"/>
        <v>1.0909260910769452</v>
      </c>
      <c r="Q741" s="4" t="str">
        <f t="shared" si="99"/>
        <v>OVER</v>
      </c>
      <c r="R741" s="4" t="str">
        <f t="shared" si="99"/>
        <v>OVER</v>
      </c>
      <c r="S741" s="4" t="str">
        <f t="shared" si="97"/>
        <v>OVER</v>
      </c>
      <c r="T741" s="4" t="str">
        <f t="shared" si="97"/>
        <v>OVER</v>
      </c>
      <c r="U741" s="2">
        <f>IF(Q741="OVER",$J741,$K741)</f>
        <v>104.42729749044042</v>
      </c>
      <c r="V741" s="2">
        <f>IF(R741="OVER",$J741,$K741)</f>
        <v>104.42729749044042</v>
      </c>
      <c r="W741" s="2">
        <f>IF(S741="OVER",$J741,$K741)</f>
        <v>104.42729749044042</v>
      </c>
      <c r="X741" s="2">
        <f>IF(T741="OVER",$J741,$K741)</f>
        <v>104.42729749044042</v>
      </c>
      <c r="Y741" s="9">
        <f t="shared" si="98"/>
        <v>-26970.469849287456</v>
      </c>
      <c r="Z741" s="9">
        <f t="shared" si="98"/>
        <v>-26675.838575938575</v>
      </c>
      <c r="AA741" s="9">
        <f t="shared" si="98"/>
        <v>39247.290652847551</v>
      </c>
      <c r="AB741" s="9">
        <f t="shared" si="98"/>
        <v>12250.45736205476</v>
      </c>
    </row>
    <row r="742" spans="1:28" x14ac:dyDescent="0.3">
      <c r="A742" s="1">
        <v>45491</v>
      </c>
      <c r="B742" s="2">
        <v>73.11</v>
      </c>
      <c r="C742" s="2">
        <v>79.760000000000005</v>
      </c>
      <c r="D742" s="9">
        <f>B742-B741</f>
        <v>-0.46999999999999886</v>
      </c>
      <c r="E742" s="9">
        <f>C742-C741</f>
        <v>-0.81999999999999318</v>
      </c>
      <c r="F742" s="3">
        <f>F$1/B742</f>
        <v>1367.8019422787581</v>
      </c>
      <c r="G742" s="3">
        <f>F$1/C742</f>
        <v>1253.7612838515545</v>
      </c>
      <c r="H742" s="2">
        <f>D742*F741</f>
        <v>-638.76053275346408</v>
      </c>
      <c r="I742" s="2">
        <f>E742*G741</f>
        <v>-1017.6222387689168</v>
      </c>
      <c r="J742" s="2">
        <f>I742-H742</f>
        <v>-378.86170601545268</v>
      </c>
      <c r="K742" s="2">
        <f t="shared" si="94"/>
        <v>378.86170601545268</v>
      </c>
      <c r="L742" s="14">
        <f>C742/B742</f>
        <v>1.0909588291615375</v>
      </c>
      <c r="M742" s="14">
        <f t="shared" si="96"/>
        <v>1.0918288046397264</v>
      </c>
      <c r="N742" s="14">
        <f t="shared" si="100"/>
        <v>1.0912774508349061</v>
      </c>
      <c r="O742" s="14">
        <f t="shared" si="93"/>
        <v>1.0915958604556495</v>
      </c>
      <c r="P742" s="14">
        <f t="shared" si="95"/>
        <v>1.0909081713584459</v>
      </c>
      <c r="Q742" s="4" t="str">
        <f t="shared" si="99"/>
        <v>OVER</v>
      </c>
      <c r="R742" s="4" t="str">
        <f t="shared" si="99"/>
        <v>OVER</v>
      </c>
      <c r="S742" s="4" t="str">
        <f t="shared" si="97"/>
        <v>UNDER</v>
      </c>
      <c r="T742" s="4" t="str">
        <f t="shared" si="97"/>
        <v>OVER</v>
      </c>
      <c r="U742" s="2">
        <f>IF(Q742="OVER",$J742,$K742)</f>
        <v>-378.86170601545268</v>
      </c>
      <c r="V742" s="2">
        <f>IF(R742="OVER",$J742,$K742)</f>
        <v>-378.86170601545268</v>
      </c>
      <c r="W742" s="2">
        <f>IF(S742="OVER",$J742,$K742)</f>
        <v>378.86170601545268</v>
      </c>
      <c r="X742" s="2">
        <f>IF(T742="OVER",$J742,$K742)</f>
        <v>-378.86170601545268</v>
      </c>
      <c r="Y742" s="9">
        <f t="shared" si="98"/>
        <v>-27349.33155530291</v>
      </c>
      <c r="Z742" s="9">
        <f t="shared" si="98"/>
        <v>-27054.700281954028</v>
      </c>
      <c r="AA742" s="9">
        <f t="shared" si="98"/>
        <v>39626.152358863001</v>
      </c>
      <c r="AB742" s="9">
        <f t="shared" si="98"/>
        <v>11871.595656039308</v>
      </c>
    </row>
    <row r="743" spans="1:28" x14ac:dyDescent="0.3">
      <c r="A743" s="1">
        <v>45492</v>
      </c>
      <c r="B743" s="2">
        <v>73.16</v>
      </c>
      <c r="C743" s="2">
        <v>79.849999999999994</v>
      </c>
      <c r="D743" s="9">
        <f>B743-B742</f>
        <v>4.9999999999997158E-2</v>
      </c>
      <c r="E743" s="9">
        <f>C743-C742</f>
        <v>8.99999999999892E-2</v>
      </c>
      <c r="F743" s="3">
        <f>F$1/B743</f>
        <v>1366.8671405139421</v>
      </c>
      <c r="G743" s="3">
        <f>F$1/C743</f>
        <v>1252.3481527864747</v>
      </c>
      <c r="H743" s="2">
        <f>D743*F742</f>
        <v>68.390097113934019</v>
      </c>
      <c r="I743" s="2">
        <f>E743*G742</f>
        <v>112.83851554662637</v>
      </c>
      <c r="J743" s="2">
        <f>I743-H743</f>
        <v>44.44841843269235</v>
      </c>
      <c r="K743" s="2">
        <f t="shared" si="94"/>
        <v>-44.44841843269235</v>
      </c>
      <c r="L743" s="14">
        <f>C743/B743</f>
        <v>1.0914434117003826</v>
      </c>
      <c r="M743" s="14">
        <f t="shared" si="96"/>
        <v>1.0919300769827323</v>
      </c>
      <c r="N743" s="14">
        <f t="shared" si="100"/>
        <v>1.0913060761944982</v>
      </c>
      <c r="O743" s="14">
        <f t="shared" si="93"/>
        <v>1.0915430983155645</v>
      </c>
      <c r="P743" s="14">
        <f t="shared" si="95"/>
        <v>1.0908840058327613</v>
      </c>
      <c r="Q743" s="4" t="str">
        <f t="shared" si="99"/>
        <v>UNDER</v>
      </c>
      <c r="R743" s="4" t="str">
        <f t="shared" si="99"/>
        <v>UNDER</v>
      </c>
      <c r="S743" s="4" t="str">
        <f t="shared" si="97"/>
        <v>UNDER</v>
      </c>
      <c r="T743" s="4" t="str">
        <f t="shared" si="97"/>
        <v>OVER</v>
      </c>
      <c r="U743" s="2">
        <f>IF(Q743="OVER",$J743,$K743)</f>
        <v>-44.44841843269235</v>
      </c>
      <c r="V743" s="2">
        <f>IF(R743="OVER",$J743,$K743)</f>
        <v>-44.44841843269235</v>
      </c>
      <c r="W743" s="2">
        <f>IF(S743="OVER",$J743,$K743)</f>
        <v>-44.44841843269235</v>
      </c>
      <c r="X743" s="2">
        <f>IF(T743="OVER",$J743,$K743)</f>
        <v>44.44841843269235</v>
      </c>
      <c r="Y743" s="9">
        <f t="shared" si="98"/>
        <v>-27393.779973735604</v>
      </c>
      <c r="Z743" s="9">
        <f t="shared" si="98"/>
        <v>-27099.148700386722</v>
      </c>
      <c r="AA743" s="9">
        <f t="shared" si="98"/>
        <v>39581.703940430307</v>
      </c>
      <c r="AB743" s="9">
        <f t="shared" si="98"/>
        <v>11916.044074472</v>
      </c>
    </row>
    <row r="744" spans="1:28" x14ac:dyDescent="0.3">
      <c r="A744" s="1">
        <v>45495</v>
      </c>
      <c r="B744" s="2">
        <v>73.61</v>
      </c>
      <c r="C744" s="2">
        <v>80.44</v>
      </c>
      <c r="D744" s="9">
        <f>B744-B743</f>
        <v>0.45000000000000284</v>
      </c>
      <c r="E744" s="9">
        <f>C744-C743</f>
        <v>0.59000000000000341</v>
      </c>
      <c r="F744" s="3">
        <f>F$1/B744</f>
        <v>1358.5110718652356</v>
      </c>
      <c r="G744" s="3">
        <f>F$1/C744</f>
        <v>1243.1626056688215</v>
      </c>
      <c r="H744" s="2">
        <f>D744*F743</f>
        <v>615.09021323127786</v>
      </c>
      <c r="I744" s="2">
        <f>E744*G743</f>
        <v>738.88541014402426</v>
      </c>
      <c r="J744" s="2">
        <f>I744-H744</f>
        <v>123.79519691274641</v>
      </c>
      <c r="K744" s="2">
        <f t="shared" si="94"/>
        <v>-123.79519691274641</v>
      </c>
      <c r="L744" s="14">
        <f>C744/B744</f>
        <v>1.0927863062083956</v>
      </c>
      <c r="M744" s="14">
        <f t="shared" si="96"/>
        <v>1.0920838631406933</v>
      </c>
      <c r="N744" s="14">
        <f t="shared" si="100"/>
        <v>1.091440572396104</v>
      </c>
      <c r="O744" s="14">
        <f t="shared" si="93"/>
        <v>1.0914829759123832</v>
      </c>
      <c r="P744" s="14">
        <f t="shared" si="95"/>
        <v>1.090866850603071</v>
      </c>
      <c r="Q744" s="4" t="str">
        <f t="shared" si="99"/>
        <v>UNDER</v>
      </c>
      <c r="R744" s="4" t="str">
        <f t="shared" si="99"/>
        <v>OVER</v>
      </c>
      <c r="S744" s="4" t="str">
        <f t="shared" si="97"/>
        <v>OVER</v>
      </c>
      <c r="T744" s="4" t="str">
        <f t="shared" si="97"/>
        <v>OVER</v>
      </c>
      <c r="U744" s="2">
        <f>IF(Q744="OVER",$J744,$K744)</f>
        <v>-123.79519691274641</v>
      </c>
      <c r="V744" s="2">
        <f>IF(R744="OVER",$J744,$K744)</f>
        <v>123.79519691274641</v>
      </c>
      <c r="W744" s="2">
        <f>IF(S744="OVER",$J744,$K744)</f>
        <v>123.79519691274641</v>
      </c>
      <c r="X744" s="2">
        <f>IF(T744="OVER",$J744,$K744)</f>
        <v>123.79519691274641</v>
      </c>
      <c r="Y744" s="9">
        <f t="shared" si="98"/>
        <v>-27517.57517064835</v>
      </c>
      <c r="Z744" s="9">
        <f t="shared" si="98"/>
        <v>-26975.353503473976</v>
      </c>
      <c r="AA744" s="9">
        <f t="shared" si="98"/>
        <v>39705.499137343053</v>
      </c>
      <c r="AB744" s="9">
        <f t="shared" si="98"/>
        <v>12039.839271384746</v>
      </c>
    </row>
    <row r="745" spans="1:28" x14ac:dyDescent="0.3">
      <c r="A745" s="1">
        <v>45496</v>
      </c>
      <c r="B745" s="2">
        <v>73.709999999999994</v>
      </c>
      <c r="C745" s="2">
        <v>80.39</v>
      </c>
      <c r="D745" s="9">
        <f>B745-B744</f>
        <v>9.9999999999994316E-2</v>
      </c>
      <c r="E745" s="9">
        <f>C745-C744</f>
        <v>-4.9999999999997158E-2</v>
      </c>
      <c r="F745" s="3">
        <f>F$1/B745</f>
        <v>1356.6680233346901</v>
      </c>
      <c r="G745" s="3">
        <f>F$1/C745</f>
        <v>1243.9358129120537</v>
      </c>
      <c r="H745" s="2">
        <f>D745*F744</f>
        <v>135.85110718651583</v>
      </c>
      <c r="I745" s="2">
        <f>E745*G744</f>
        <v>-62.158130283437544</v>
      </c>
      <c r="J745" s="2">
        <f>I745-H745</f>
        <v>-198.00923746995338</v>
      </c>
      <c r="K745" s="2">
        <f t="shared" si="94"/>
        <v>198.00923746995338</v>
      </c>
      <c r="L745" s="14">
        <f>C745/B745</f>
        <v>1.0906254239587574</v>
      </c>
      <c r="M745" s="14">
        <f t="shared" si="96"/>
        <v>1.0918589090020527</v>
      </c>
      <c r="N745" s="14">
        <f t="shared" si="100"/>
        <v>1.0914505298274448</v>
      </c>
      <c r="O745" s="14">
        <f t="shared" si="93"/>
        <v>1.0914625927748751</v>
      </c>
      <c r="P745" s="14">
        <f t="shared" si="95"/>
        <v>1.0908390353459141</v>
      </c>
      <c r="Q745" s="4" t="str">
        <f t="shared" si="99"/>
        <v>OVER</v>
      </c>
      <c r="R745" s="4" t="str">
        <f t="shared" si="99"/>
        <v>OVER</v>
      </c>
      <c r="S745" s="4" t="str">
        <f t="shared" si="97"/>
        <v>UNDER</v>
      </c>
      <c r="T745" s="4" t="str">
        <f t="shared" si="97"/>
        <v>UNDER</v>
      </c>
      <c r="U745" s="2">
        <f>IF(Q745="OVER",$J745,$K745)</f>
        <v>-198.00923746995338</v>
      </c>
      <c r="V745" s="2">
        <f>IF(R745="OVER",$J745,$K745)</f>
        <v>-198.00923746995338</v>
      </c>
      <c r="W745" s="2">
        <f>IF(S745="OVER",$J745,$K745)</f>
        <v>198.00923746995338</v>
      </c>
      <c r="X745" s="2">
        <f>IF(T745="OVER",$J745,$K745)</f>
        <v>198.00923746995338</v>
      </c>
      <c r="Y745" s="9">
        <f t="shared" si="98"/>
        <v>-27715.584408118302</v>
      </c>
      <c r="Z745" s="9">
        <f t="shared" si="98"/>
        <v>-27173.362740943929</v>
      </c>
      <c r="AA745" s="9">
        <f t="shared" si="98"/>
        <v>39903.508374813006</v>
      </c>
      <c r="AB745" s="9">
        <f t="shared" si="98"/>
        <v>12237.848508854699</v>
      </c>
    </row>
    <row r="746" spans="1:28" x14ac:dyDescent="0.3">
      <c r="A746" s="1">
        <v>45497</v>
      </c>
      <c r="B746" s="2">
        <v>72.790000000000006</v>
      </c>
      <c r="C746" s="2">
        <v>79.790000000000006</v>
      </c>
      <c r="D746" s="9">
        <f>B746-B745</f>
        <v>-0.91999999999998749</v>
      </c>
      <c r="E746" s="9">
        <f>C746-C745</f>
        <v>-0.59999999999999432</v>
      </c>
      <c r="F746" s="3">
        <f>F$1/B746</f>
        <v>1373.8150844896277</v>
      </c>
      <c r="G746" s="3">
        <f>F$1/C746</f>
        <v>1253.2898859506204</v>
      </c>
      <c r="H746" s="2">
        <f>D746*F745</f>
        <v>-1248.134581467898</v>
      </c>
      <c r="I746" s="2">
        <f>E746*G745</f>
        <v>-746.36148774722517</v>
      </c>
      <c r="J746" s="2">
        <f>I746-H746</f>
        <v>501.77309372067282</v>
      </c>
      <c r="K746" s="2">
        <f t="shared" si="94"/>
        <v>-501.77309372067282</v>
      </c>
      <c r="L746" s="14">
        <f>C746/B746</f>
        <v>1.096167055914274</v>
      </c>
      <c r="M746" s="14">
        <f t="shared" si="96"/>
        <v>1.0923759183769652</v>
      </c>
      <c r="N746" s="14">
        <f t="shared" si="100"/>
        <v>1.0917070911830362</v>
      </c>
      <c r="O746" s="14">
        <f t="shared" si="93"/>
        <v>1.0915191552757522</v>
      </c>
      <c r="P746" s="14">
        <f t="shared" si="95"/>
        <v>1.0908601264569378</v>
      </c>
      <c r="Q746" s="4" t="str">
        <f t="shared" si="99"/>
        <v>UNDER</v>
      </c>
      <c r="R746" s="4" t="str">
        <f t="shared" si="99"/>
        <v>UNDER</v>
      </c>
      <c r="S746" s="4" t="str">
        <f t="shared" si="97"/>
        <v>OVER</v>
      </c>
      <c r="T746" s="4" t="str">
        <f t="shared" si="97"/>
        <v>OVER</v>
      </c>
      <c r="U746" s="2">
        <f>IF(Q746="OVER",$J746,$K746)</f>
        <v>-501.77309372067282</v>
      </c>
      <c r="V746" s="2">
        <f>IF(R746="OVER",$J746,$K746)</f>
        <v>-501.77309372067282</v>
      </c>
      <c r="W746" s="2">
        <f>IF(S746="OVER",$J746,$K746)</f>
        <v>501.77309372067282</v>
      </c>
      <c r="X746" s="2">
        <f>IF(T746="OVER",$J746,$K746)</f>
        <v>501.77309372067282</v>
      </c>
      <c r="Y746" s="9">
        <f t="shared" si="98"/>
        <v>-28217.357501838975</v>
      </c>
      <c r="Z746" s="9">
        <f t="shared" si="98"/>
        <v>-27675.135834664601</v>
      </c>
      <c r="AA746" s="9">
        <f t="shared" si="98"/>
        <v>40405.281468533678</v>
      </c>
      <c r="AB746" s="9">
        <f t="shared" si="98"/>
        <v>12739.621602575371</v>
      </c>
    </row>
    <row r="747" spans="1:28" x14ac:dyDescent="0.3">
      <c r="A747" s="1">
        <v>45498</v>
      </c>
      <c r="B747" s="2">
        <v>72.7</v>
      </c>
      <c r="C747" s="2">
        <v>79.34</v>
      </c>
      <c r="D747" s="9">
        <f>B747-B746</f>
        <v>-9.0000000000003411E-2</v>
      </c>
      <c r="E747" s="9">
        <f>C747-C746</f>
        <v>-0.45000000000000284</v>
      </c>
      <c r="F747" s="3">
        <f>F$1/B747</f>
        <v>1375.5158184319118</v>
      </c>
      <c r="G747" s="3">
        <f>F$1/C747</f>
        <v>1260.3982858583313</v>
      </c>
      <c r="H747" s="2">
        <f>D747*F746</f>
        <v>-123.64335760407117</v>
      </c>
      <c r="I747" s="2">
        <f>E747*G746</f>
        <v>-563.98044867778276</v>
      </c>
      <c r="J747" s="2">
        <f>I747-H747</f>
        <v>-440.33709107371158</v>
      </c>
      <c r="K747" s="2">
        <f t="shared" si="94"/>
        <v>440.33709107371158</v>
      </c>
      <c r="L747" s="14">
        <f>C747/B747</f>
        <v>1.091334250343879</v>
      </c>
      <c r="M747" s="14">
        <f t="shared" si="96"/>
        <v>1.0924482976955032</v>
      </c>
      <c r="N747" s="14">
        <f t="shared" si="100"/>
        <v>1.0917194997091302</v>
      </c>
      <c r="O747" s="14">
        <f t="shared" si="93"/>
        <v>1.0914908325999928</v>
      </c>
      <c r="P747" s="14">
        <f t="shared" si="95"/>
        <v>1.0908576368903802</v>
      </c>
      <c r="Q747" s="4" t="str">
        <f t="shared" si="99"/>
        <v>OVER</v>
      </c>
      <c r="R747" s="4" t="str">
        <f t="shared" si="99"/>
        <v>OVER</v>
      </c>
      <c r="S747" s="4" t="str">
        <f t="shared" si="97"/>
        <v>UNDER</v>
      </c>
      <c r="T747" s="4" t="str">
        <f t="shared" si="97"/>
        <v>OVER</v>
      </c>
      <c r="U747" s="2">
        <f>IF(Q747="OVER",$J747,$K747)</f>
        <v>-440.33709107371158</v>
      </c>
      <c r="V747" s="2">
        <f>IF(R747="OVER",$J747,$K747)</f>
        <v>-440.33709107371158</v>
      </c>
      <c r="W747" s="2">
        <f>IF(S747="OVER",$J747,$K747)</f>
        <v>440.33709107371158</v>
      </c>
      <c r="X747" s="2">
        <f>IF(T747="OVER",$J747,$K747)</f>
        <v>-440.33709107371158</v>
      </c>
      <c r="Y747" s="9">
        <f t="shared" si="98"/>
        <v>-28657.694592912685</v>
      </c>
      <c r="Z747" s="9">
        <f t="shared" si="98"/>
        <v>-28115.472925738311</v>
      </c>
      <c r="AA747" s="9">
        <f t="shared" si="98"/>
        <v>40845.618559607392</v>
      </c>
      <c r="AB747" s="9">
        <f t="shared" si="98"/>
        <v>12299.284511501659</v>
      </c>
    </row>
    <row r="748" spans="1:28" x14ac:dyDescent="0.3">
      <c r="A748" s="1">
        <v>45499</v>
      </c>
      <c r="B748" s="2">
        <v>73.010000000000005</v>
      </c>
      <c r="C748" s="2">
        <v>79.739999999999995</v>
      </c>
      <c r="D748" s="9">
        <f>B748-B747</f>
        <v>0.31000000000000227</v>
      </c>
      <c r="E748" s="9">
        <f>C748-C747</f>
        <v>0.39999999999999147</v>
      </c>
      <c r="F748" s="3">
        <f>F$1/B748</f>
        <v>1369.6753869332967</v>
      </c>
      <c r="G748" s="3">
        <f>F$1/C748</f>
        <v>1254.0757461750691</v>
      </c>
      <c r="H748" s="2">
        <f>D748*F747</f>
        <v>426.4099037138958</v>
      </c>
      <c r="I748" s="2">
        <f>E748*G747</f>
        <v>504.1593143433218</v>
      </c>
      <c r="J748" s="2">
        <f>I748-H748</f>
        <v>77.749410629425995</v>
      </c>
      <c r="K748" s="2">
        <f t="shared" si="94"/>
        <v>-77.749410629425995</v>
      </c>
      <c r="L748" s="14">
        <f>C748/B748</f>
        <v>1.0921791535406107</v>
      </c>
      <c r="M748" s="14">
        <f t="shared" si="96"/>
        <v>1.0926383408537792</v>
      </c>
      <c r="N748" s="14">
        <f t="shared" si="100"/>
        <v>1.0917433347930037</v>
      </c>
      <c r="O748" s="14">
        <f t="shared" si="93"/>
        <v>1.0915139633328002</v>
      </c>
      <c r="P748" s="14">
        <f t="shared" si="95"/>
        <v>1.0908465099172096</v>
      </c>
      <c r="Q748" s="4" t="str">
        <f t="shared" si="99"/>
        <v>UNDER</v>
      </c>
      <c r="R748" s="4" t="str">
        <f t="shared" si="99"/>
        <v>UNDER</v>
      </c>
      <c r="S748" s="4" t="str">
        <f t="shared" si="97"/>
        <v>OVER</v>
      </c>
      <c r="T748" s="4" t="str">
        <f t="shared" si="97"/>
        <v>OVER</v>
      </c>
      <c r="U748" s="2">
        <f>IF(Q748="OVER",$J748,$K748)</f>
        <v>-77.749410629425995</v>
      </c>
      <c r="V748" s="2">
        <f>IF(R748="OVER",$J748,$K748)</f>
        <v>-77.749410629425995</v>
      </c>
      <c r="W748" s="2">
        <f>IF(S748="OVER",$J748,$K748)</f>
        <v>77.749410629425995</v>
      </c>
      <c r="X748" s="2">
        <f>IF(T748="OVER",$J748,$K748)</f>
        <v>77.749410629425995</v>
      </c>
      <c r="Y748" s="9">
        <f t="shared" si="98"/>
        <v>-28735.44400354211</v>
      </c>
      <c r="Z748" s="9">
        <f t="shared" si="98"/>
        <v>-28193.222336367737</v>
      </c>
      <c r="AA748" s="9">
        <f t="shared" si="98"/>
        <v>40923.367970236817</v>
      </c>
      <c r="AB748" s="9">
        <f t="shared" si="98"/>
        <v>12377.033922131084</v>
      </c>
    </row>
    <row r="749" spans="1:28" x14ac:dyDescent="0.3">
      <c r="A749" s="1">
        <v>45502</v>
      </c>
      <c r="B749" s="2">
        <v>73.040000000000006</v>
      </c>
      <c r="C749" s="2">
        <v>79.94</v>
      </c>
      <c r="D749" s="9">
        <f>B749-B748</f>
        <v>3.0000000000001137E-2</v>
      </c>
      <c r="E749" s="9">
        <f>C749-C748</f>
        <v>0.20000000000000284</v>
      </c>
      <c r="F749" s="3">
        <f>F$1/B749</f>
        <v>1369.1128148959474</v>
      </c>
      <c r="G749" s="3">
        <f>F$1/C749</f>
        <v>1250.9382036527395</v>
      </c>
      <c r="H749" s="2">
        <f>D749*F748</f>
        <v>41.090261608000461</v>
      </c>
      <c r="I749" s="2">
        <f>E749*G748</f>
        <v>250.81514923501737</v>
      </c>
      <c r="J749" s="2">
        <f>I749-H749</f>
        <v>209.72488762701693</v>
      </c>
      <c r="K749" s="2">
        <f t="shared" si="94"/>
        <v>-209.72488762701693</v>
      </c>
      <c r="L749" s="14">
        <f>C749/B749</f>
        <v>1.0944687842278202</v>
      </c>
      <c r="M749" s="14">
        <f t="shared" si="96"/>
        <v>1.0929079181633381</v>
      </c>
      <c r="N749" s="14">
        <f t="shared" si="100"/>
        <v>1.0919080729219635</v>
      </c>
      <c r="O749" s="14">
        <f t="shared" si="93"/>
        <v>1.0915556176900811</v>
      </c>
      <c r="P749" s="14">
        <f t="shared" si="95"/>
        <v>1.0908632290238638</v>
      </c>
      <c r="Q749" s="4" t="str">
        <f t="shared" si="99"/>
        <v>UNDER</v>
      </c>
      <c r="R749" s="4" t="str">
        <f t="shared" si="99"/>
        <v>OVER</v>
      </c>
      <c r="S749" s="4" t="str">
        <f t="shared" si="97"/>
        <v>OVER</v>
      </c>
      <c r="T749" s="4" t="str">
        <f t="shared" si="97"/>
        <v>OVER</v>
      </c>
      <c r="U749" s="2">
        <f>IF(Q749="OVER",$J749,$K749)</f>
        <v>-209.72488762701693</v>
      </c>
      <c r="V749" s="2">
        <f>IF(R749="OVER",$J749,$K749)</f>
        <v>209.72488762701693</v>
      </c>
      <c r="W749" s="2">
        <f>IF(S749="OVER",$J749,$K749)</f>
        <v>209.72488762701693</v>
      </c>
      <c r="X749" s="2">
        <f>IF(T749="OVER",$J749,$K749)</f>
        <v>209.72488762701693</v>
      </c>
      <c r="Y749" s="9">
        <f t="shared" si="98"/>
        <v>-28945.168891169127</v>
      </c>
      <c r="Z749" s="9">
        <f t="shared" si="98"/>
        <v>-27983.49744874072</v>
      </c>
      <c r="AA749" s="9">
        <f t="shared" si="98"/>
        <v>41133.092857863834</v>
      </c>
      <c r="AB749" s="9">
        <f t="shared" si="98"/>
        <v>12586.758809758101</v>
      </c>
    </row>
    <row r="750" spans="1:28" x14ac:dyDescent="0.3">
      <c r="A750" s="1">
        <v>45503</v>
      </c>
      <c r="B750" s="2">
        <v>72.95</v>
      </c>
      <c r="C750" s="2">
        <v>79.819999999999993</v>
      </c>
      <c r="D750" s="9">
        <f>B750-B749</f>
        <v>-9.0000000000003411E-2</v>
      </c>
      <c r="E750" s="9">
        <f>C750-C749</f>
        <v>-0.12000000000000455</v>
      </c>
      <c r="F750" s="3">
        <f>F$1/B750</f>
        <v>1370.8019191226867</v>
      </c>
      <c r="G750" s="3">
        <f>F$1/C750</f>
        <v>1252.8188423953898</v>
      </c>
      <c r="H750" s="2">
        <f>D750*F749</f>
        <v>-123.22015334063994</v>
      </c>
      <c r="I750" s="2">
        <f>E750*G749</f>
        <v>-150.11258443833444</v>
      </c>
      <c r="J750" s="2">
        <f>I750-H750</f>
        <v>-26.892431097694498</v>
      </c>
      <c r="K750" s="2">
        <f t="shared" si="94"/>
        <v>26.892431097694498</v>
      </c>
      <c r="L750" s="14">
        <f>C750/B750</f>
        <v>1.0941740918437284</v>
      </c>
      <c r="M750" s="14">
        <f t="shared" si="96"/>
        <v>1.0929271854330751</v>
      </c>
      <c r="N750" s="14">
        <f t="shared" si="100"/>
        <v>1.092145289336125</v>
      </c>
      <c r="O750" s="14">
        <f t="shared" si="93"/>
        <v>1.09160208295237</v>
      </c>
      <c r="P750" s="14">
        <f t="shared" si="95"/>
        <v>1.0908739631463902</v>
      </c>
      <c r="Q750" s="4" t="str">
        <f t="shared" si="99"/>
        <v>OVER</v>
      </c>
      <c r="R750" s="4" t="str">
        <f t="shared" si="99"/>
        <v>OVER</v>
      </c>
      <c r="S750" s="4" t="str">
        <f t="shared" si="97"/>
        <v>OVER</v>
      </c>
      <c r="T750" s="4" t="str">
        <f t="shared" si="97"/>
        <v>OVER</v>
      </c>
      <c r="U750" s="2">
        <f>IF(Q750="OVER",$J750,$K750)</f>
        <v>-26.892431097694498</v>
      </c>
      <c r="V750" s="2">
        <f>IF(R750="OVER",$J750,$K750)</f>
        <v>-26.892431097694498</v>
      </c>
      <c r="W750" s="2">
        <f>IF(S750="OVER",$J750,$K750)</f>
        <v>-26.892431097694498</v>
      </c>
      <c r="X750" s="2">
        <f>IF(T750="OVER",$J750,$K750)</f>
        <v>-26.892431097694498</v>
      </c>
      <c r="Y750" s="9">
        <f t="shared" si="98"/>
        <v>-28972.061322266822</v>
      </c>
      <c r="Z750" s="9">
        <f t="shared" si="98"/>
        <v>-28010.389879838414</v>
      </c>
      <c r="AA750" s="9">
        <f t="shared" si="98"/>
        <v>41106.20042676614</v>
      </c>
      <c r="AB750" s="9">
        <f t="shared" si="98"/>
        <v>12559.866378660407</v>
      </c>
    </row>
    <row r="751" spans="1:28" x14ac:dyDescent="0.3">
      <c r="A751" s="1">
        <v>45504</v>
      </c>
      <c r="B751" s="2">
        <v>73.55</v>
      </c>
      <c r="C751" s="2">
        <v>80.3</v>
      </c>
      <c r="D751" s="9">
        <f>B751-B750</f>
        <v>0.59999999999999432</v>
      </c>
      <c r="E751" s="9">
        <f>C751-C750</f>
        <v>0.48000000000000398</v>
      </c>
      <c r="F751" s="3">
        <f>F$1/B751</f>
        <v>1359.6193065941536</v>
      </c>
      <c r="G751" s="3">
        <f>F$1/C751</f>
        <v>1245.3300124533002</v>
      </c>
      <c r="H751" s="2">
        <f>D751*F750</f>
        <v>822.4811514736042</v>
      </c>
      <c r="I751" s="2">
        <f>E751*G750</f>
        <v>601.35304434979207</v>
      </c>
      <c r="J751" s="2">
        <f>I751-H751</f>
        <v>-221.12810712381213</v>
      </c>
      <c r="K751" s="2">
        <f t="shared" si="94"/>
        <v>221.12810712381213</v>
      </c>
      <c r="L751" s="14">
        <f>C751/B751</f>
        <v>1.0917743031951053</v>
      </c>
      <c r="M751" s="14">
        <f t="shared" si="96"/>
        <v>1.092591161009449</v>
      </c>
      <c r="N751" s="14">
        <f t="shared" si="100"/>
        <v>1.0922207424489421</v>
      </c>
      <c r="O751" s="14">
        <f t="shared" si="93"/>
        <v>1.0915769755035045</v>
      </c>
      <c r="P751" s="14">
        <f t="shared" si="95"/>
        <v>1.0908660188532677</v>
      </c>
      <c r="Q751" s="4" t="str">
        <f t="shared" si="99"/>
        <v>OVER</v>
      </c>
      <c r="R751" s="4" t="str">
        <f t="shared" si="99"/>
        <v>OVER</v>
      </c>
      <c r="S751" s="4" t="str">
        <f t="shared" si="97"/>
        <v>OVER</v>
      </c>
      <c r="T751" s="4" t="str">
        <f t="shared" si="97"/>
        <v>OVER</v>
      </c>
      <c r="U751" s="2">
        <f>IF(Q751="OVER",$J751,$K751)</f>
        <v>-221.12810712381213</v>
      </c>
      <c r="V751" s="2">
        <f>IF(R751="OVER",$J751,$K751)</f>
        <v>-221.12810712381213</v>
      </c>
      <c r="W751" s="2">
        <f>IF(S751="OVER",$J751,$K751)</f>
        <v>-221.12810712381213</v>
      </c>
      <c r="X751" s="2">
        <f>IF(T751="OVER",$J751,$K751)</f>
        <v>-221.12810712381213</v>
      </c>
      <c r="Y751" s="9">
        <f t="shared" si="98"/>
        <v>-29193.189429390633</v>
      </c>
      <c r="Z751" s="9">
        <f t="shared" si="98"/>
        <v>-28231.517986962226</v>
      </c>
      <c r="AA751" s="9">
        <f t="shared" si="98"/>
        <v>40885.072319642328</v>
      </c>
      <c r="AB751" s="9">
        <f t="shared" si="98"/>
        <v>12338.738271536595</v>
      </c>
    </row>
    <row r="752" spans="1:28" x14ac:dyDescent="0.3">
      <c r="A752" s="1">
        <v>45505</v>
      </c>
      <c r="B752" s="2">
        <v>72.650000000000006</v>
      </c>
      <c r="C752" s="2">
        <v>79.38</v>
      </c>
      <c r="D752" s="9">
        <f>B752-B751</f>
        <v>-0.89999999999999147</v>
      </c>
      <c r="E752" s="9">
        <f>C752-C751</f>
        <v>-0.92000000000000171</v>
      </c>
      <c r="F752" s="3">
        <f>F$1/B752</f>
        <v>1376.4624913971093</v>
      </c>
      <c r="G752" s="3">
        <f>F$1/C752</f>
        <v>1259.7631645250694</v>
      </c>
      <c r="H752" s="2">
        <f>D752*F751</f>
        <v>-1223.6573759347266</v>
      </c>
      <c r="I752" s="2">
        <f>E752*G751</f>
        <v>-1145.7036114570383</v>
      </c>
      <c r="J752" s="2">
        <f>I752-H752</f>
        <v>77.95376447768831</v>
      </c>
      <c r="K752" s="2">
        <f t="shared" si="94"/>
        <v>-77.95376447768831</v>
      </c>
      <c r="L752" s="14">
        <f>C752/B752</f>
        <v>1.0926359256710254</v>
      </c>
      <c r="M752" s="14">
        <f t="shared" si="96"/>
        <v>1.0927588706603979</v>
      </c>
      <c r="N752" s="14">
        <f t="shared" si="100"/>
        <v>1.0922938376500622</v>
      </c>
      <c r="O752" s="14">
        <f t="shared" si="93"/>
        <v>1.0916027709400022</v>
      </c>
      <c r="P752" s="14">
        <f t="shared" si="95"/>
        <v>1.0908705034801265</v>
      </c>
      <c r="Q752" s="4" t="str">
        <f t="shared" si="99"/>
        <v>UNDER</v>
      </c>
      <c r="R752" s="4" t="str">
        <f t="shared" si="99"/>
        <v>UNDER</v>
      </c>
      <c r="S752" s="4" t="str">
        <f t="shared" si="97"/>
        <v>OVER</v>
      </c>
      <c r="T752" s="4" t="str">
        <f t="shared" si="97"/>
        <v>OVER</v>
      </c>
      <c r="U752" s="2">
        <f>IF(Q752="OVER",$J752,$K752)</f>
        <v>-77.95376447768831</v>
      </c>
      <c r="V752" s="2">
        <f>IF(R752="OVER",$J752,$K752)</f>
        <v>-77.95376447768831</v>
      </c>
      <c r="W752" s="2">
        <f>IF(S752="OVER",$J752,$K752)</f>
        <v>77.95376447768831</v>
      </c>
      <c r="X752" s="2">
        <f>IF(T752="OVER",$J752,$K752)</f>
        <v>77.95376447768831</v>
      </c>
      <c r="Y752" s="9">
        <f t="shared" si="98"/>
        <v>-29271.143193868324</v>
      </c>
      <c r="Z752" s="9">
        <f t="shared" si="98"/>
        <v>-28309.471751439916</v>
      </c>
      <c r="AA752" s="9">
        <f t="shared" si="98"/>
        <v>40963.026084120014</v>
      </c>
      <c r="AB752" s="9">
        <f t="shared" si="98"/>
        <v>12416.692036014283</v>
      </c>
    </row>
    <row r="753" spans="1:28" x14ac:dyDescent="0.3">
      <c r="A753" s="1">
        <v>45506</v>
      </c>
      <c r="B753" s="2">
        <v>71.819999999999993</v>
      </c>
      <c r="C753" s="2">
        <v>78.28</v>
      </c>
      <c r="D753" s="9">
        <f>B753-B752</f>
        <v>-0.83000000000001251</v>
      </c>
      <c r="E753" s="9">
        <f>C753-C752</f>
        <v>-1.0999999999999943</v>
      </c>
      <c r="F753" s="3">
        <f>F$1/B753</f>
        <v>1392.3698134224451</v>
      </c>
      <c r="G753" s="3">
        <f>F$1/C753</f>
        <v>1277.4655084312724</v>
      </c>
      <c r="H753" s="2">
        <f>D753*F752</f>
        <v>-1142.4638678596179</v>
      </c>
      <c r="I753" s="2">
        <f>E753*G752</f>
        <v>-1385.7394809775692</v>
      </c>
      <c r="J753" s="2">
        <f>I753-H753</f>
        <v>-243.27561311795125</v>
      </c>
      <c r="K753" s="2">
        <f t="shared" si="94"/>
        <v>243.27561311795125</v>
      </c>
      <c r="L753" s="14">
        <f>C753/B753</f>
        <v>1.08994708994709</v>
      </c>
      <c r="M753" s="14">
        <f t="shared" si="96"/>
        <v>1.0926092384850687</v>
      </c>
      <c r="N753" s="14">
        <f t="shared" si="100"/>
        <v>1.0922696577339004</v>
      </c>
      <c r="O753" s="14">
        <f t="shared" si="93"/>
        <v>1.0915579756575051</v>
      </c>
      <c r="P753" s="14">
        <f t="shared" si="95"/>
        <v>1.0908611541184146</v>
      </c>
      <c r="Q753" s="4" t="str">
        <f t="shared" si="99"/>
        <v>UNDER</v>
      </c>
      <c r="R753" s="4" t="str">
        <f t="shared" si="99"/>
        <v>OVER</v>
      </c>
      <c r="S753" s="4" t="str">
        <f t="shared" si="97"/>
        <v>UNDER</v>
      </c>
      <c r="T753" s="4" t="str">
        <f t="shared" si="97"/>
        <v>UNDER</v>
      </c>
      <c r="U753" s="2">
        <f>IF(Q753="OVER",$J753,$K753)</f>
        <v>243.27561311795125</v>
      </c>
      <c r="V753" s="2">
        <f>IF(R753="OVER",$J753,$K753)</f>
        <v>-243.27561311795125</v>
      </c>
      <c r="W753" s="2">
        <f>IF(S753="OVER",$J753,$K753)</f>
        <v>243.27561311795125</v>
      </c>
      <c r="X753" s="2">
        <f>IF(T753="OVER",$J753,$K753)</f>
        <v>243.27561311795125</v>
      </c>
      <c r="Y753" s="9">
        <f t="shared" si="98"/>
        <v>-29027.867580750371</v>
      </c>
      <c r="Z753" s="9">
        <f t="shared" si="98"/>
        <v>-28552.747364557868</v>
      </c>
      <c r="AA753" s="9">
        <f t="shared" si="98"/>
        <v>41206.301697237963</v>
      </c>
      <c r="AB753" s="9">
        <f t="shared" si="98"/>
        <v>12659.967649132235</v>
      </c>
    </row>
    <row r="754" spans="1:28" x14ac:dyDescent="0.3">
      <c r="A754" s="1">
        <v>45509</v>
      </c>
      <c r="B754" s="2">
        <v>71.19</v>
      </c>
      <c r="C754" s="2">
        <v>77.239999999999995</v>
      </c>
      <c r="D754" s="9">
        <f>B754-B753</f>
        <v>-0.62999999999999545</v>
      </c>
      <c r="E754" s="9">
        <f>C754-C753</f>
        <v>-1.0400000000000063</v>
      </c>
      <c r="F754" s="3">
        <f>F$1/B754</f>
        <v>1404.691670178396</v>
      </c>
      <c r="G754" s="3">
        <f>F$1/C754</f>
        <v>1294.6659761781461</v>
      </c>
      <c r="H754" s="2">
        <f>D754*F753</f>
        <v>-877.19298245613402</v>
      </c>
      <c r="I754" s="2">
        <f>E754*G753</f>
        <v>-1328.5641287685312</v>
      </c>
      <c r="J754" s="2">
        <f>I754-H754</f>
        <v>-451.37114631239717</v>
      </c>
      <c r="K754" s="2">
        <f t="shared" si="94"/>
        <v>451.37114631239717</v>
      </c>
      <c r="L754" s="14">
        <f>C754/B754</f>
        <v>1.084983846045793</v>
      </c>
      <c r="M754" s="14">
        <f t="shared" si="96"/>
        <v>1.0918289924688085</v>
      </c>
      <c r="N754" s="14">
        <f t="shared" si="100"/>
        <v>1.0919564278047509</v>
      </c>
      <c r="O754" s="14">
        <f t="shared" si="93"/>
        <v>1.091410351736229</v>
      </c>
      <c r="P754" s="14">
        <f t="shared" si="95"/>
        <v>1.0908174628160638</v>
      </c>
      <c r="Q754" s="4" t="str">
        <f t="shared" si="99"/>
        <v>UNDER</v>
      </c>
      <c r="R754" s="4" t="str">
        <f t="shared" si="99"/>
        <v>UNDER</v>
      </c>
      <c r="S754" s="4" t="str">
        <f t="shared" si="97"/>
        <v>UNDER</v>
      </c>
      <c r="T754" s="4" t="str">
        <f t="shared" si="97"/>
        <v>UNDER</v>
      </c>
      <c r="U754" s="2">
        <f>IF(Q754="OVER",$J754,$K754)</f>
        <v>451.37114631239717</v>
      </c>
      <c r="V754" s="2">
        <f>IF(R754="OVER",$J754,$K754)</f>
        <v>451.37114631239717</v>
      </c>
      <c r="W754" s="2">
        <f>IF(S754="OVER",$J754,$K754)</f>
        <v>451.37114631239717</v>
      </c>
      <c r="X754" s="2">
        <f>IF(T754="OVER",$J754,$K754)</f>
        <v>451.37114631239717</v>
      </c>
      <c r="Y754" s="9">
        <f t="shared" si="98"/>
        <v>-28576.496434437973</v>
      </c>
      <c r="Z754" s="9">
        <f t="shared" si="98"/>
        <v>-28101.37621824547</v>
      </c>
      <c r="AA754" s="9">
        <f t="shared" si="98"/>
        <v>41657.672843550361</v>
      </c>
      <c r="AB754" s="9">
        <f t="shared" si="98"/>
        <v>13111.338795444632</v>
      </c>
    </row>
    <row r="755" spans="1:28" x14ac:dyDescent="0.3">
      <c r="A755" s="1">
        <v>45510</v>
      </c>
      <c r="B755" s="2">
        <v>71.45</v>
      </c>
      <c r="C755" s="2">
        <v>78.05</v>
      </c>
      <c r="D755" s="9">
        <f>B755-B754</f>
        <v>0.26000000000000512</v>
      </c>
      <c r="E755" s="9">
        <f>C755-C754</f>
        <v>0.81000000000000227</v>
      </c>
      <c r="F755" s="3">
        <f>F$1/B755</f>
        <v>1399.5801259622112</v>
      </c>
      <c r="G755" s="3">
        <f>F$1/C755</f>
        <v>1281.2299807815502</v>
      </c>
      <c r="H755" s="2">
        <f>D755*F754</f>
        <v>365.21983424639012</v>
      </c>
      <c r="I755" s="2">
        <f>E755*G754</f>
        <v>1048.6794407043012</v>
      </c>
      <c r="J755" s="2">
        <f>I755-H755</f>
        <v>683.45960645791115</v>
      </c>
      <c r="K755" s="2">
        <f t="shared" si="94"/>
        <v>-683.45960645791115</v>
      </c>
      <c r="L755" s="14">
        <f>C755/B755</f>
        <v>1.0923722883135059</v>
      </c>
      <c r="M755" s="14">
        <f t="shared" si="96"/>
        <v>1.0920036789042833</v>
      </c>
      <c r="N755" s="14">
        <f t="shared" si="100"/>
        <v>1.0919312939531678</v>
      </c>
      <c r="O755" s="14">
        <f t="shared" si="93"/>
        <v>1.0914152887916977</v>
      </c>
      <c r="P755" s="14">
        <f t="shared" si="95"/>
        <v>1.0908113476564614</v>
      </c>
      <c r="Q755" s="4" t="str">
        <f t="shared" si="99"/>
        <v>UNDER</v>
      </c>
      <c r="R755" s="4" t="str">
        <f t="shared" si="99"/>
        <v>UNDER</v>
      </c>
      <c r="S755" s="4" t="str">
        <f t="shared" si="97"/>
        <v>OVER</v>
      </c>
      <c r="T755" s="4" t="str">
        <f t="shared" si="97"/>
        <v>OVER</v>
      </c>
      <c r="U755" s="2">
        <f>IF(Q755="OVER",$J755,$K755)</f>
        <v>-683.45960645791115</v>
      </c>
      <c r="V755" s="2">
        <f>IF(R755="OVER",$J755,$K755)</f>
        <v>-683.45960645791115</v>
      </c>
      <c r="W755" s="2">
        <f>IF(S755="OVER",$J755,$K755)</f>
        <v>683.45960645791115</v>
      </c>
      <c r="X755" s="2">
        <f>IF(T755="OVER",$J755,$K755)</f>
        <v>683.45960645791115</v>
      </c>
      <c r="Y755" s="9">
        <f t="shared" si="98"/>
        <v>-29259.956040895886</v>
      </c>
      <c r="Z755" s="9">
        <f t="shared" si="98"/>
        <v>-28784.835824703383</v>
      </c>
      <c r="AA755" s="9">
        <f t="shared" si="98"/>
        <v>42341.13245000827</v>
      </c>
      <c r="AB755" s="9">
        <f t="shared" si="98"/>
        <v>13794.798401902543</v>
      </c>
    </row>
    <row r="756" spans="1:28" x14ac:dyDescent="0.3">
      <c r="A756" s="1">
        <v>45511</v>
      </c>
      <c r="B756" s="2">
        <v>71.209999999999994</v>
      </c>
      <c r="C756" s="2">
        <v>77.33</v>
      </c>
      <c r="D756" s="9">
        <f>B756-B755</f>
        <v>-0.24000000000000909</v>
      </c>
      <c r="E756" s="9">
        <f>C756-C755</f>
        <v>-0.71999999999999886</v>
      </c>
      <c r="F756" s="3">
        <f>F$1/B756</f>
        <v>1404.2971492767872</v>
      </c>
      <c r="G756" s="3">
        <f>F$1/C756</f>
        <v>1293.1591878960301</v>
      </c>
      <c r="H756" s="2">
        <f>D756*F755</f>
        <v>-335.89923023094343</v>
      </c>
      <c r="I756" s="2">
        <f>E756*G755</f>
        <v>-922.48558616271475</v>
      </c>
      <c r="J756" s="2">
        <f>I756-H756</f>
        <v>-586.58635593177132</v>
      </c>
      <c r="K756" s="2">
        <f t="shared" si="94"/>
        <v>586.58635593177132</v>
      </c>
      <c r="L756" s="14">
        <f>C756/B756</f>
        <v>1.0859429855357394</v>
      </c>
      <c r="M756" s="14">
        <f t="shared" si="96"/>
        <v>1.0909812718664298</v>
      </c>
      <c r="N756" s="14">
        <f t="shared" si="100"/>
        <v>1.0916785951216972</v>
      </c>
      <c r="O756" s="14">
        <f t="shared" si="93"/>
        <v>1.091317477220219</v>
      </c>
      <c r="P756" s="14">
        <f t="shared" si="95"/>
        <v>1.0907641883398838</v>
      </c>
      <c r="Q756" s="4" t="str">
        <f t="shared" si="99"/>
        <v>OVER</v>
      </c>
      <c r="R756" s="4" t="str">
        <f t="shared" si="99"/>
        <v>OVER</v>
      </c>
      <c r="S756" s="4" t="str">
        <f t="shared" si="97"/>
        <v>UNDER</v>
      </c>
      <c r="T756" s="4" t="str">
        <f t="shared" si="97"/>
        <v>UNDER</v>
      </c>
      <c r="U756" s="2">
        <f>IF(Q756="OVER",$J756,$K756)</f>
        <v>-586.58635593177132</v>
      </c>
      <c r="V756" s="2">
        <f>IF(R756="OVER",$J756,$K756)</f>
        <v>-586.58635593177132</v>
      </c>
      <c r="W756" s="2">
        <f>IF(S756="OVER",$J756,$K756)</f>
        <v>586.58635593177132</v>
      </c>
      <c r="X756" s="2">
        <f>IF(T756="OVER",$J756,$K756)</f>
        <v>586.58635593177132</v>
      </c>
      <c r="Y756" s="9">
        <f t="shared" si="98"/>
        <v>-29846.542396827659</v>
      </c>
      <c r="Z756" s="9">
        <f t="shared" si="98"/>
        <v>-29371.422180635156</v>
      </c>
      <c r="AA756" s="9">
        <f t="shared" si="98"/>
        <v>42927.718805940043</v>
      </c>
      <c r="AB756" s="9">
        <f t="shared" si="98"/>
        <v>14381.384757834314</v>
      </c>
    </row>
    <row r="757" spans="1:28" x14ac:dyDescent="0.3">
      <c r="A757" s="1">
        <v>45512</v>
      </c>
      <c r="B757" s="2">
        <v>71.89</v>
      </c>
      <c r="C757" s="2">
        <v>78.709999999999994</v>
      </c>
      <c r="D757" s="9">
        <f>B757-B756</f>
        <v>0.68000000000000682</v>
      </c>
      <c r="E757" s="9">
        <f>C757-C756</f>
        <v>1.3799999999999955</v>
      </c>
      <c r="F757" s="3">
        <f>F$1/B757</f>
        <v>1391.0140492418973</v>
      </c>
      <c r="G757" s="3">
        <f>F$1/C757</f>
        <v>1270.4865963664085</v>
      </c>
      <c r="H757" s="2">
        <f>D757*F756</f>
        <v>954.92206150822483</v>
      </c>
      <c r="I757" s="2">
        <f>E757*G756</f>
        <v>1784.5596792965157</v>
      </c>
      <c r="J757" s="2">
        <f>I757-H757</f>
        <v>829.63761778829087</v>
      </c>
      <c r="K757" s="2">
        <f t="shared" si="94"/>
        <v>-829.63761778829087</v>
      </c>
      <c r="L757" s="14">
        <f>C757/B757</f>
        <v>1.0948671581582974</v>
      </c>
      <c r="M757" s="14">
        <f t="shared" si="96"/>
        <v>1.0913345626478717</v>
      </c>
      <c r="N757" s="14">
        <f t="shared" si="100"/>
        <v>1.0918914301716873</v>
      </c>
      <c r="O757" s="14">
        <f t="shared" ref="O757:O820" si="101">AVERAGE(L708:L757)</f>
        <v>1.0913765036613474</v>
      </c>
      <c r="P757" s="14">
        <f t="shared" si="95"/>
        <v>1.0907653044106511</v>
      </c>
      <c r="Q757" s="4" t="str">
        <f t="shared" si="99"/>
        <v>UNDER</v>
      </c>
      <c r="R757" s="4" t="str">
        <f t="shared" si="99"/>
        <v>UNDER</v>
      </c>
      <c r="S757" s="4" t="str">
        <f t="shared" si="97"/>
        <v>OVER</v>
      </c>
      <c r="T757" s="4" t="str">
        <f t="shared" si="97"/>
        <v>OVER</v>
      </c>
      <c r="U757" s="2">
        <f>IF(Q757="OVER",$J757,$K757)</f>
        <v>-829.63761778829087</v>
      </c>
      <c r="V757" s="2">
        <f>IF(R757="OVER",$J757,$K757)</f>
        <v>-829.63761778829087</v>
      </c>
      <c r="W757" s="2">
        <f>IF(S757="OVER",$J757,$K757)</f>
        <v>829.63761778829087</v>
      </c>
      <c r="X757" s="2">
        <f>IF(T757="OVER",$J757,$K757)</f>
        <v>829.63761778829087</v>
      </c>
      <c r="Y757" s="9">
        <f t="shared" si="98"/>
        <v>-30676.180014615951</v>
      </c>
      <c r="Z757" s="9">
        <f t="shared" si="98"/>
        <v>-30201.059798423448</v>
      </c>
      <c r="AA757" s="9">
        <f t="shared" si="98"/>
        <v>43757.356423728335</v>
      </c>
      <c r="AB757" s="9">
        <f t="shared" si="98"/>
        <v>15211.022375622604</v>
      </c>
    </row>
    <row r="758" spans="1:28" x14ac:dyDescent="0.3">
      <c r="A758" s="1">
        <v>45513</v>
      </c>
      <c r="B758" s="2">
        <v>72.180000000000007</v>
      </c>
      <c r="C758" s="2">
        <v>79</v>
      </c>
      <c r="D758" s="9">
        <f>B758-B757</f>
        <v>0.29000000000000625</v>
      </c>
      <c r="E758" s="9">
        <f>C758-C757</f>
        <v>0.29000000000000625</v>
      </c>
      <c r="F758" s="3">
        <f>F$1/B758</f>
        <v>1385.4253255749513</v>
      </c>
      <c r="G758" s="3">
        <f>F$1/C758</f>
        <v>1265.8227848101267</v>
      </c>
      <c r="H758" s="2">
        <f>D758*F757</f>
        <v>403.39407428015892</v>
      </c>
      <c r="I758" s="2">
        <f>E758*G757</f>
        <v>368.4411129462664</v>
      </c>
      <c r="J758" s="2">
        <f>I758-H758</f>
        <v>-34.952961333892517</v>
      </c>
      <c r="K758" s="2">
        <f t="shared" si="94"/>
        <v>34.952961333892517</v>
      </c>
      <c r="L758" s="14">
        <f>C758/B758</f>
        <v>1.0944860072042115</v>
      </c>
      <c r="M758" s="14">
        <f t="shared" si="96"/>
        <v>1.0915652480142319</v>
      </c>
      <c r="N758" s="14">
        <f t="shared" si="100"/>
        <v>1.0921017944340052</v>
      </c>
      <c r="O758" s="14">
        <f t="shared" si="101"/>
        <v>1.0913775364013305</v>
      </c>
      <c r="P758" s="14">
        <f t="shared" si="95"/>
        <v>1.0907604165911655</v>
      </c>
      <c r="Q758" s="4" t="str">
        <f t="shared" si="99"/>
        <v>OVER</v>
      </c>
      <c r="R758" s="4" t="str">
        <f t="shared" si="99"/>
        <v>OVER</v>
      </c>
      <c r="S758" s="4" t="str">
        <f t="shared" si="97"/>
        <v>OVER</v>
      </c>
      <c r="T758" s="4" t="str">
        <f t="shared" si="97"/>
        <v>OVER</v>
      </c>
      <c r="U758" s="2">
        <f>IF(Q758="OVER",$J758,$K758)</f>
        <v>-34.952961333892517</v>
      </c>
      <c r="V758" s="2">
        <f>IF(R758="OVER",$J758,$K758)</f>
        <v>-34.952961333892517</v>
      </c>
      <c r="W758" s="2">
        <f>IF(S758="OVER",$J758,$K758)</f>
        <v>-34.952961333892517</v>
      </c>
      <c r="X758" s="2">
        <f>IF(T758="OVER",$J758,$K758)</f>
        <v>-34.952961333892517</v>
      </c>
      <c r="Y758" s="9">
        <f t="shared" si="98"/>
        <v>-30711.132975949844</v>
      </c>
      <c r="Z758" s="9">
        <f t="shared" si="98"/>
        <v>-30236.012759757341</v>
      </c>
      <c r="AA758" s="9">
        <f t="shared" si="98"/>
        <v>43722.403462394446</v>
      </c>
      <c r="AB758" s="9">
        <f t="shared" si="98"/>
        <v>15176.069414288711</v>
      </c>
    </row>
    <row r="759" spans="1:28" x14ac:dyDescent="0.3">
      <c r="A759" s="1">
        <v>45516</v>
      </c>
      <c r="B759" s="2">
        <v>72.02</v>
      </c>
      <c r="C759" s="2">
        <v>78.81</v>
      </c>
      <c r="D759" s="9">
        <f>B759-B758</f>
        <v>-0.1600000000000108</v>
      </c>
      <c r="E759" s="9">
        <f>C759-C758</f>
        <v>-0.18999999999999773</v>
      </c>
      <c r="F759" s="3">
        <f>F$1/B759</f>
        <v>1388.5031935573452</v>
      </c>
      <c r="G759" s="3">
        <f>F$1/C759</f>
        <v>1268.874508311128</v>
      </c>
      <c r="H759" s="2">
        <f>D759*F758</f>
        <v>-221.66805209200717</v>
      </c>
      <c r="I759" s="2">
        <f>E759*G758</f>
        <v>-240.5063291139212</v>
      </c>
      <c r="J759" s="2">
        <f>I759-H759</f>
        <v>-18.838277021914024</v>
      </c>
      <c r="K759" s="2">
        <f t="shared" si="94"/>
        <v>18.838277021914024</v>
      </c>
      <c r="L759" s="14">
        <f>C759/B759</f>
        <v>1.0942793668425439</v>
      </c>
      <c r="M759" s="14">
        <f t="shared" si="96"/>
        <v>1.091546306275704</v>
      </c>
      <c r="N759" s="14">
        <f t="shared" si="100"/>
        <v>1.0922271122195211</v>
      </c>
      <c r="O759" s="14">
        <f t="shared" si="101"/>
        <v>1.0914068195726794</v>
      </c>
      <c r="P759" s="14">
        <f t="shared" si="95"/>
        <v>1.0907642750340145</v>
      </c>
      <c r="Q759" s="4" t="str">
        <f t="shared" si="99"/>
        <v>OVER</v>
      </c>
      <c r="R759" s="4" t="str">
        <f t="shared" si="99"/>
        <v>OVER</v>
      </c>
      <c r="S759" s="4" t="str">
        <f t="shared" si="97"/>
        <v>OVER</v>
      </c>
      <c r="T759" s="4" t="str">
        <f t="shared" si="97"/>
        <v>OVER</v>
      </c>
      <c r="U759" s="2">
        <f>IF(Q759="OVER",$J759,$K759)</f>
        <v>-18.838277021914024</v>
      </c>
      <c r="V759" s="2">
        <f>IF(R759="OVER",$J759,$K759)</f>
        <v>-18.838277021914024</v>
      </c>
      <c r="W759" s="2">
        <f>IF(S759="OVER",$J759,$K759)</f>
        <v>-18.838277021914024</v>
      </c>
      <c r="X759" s="2">
        <f>IF(T759="OVER",$J759,$K759)</f>
        <v>-18.838277021914024</v>
      </c>
      <c r="Y759" s="9">
        <f t="shared" si="98"/>
        <v>-30729.971252971758</v>
      </c>
      <c r="Z759" s="9">
        <f t="shared" si="98"/>
        <v>-30254.851036779255</v>
      </c>
      <c r="AA759" s="9">
        <f t="shared" si="98"/>
        <v>43703.565185372536</v>
      </c>
      <c r="AB759" s="9">
        <f t="shared" si="98"/>
        <v>15157.231137266797</v>
      </c>
    </row>
    <row r="760" spans="1:28" x14ac:dyDescent="0.3">
      <c r="A760" s="1">
        <v>45517</v>
      </c>
      <c r="B760" s="2">
        <v>72.44</v>
      </c>
      <c r="C760" s="2">
        <v>79.05</v>
      </c>
      <c r="D760" s="9">
        <f>B760-B759</f>
        <v>0.42000000000000171</v>
      </c>
      <c r="E760" s="9">
        <f>C760-C759</f>
        <v>0.23999999999999488</v>
      </c>
      <c r="F760" s="3">
        <f>F$1/B760</f>
        <v>1380.4527885146329</v>
      </c>
      <c r="G760" s="3">
        <f>F$1/C760</f>
        <v>1265.022137887413</v>
      </c>
      <c r="H760" s="2">
        <f>D760*F759</f>
        <v>583.17134129408737</v>
      </c>
      <c r="I760" s="2">
        <f>E760*G759</f>
        <v>304.52988199466421</v>
      </c>
      <c r="J760" s="2">
        <f>I760-H760</f>
        <v>-278.64145929942316</v>
      </c>
      <c r="K760" s="2">
        <f t="shared" si="94"/>
        <v>278.64145929942316</v>
      </c>
      <c r="L760" s="14">
        <f>C760/B760</f>
        <v>1.0912479293208173</v>
      </c>
      <c r="M760" s="14">
        <f t="shared" si="96"/>
        <v>1.0912536900234129</v>
      </c>
      <c r="N760" s="14">
        <f t="shared" si="100"/>
        <v>1.0920904377282441</v>
      </c>
      <c r="O760" s="14">
        <f t="shared" si="101"/>
        <v>1.0913844222221625</v>
      </c>
      <c r="P760" s="14">
        <f t="shared" si="95"/>
        <v>1.0907681956847515</v>
      </c>
      <c r="Q760" s="4" t="str">
        <f t="shared" si="99"/>
        <v>OVER</v>
      </c>
      <c r="R760" s="4" t="str">
        <f t="shared" si="99"/>
        <v>OVER</v>
      </c>
      <c r="S760" s="4" t="str">
        <f t="shared" si="97"/>
        <v>UNDER</v>
      </c>
      <c r="T760" s="4" t="str">
        <f t="shared" si="97"/>
        <v>OVER</v>
      </c>
      <c r="U760" s="2">
        <f>IF(Q760="OVER",$J760,$K760)</f>
        <v>-278.64145929942316</v>
      </c>
      <c r="V760" s="2">
        <f>IF(R760="OVER",$J760,$K760)</f>
        <v>-278.64145929942316</v>
      </c>
      <c r="W760" s="2">
        <f>IF(S760="OVER",$J760,$K760)</f>
        <v>278.64145929942316</v>
      </c>
      <c r="X760" s="2">
        <f>IF(T760="OVER",$J760,$K760)</f>
        <v>-278.64145929942316</v>
      </c>
      <c r="Y760" s="9">
        <f t="shared" si="98"/>
        <v>-31008.61271227118</v>
      </c>
      <c r="Z760" s="9">
        <f t="shared" si="98"/>
        <v>-30533.492496078678</v>
      </c>
      <c r="AA760" s="9">
        <f t="shared" si="98"/>
        <v>43982.206644671962</v>
      </c>
      <c r="AB760" s="9">
        <f t="shared" si="98"/>
        <v>14878.589677967375</v>
      </c>
    </row>
    <row r="761" spans="1:28" x14ac:dyDescent="0.3">
      <c r="A761" s="1">
        <v>45518</v>
      </c>
      <c r="B761" s="2">
        <v>72.3</v>
      </c>
      <c r="C761" s="2">
        <v>79.209999999999994</v>
      </c>
      <c r="D761" s="9">
        <f>B761-B760</f>
        <v>-0.14000000000000057</v>
      </c>
      <c r="E761" s="9">
        <f>C761-C760</f>
        <v>0.15999999999999659</v>
      </c>
      <c r="F761" s="3">
        <f>F$1/B761</f>
        <v>1383.1258644536654</v>
      </c>
      <c r="G761" s="3">
        <f>F$1/C761</f>
        <v>1262.4668602449187</v>
      </c>
      <c r="H761" s="2">
        <f>D761*F760</f>
        <v>-193.26339039204939</v>
      </c>
      <c r="I761" s="2">
        <f>E761*G760</f>
        <v>202.40354206198177</v>
      </c>
      <c r="J761" s="2">
        <f>I761-H761</f>
        <v>395.66693245403115</v>
      </c>
      <c r="K761" s="2">
        <f t="shared" si="94"/>
        <v>-395.66693245403115</v>
      </c>
      <c r="L761" s="14">
        <f>C761/B761</f>
        <v>1.0955739972337482</v>
      </c>
      <c r="M761" s="14">
        <f t="shared" si="96"/>
        <v>1.0916336594272771</v>
      </c>
      <c r="N761" s="14">
        <f t="shared" si="100"/>
        <v>1.092112410218363</v>
      </c>
      <c r="O761" s="14">
        <f t="shared" si="101"/>
        <v>1.0914124314388789</v>
      </c>
      <c r="P761" s="14">
        <f t="shared" si="95"/>
        <v>1.0907807708306254</v>
      </c>
      <c r="Q761" s="4" t="str">
        <f t="shared" si="99"/>
        <v>UNDER</v>
      </c>
      <c r="R761" s="4" t="str">
        <f t="shared" si="99"/>
        <v>UNDER</v>
      </c>
      <c r="S761" s="4" t="str">
        <f t="shared" si="97"/>
        <v>OVER</v>
      </c>
      <c r="T761" s="4" t="str">
        <f t="shared" si="97"/>
        <v>OVER</v>
      </c>
      <c r="U761" s="2">
        <f>IF(Q761="OVER",$J761,$K761)</f>
        <v>-395.66693245403115</v>
      </c>
      <c r="V761" s="2">
        <f>IF(R761="OVER",$J761,$K761)</f>
        <v>-395.66693245403115</v>
      </c>
      <c r="W761" s="2">
        <f>IF(S761="OVER",$J761,$K761)</f>
        <v>395.66693245403115</v>
      </c>
      <c r="X761" s="2">
        <f>IF(T761="OVER",$J761,$K761)</f>
        <v>395.66693245403115</v>
      </c>
      <c r="Y761" s="9">
        <f t="shared" si="98"/>
        <v>-31404.279644725211</v>
      </c>
      <c r="Z761" s="9">
        <f t="shared" si="98"/>
        <v>-30929.159428532708</v>
      </c>
      <c r="AA761" s="9">
        <f t="shared" si="98"/>
        <v>44377.873577125996</v>
      </c>
      <c r="AB761" s="9">
        <f t="shared" si="98"/>
        <v>15274.256610421406</v>
      </c>
    </row>
    <row r="762" spans="1:28" x14ac:dyDescent="0.3">
      <c r="A762" s="1">
        <v>45519</v>
      </c>
      <c r="B762" s="2">
        <v>72.89</v>
      </c>
      <c r="C762" s="2">
        <v>79.819999999999993</v>
      </c>
      <c r="D762" s="9">
        <f>B762-B761</f>
        <v>0.59000000000000341</v>
      </c>
      <c r="E762" s="9">
        <f>C762-C761</f>
        <v>0.60999999999999943</v>
      </c>
      <c r="F762" s="3">
        <f>F$1/B762</f>
        <v>1371.9303059404583</v>
      </c>
      <c r="G762" s="3">
        <f>F$1/C762</f>
        <v>1252.8188423953898</v>
      </c>
      <c r="H762" s="2">
        <f>D762*F761</f>
        <v>816.04426002766729</v>
      </c>
      <c r="I762" s="2">
        <f>E762*G761</f>
        <v>770.10478474939976</v>
      </c>
      <c r="J762" s="2">
        <f>I762-H762</f>
        <v>-45.939475278267537</v>
      </c>
      <c r="K762" s="2">
        <f t="shared" si="94"/>
        <v>45.939475278267537</v>
      </c>
      <c r="L762" s="14">
        <f>C762/B762</f>
        <v>1.0950747702016737</v>
      </c>
      <c r="M762" s="14">
        <f t="shared" si="96"/>
        <v>1.0918775438803421</v>
      </c>
      <c r="N762" s="14">
        <f t="shared" si="100"/>
        <v>1.0923182072703699</v>
      </c>
      <c r="O762" s="14">
        <f t="shared" si="101"/>
        <v>1.0914731447200077</v>
      </c>
      <c r="P762" s="14">
        <f t="shared" si="95"/>
        <v>1.0907945943657145</v>
      </c>
      <c r="Q762" s="4" t="str">
        <f t="shared" si="99"/>
        <v>OVER</v>
      </c>
      <c r="R762" s="4" t="str">
        <f t="shared" si="99"/>
        <v>OVER</v>
      </c>
      <c r="S762" s="4" t="str">
        <f t="shared" si="97"/>
        <v>OVER</v>
      </c>
      <c r="T762" s="4" t="str">
        <f t="shared" si="97"/>
        <v>OVER</v>
      </c>
      <c r="U762" s="2">
        <f>IF(Q762="OVER",$J762,$K762)</f>
        <v>-45.939475278267537</v>
      </c>
      <c r="V762" s="2">
        <f>IF(R762="OVER",$J762,$K762)</f>
        <v>-45.939475278267537</v>
      </c>
      <c r="W762" s="2">
        <f>IF(S762="OVER",$J762,$K762)</f>
        <v>-45.939475278267537</v>
      </c>
      <c r="X762" s="2">
        <f>IF(T762="OVER",$J762,$K762)</f>
        <v>-45.939475278267537</v>
      </c>
      <c r="Y762" s="9">
        <f t="shared" si="98"/>
        <v>-31450.219120003479</v>
      </c>
      <c r="Z762" s="9">
        <f t="shared" si="98"/>
        <v>-30975.098903810976</v>
      </c>
      <c r="AA762" s="9">
        <f t="shared" si="98"/>
        <v>44331.934101847728</v>
      </c>
      <c r="AB762" s="9">
        <f t="shared" si="98"/>
        <v>15228.317135143137</v>
      </c>
    </row>
    <row r="763" spans="1:28" x14ac:dyDescent="0.3">
      <c r="A763" s="1">
        <v>45520</v>
      </c>
      <c r="B763" s="2">
        <v>73.099999999999994</v>
      </c>
      <c r="C763" s="2">
        <v>80.099999999999994</v>
      </c>
      <c r="D763" s="9">
        <f>B763-B762</f>
        <v>0.20999999999999375</v>
      </c>
      <c r="E763" s="9">
        <f>C763-C762</f>
        <v>0.28000000000000114</v>
      </c>
      <c r="F763" s="3">
        <f>F$1/B763</f>
        <v>1367.9890560875515</v>
      </c>
      <c r="G763" s="3">
        <f>F$1/C763</f>
        <v>1248.4394506866417</v>
      </c>
      <c r="H763" s="2">
        <f>D763*F762</f>
        <v>288.10536424748767</v>
      </c>
      <c r="I763" s="2">
        <f>E763*G762</f>
        <v>350.78927587071058</v>
      </c>
      <c r="J763" s="2">
        <f>I763-H763</f>
        <v>62.683911623222912</v>
      </c>
      <c r="K763" s="2">
        <f t="shared" si="94"/>
        <v>-62.683911623222912</v>
      </c>
      <c r="L763" s="14">
        <f>C763/B763</f>
        <v>1.0957592339261286</v>
      </c>
      <c r="M763" s="14">
        <f t="shared" si="96"/>
        <v>1.0924587582782459</v>
      </c>
      <c r="N763" s="14">
        <f t="shared" si="100"/>
        <v>1.0925339983816573</v>
      </c>
      <c r="O763" s="14">
        <f t="shared" si="101"/>
        <v>1.0915985645299273</v>
      </c>
      <c r="P763" s="14">
        <f t="shared" si="95"/>
        <v>1.0908087956064645</v>
      </c>
      <c r="Q763" s="4" t="str">
        <f t="shared" si="99"/>
        <v>OVER</v>
      </c>
      <c r="R763" s="4" t="str">
        <f t="shared" si="99"/>
        <v>OVER</v>
      </c>
      <c r="S763" s="4" t="str">
        <f t="shared" si="97"/>
        <v>OVER</v>
      </c>
      <c r="T763" s="4" t="str">
        <f t="shared" si="97"/>
        <v>OVER</v>
      </c>
      <c r="U763" s="2">
        <f>IF(Q763="OVER",$J763,$K763)</f>
        <v>62.683911623222912</v>
      </c>
      <c r="V763" s="2">
        <f>IF(R763="OVER",$J763,$K763)</f>
        <v>62.683911623222912</v>
      </c>
      <c r="W763" s="2">
        <f>IF(S763="OVER",$J763,$K763)</f>
        <v>62.683911623222912</v>
      </c>
      <c r="X763" s="2">
        <f>IF(T763="OVER",$J763,$K763)</f>
        <v>62.683911623222912</v>
      </c>
      <c r="Y763" s="9">
        <f t="shared" si="98"/>
        <v>-31387.535208380257</v>
      </c>
      <c r="Z763" s="9">
        <f t="shared" si="98"/>
        <v>-30912.414992187754</v>
      </c>
      <c r="AA763" s="9">
        <f t="shared" si="98"/>
        <v>44394.61801347095</v>
      </c>
      <c r="AB763" s="9">
        <f t="shared" si="98"/>
        <v>15291.00104676636</v>
      </c>
    </row>
    <row r="764" spans="1:28" x14ac:dyDescent="0.3">
      <c r="A764" s="1">
        <v>45523</v>
      </c>
      <c r="B764" s="2">
        <v>73.459999999999994</v>
      </c>
      <c r="C764" s="2">
        <v>80.569999999999993</v>
      </c>
      <c r="D764" s="9">
        <f>B764-B763</f>
        <v>0.35999999999999943</v>
      </c>
      <c r="E764" s="9">
        <f>C764-C763</f>
        <v>0.46999999999999886</v>
      </c>
      <c r="F764" s="3">
        <f>F$1/B764</f>
        <v>1361.2850530901171</v>
      </c>
      <c r="G764" s="3">
        <f>F$1/C764</f>
        <v>1241.1567580985479</v>
      </c>
      <c r="H764" s="2">
        <f>D764*F763</f>
        <v>492.47606019151777</v>
      </c>
      <c r="I764" s="2">
        <f>E764*G763</f>
        <v>586.76654182272023</v>
      </c>
      <c r="J764" s="2">
        <f>I764-H764</f>
        <v>94.290481631202454</v>
      </c>
      <c r="K764" s="2">
        <f t="shared" si="94"/>
        <v>-94.290481631202454</v>
      </c>
      <c r="L764" s="14">
        <f>C764/B764</f>
        <v>1.0967873672747073</v>
      </c>
      <c r="M764" s="14">
        <f t="shared" si="96"/>
        <v>1.0936391104011374</v>
      </c>
      <c r="N764" s="14">
        <f t="shared" si="100"/>
        <v>1.092734051434973</v>
      </c>
      <c r="O764" s="14">
        <f t="shared" si="101"/>
        <v>1.0917189144091815</v>
      </c>
      <c r="P764" s="14">
        <f t="shared" si="95"/>
        <v>1.0908252841244179</v>
      </c>
      <c r="Q764" s="4" t="str">
        <f t="shared" si="99"/>
        <v>OVER</v>
      </c>
      <c r="R764" s="4" t="str">
        <f t="shared" si="99"/>
        <v>OVER</v>
      </c>
      <c r="S764" s="4" t="str">
        <f t="shared" si="97"/>
        <v>OVER</v>
      </c>
      <c r="T764" s="4" t="str">
        <f t="shared" si="97"/>
        <v>OVER</v>
      </c>
      <c r="U764" s="2">
        <f>IF(Q764="OVER",$J764,$K764)</f>
        <v>94.290481631202454</v>
      </c>
      <c r="V764" s="2">
        <f>IF(R764="OVER",$J764,$K764)</f>
        <v>94.290481631202454</v>
      </c>
      <c r="W764" s="2">
        <f>IF(S764="OVER",$J764,$K764)</f>
        <v>94.290481631202454</v>
      </c>
      <c r="X764" s="2">
        <f>IF(T764="OVER",$J764,$K764)</f>
        <v>94.290481631202454</v>
      </c>
      <c r="Y764" s="9">
        <f t="shared" si="98"/>
        <v>-31293.244726749053</v>
      </c>
      <c r="Z764" s="9">
        <f t="shared" si="98"/>
        <v>-30818.12451055655</v>
      </c>
      <c r="AA764" s="9">
        <f t="shared" si="98"/>
        <v>44488.90849510215</v>
      </c>
      <c r="AB764" s="9">
        <f t="shared" si="98"/>
        <v>15385.291528397562</v>
      </c>
    </row>
    <row r="765" spans="1:28" x14ac:dyDescent="0.3">
      <c r="A765" s="1">
        <v>45524</v>
      </c>
      <c r="B765" s="2">
        <v>73.34</v>
      </c>
      <c r="C765" s="2">
        <v>80.22</v>
      </c>
      <c r="D765" s="9">
        <f>B765-B764</f>
        <v>-0.11999999999999034</v>
      </c>
      <c r="E765" s="9">
        <f>C765-C764</f>
        <v>-0.34999999999999432</v>
      </c>
      <c r="F765" s="3">
        <f>F$1/B765</f>
        <v>1363.5124079629124</v>
      </c>
      <c r="G765" s="3">
        <f>F$1/C765</f>
        <v>1246.5719272001995</v>
      </c>
      <c r="H765" s="2">
        <f>D765*F764</f>
        <v>-163.35420637080091</v>
      </c>
      <c r="I765" s="2">
        <f>E765*G764</f>
        <v>-434.40486533448473</v>
      </c>
      <c r="J765" s="2">
        <f>I765-H765</f>
        <v>-271.05065896368382</v>
      </c>
      <c r="K765" s="2">
        <f t="shared" si="94"/>
        <v>271.05065896368382</v>
      </c>
      <c r="L765" s="14">
        <f>C765/B765</f>
        <v>1.0938096536678483</v>
      </c>
      <c r="M765" s="14">
        <f t="shared" si="96"/>
        <v>1.0937828469365718</v>
      </c>
      <c r="N765" s="14">
        <f t="shared" si="100"/>
        <v>1.0928932629204273</v>
      </c>
      <c r="O765" s="14">
        <f t="shared" si="101"/>
        <v>1.0918385202805312</v>
      </c>
      <c r="P765" s="14">
        <f t="shared" si="95"/>
        <v>1.0908390866679074</v>
      </c>
      <c r="Q765" s="4" t="str">
        <f t="shared" si="99"/>
        <v>OVER</v>
      </c>
      <c r="R765" s="4" t="str">
        <f t="shared" si="99"/>
        <v>OVER</v>
      </c>
      <c r="S765" s="4" t="str">
        <f t="shared" si="97"/>
        <v>OVER</v>
      </c>
      <c r="T765" s="4" t="str">
        <f t="shared" si="97"/>
        <v>OVER</v>
      </c>
      <c r="U765" s="2">
        <f>IF(Q765="OVER",$J765,$K765)</f>
        <v>-271.05065896368382</v>
      </c>
      <c r="V765" s="2">
        <f>IF(R765="OVER",$J765,$K765)</f>
        <v>-271.05065896368382</v>
      </c>
      <c r="W765" s="2">
        <f>IF(S765="OVER",$J765,$K765)</f>
        <v>-271.05065896368382</v>
      </c>
      <c r="X765" s="2">
        <f>IF(T765="OVER",$J765,$K765)</f>
        <v>-271.05065896368382</v>
      </c>
      <c r="Y765" s="9">
        <f t="shared" si="98"/>
        <v>-31564.295385712736</v>
      </c>
      <c r="Z765" s="9">
        <f t="shared" si="98"/>
        <v>-31089.175169520233</v>
      </c>
      <c r="AA765" s="9">
        <f t="shared" si="98"/>
        <v>44217.857836138464</v>
      </c>
      <c r="AB765" s="9">
        <f t="shared" si="98"/>
        <v>15114.240869433877</v>
      </c>
    </row>
    <row r="766" spans="1:28" x14ac:dyDescent="0.3">
      <c r="A766" s="1">
        <v>45525</v>
      </c>
      <c r="B766" s="2">
        <v>73.58</v>
      </c>
      <c r="C766" s="2">
        <v>80.540000000000006</v>
      </c>
      <c r="D766" s="9">
        <f>B766-B765</f>
        <v>0.23999999999999488</v>
      </c>
      <c r="E766" s="9">
        <f>C766-C765</f>
        <v>0.32000000000000739</v>
      </c>
      <c r="F766" s="3">
        <f>F$1/B766</f>
        <v>1359.064963305246</v>
      </c>
      <c r="G766" s="3">
        <f>F$1/C766</f>
        <v>1241.6190712689347</v>
      </c>
      <c r="H766" s="2">
        <f>D766*F765</f>
        <v>327.242977911092</v>
      </c>
      <c r="I766" s="2">
        <f>E766*G765</f>
        <v>398.90301670407308</v>
      </c>
      <c r="J766" s="2">
        <f>I766-H766</f>
        <v>71.660038792981084</v>
      </c>
      <c r="K766" s="2">
        <f t="shared" si="94"/>
        <v>-71.660038792981084</v>
      </c>
      <c r="L766" s="14">
        <f>C766/B766</f>
        <v>1.0945909214460452</v>
      </c>
      <c r="M766" s="14">
        <f t="shared" si="96"/>
        <v>1.0946476405276022</v>
      </c>
      <c r="N766" s="14">
        <f t="shared" si="100"/>
        <v>1.0928144561970159</v>
      </c>
      <c r="O766" s="14">
        <f t="shared" si="101"/>
        <v>1.0919639965675882</v>
      </c>
      <c r="P766" s="14">
        <f t="shared" si="95"/>
        <v>1.0908559035961853</v>
      </c>
      <c r="Q766" s="4" t="str">
        <f t="shared" si="99"/>
        <v>OVER</v>
      </c>
      <c r="R766" s="4" t="str">
        <f t="shared" si="99"/>
        <v>OVER</v>
      </c>
      <c r="S766" s="4" t="str">
        <f t="shared" si="97"/>
        <v>OVER</v>
      </c>
      <c r="T766" s="4" t="str">
        <f t="shared" si="97"/>
        <v>OVER</v>
      </c>
      <c r="U766" s="2">
        <f>IF(Q766="OVER",$J766,$K766)</f>
        <v>71.660038792981084</v>
      </c>
      <c r="V766" s="2">
        <f>IF(R766="OVER",$J766,$K766)</f>
        <v>71.660038792981084</v>
      </c>
      <c r="W766" s="2">
        <f>IF(S766="OVER",$J766,$K766)</f>
        <v>71.660038792981084</v>
      </c>
      <c r="X766" s="2">
        <f>IF(T766="OVER",$J766,$K766)</f>
        <v>71.660038792981084</v>
      </c>
      <c r="Y766" s="9">
        <f t="shared" si="98"/>
        <v>-31492.635346919757</v>
      </c>
      <c r="Z766" s="9">
        <f t="shared" si="98"/>
        <v>-31017.515130727254</v>
      </c>
      <c r="AA766" s="9">
        <f t="shared" si="98"/>
        <v>44289.517874931444</v>
      </c>
      <c r="AB766" s="9">
        <f t="shared" si="98"/>
        <v>15185.900908226859</v>
      </c>
    </row>
    <row r="767" spans="1:28" x14ac:dyDescent="0.3">
      <c r="A767" s="1">
        <v>45526</v>
      </c>
      <c r="B767" s="2">
        <v>73.47</v>
      </c>
      <c r="C767" s="2">
        <v>80.55</v>
      </c>
      <c r="D767" s="9">
        <f>B767-B766</f>
        <v>-0.10999999999999943</v>
      </c>
      <c r="E767" s="9">
        <f>C767-C766</f>
        <v>9.9999999999909051E-3</v>
      </c>
      <c r="F767" s="3">
        <f>F$1/B767</f>
        <v>1361.0997686130393</v>
      </c>
      <c r="G767" s="3">
        <f>F$1/C767</f>
        <v>1241.4649286157667</v>
      </c>
      <c r="H767" s="2">
        <f>D767*F766</f>
        <v>-149.49714596357629</v>
      </c>
      <c r="I767" s="2">
        <f>E767*G766</f>
        <v>12.416190712678054</v>
      </c>
      <c r="J767" s="2">
        <f>I767-H767</f>
        <v>161.91333667625435</v>
      </c>
      <c r="K767" s="2">
        <f t="shared" si="94"/>
        <v>-161.91333667625435</v>
      </c>
      <c r="L767" s="14">
        <f>C767/B767</f>
        <v>1.0963658636178031</v>
      </c>
      <c r="M767" s="14">
        <f t="shared" si="96"/>
        <v>1.0947975110735526</v>
      </c>
      <c r="N767" s="14">
        <f t="shared" si="100"/>
        <v>1.0930660368607119</v>
      </c>
      <c r="O767" s="14">
        <f t="shared" si="101"/>
        <v>1.0920642566572389</v>
      </c>
      <c r="P767" s="14">
        <f t="shared" si="95"/>
        <v>1.0908864014865627</v>
      </c>
      <c r="Q767" s="4" t="str">
        <f t="shared" si="99"/>
        <v>UNDER</v>
      </c>
      <c r="R767" s="4" t="str">
        <f t="shared" si="99"/>
        <v>OVER</v>
      </c>
      <c r="S767" s="4" t="str">
        <f t="shared" si="97"/>
        <v>OVER</v>
      </c>
      <c r="T767" s="4" t="str">
        <f t="shared" si="97"/>
        <v>OVER</v>
      </c>
      <c r="U767" s="2">
        <f>IF(Q767="OVER",$J767,$K767)</f>
        <v>-161.91333667625435</v>
      </c>
      <c r="V767" s="2">
        <f>IF(R767="OVER",$J767,$K767)</f>
        <v>161.91333667625435</v>
      </c>
      <c r="W767" s="2">
        <f>IF(S767="OVER",$J767,$K767)</f>
        <v>161.91333667625435</v>
      </c>
      <c r="X767" s="2">
        <f>IF(T767="OVER",$J767,$K767)</f>
        <v>161.91333667625435</v>
      </c>
      <c r="Y767" s="9">
        <f t="shared" si="98"/>
        <v>-31654.548683596011</v>
      </c>
      <c r="Z767" s="9">
        <f t="shared" si="98"/>
        <v>-30855.601794050999</v>
      </c>
      <c r="AA767" s="9">
        <f t="shared" si="98"/>
        <v>44451.431211607698</v>
      </c>
      <c r="AB767" s="9">
        <f t="shared" si="98"/>
        <v>15347.814244903113</v>
      </c>
    </row>
    <row r="768" spans="1:28" x14ac:dyDescent="0.3">
      <c r="A768" s="1">
        <v>45527</v>
      </c>
      <c r="B768" s="2">
        <v>74.14</v>
      </c>
      <c r="C768" s="2">
        <v>81.180000000000007</v>
      </c>
      <c r="D768" s="9">
        <f>B768-B767</f>
        <v>0.67000000000000171</v>
      </c>
      <c r="E768" s="9">
        <f>C768-C767</f>
        <v>0.63000000000000966</v>
      </c>
      <c r="F768" s="3">
        <f>F$1/B768</f>
        <v>1348.7995683841382</v>
      </c>
      <c r="G768" s="3">
        <f>F$1/C768</f>
        <v>1231.8305001231829</v>
      </c>
      <c r="H768" s="2">
        <f>D768*F767</f>
        <v>911.93684497073866</v>
      </c>
      <c r="I768" s="2">
        <f>E768*G767</f>
        <v>782.12290502794497</v>
      </c>
      <c r="J768" s="2">
        <f>I768-H768</f>
        <v>-129.8139399427937</v>
      </c>
      <c r="K768" s="2">
        <f t="shared" si="94"/>
        <v>129.8139399427937</v>
      </c>
      <c r="L768" s="14">
        <f>C768/B768</f>
        <v>1.0949554896142435</v>
      </c>
      <c r="M768" s="14">
        <f t="shared" si="96"/>
        <v>1.0948444593145559</v>
      </c>
      <c r="N768" s="14">
        <f t="shared" si="100"/>
        <v>1.0932048536643937</v>
      </c>
      <c r="O768" s="14">
        <f t="shared" si="101"/>
        <v>1.092162287462112</v>
      </c>
      <c r="P768" s="14">
        <f t="shared" si="95"/>
        <v>1.0909135872957365</v>
      </c>
      <c r="Q768" s="4" t="str">
        <f t="shared" si="99"/>
        <v>OVER</v>
      </c>
      <c r="R768" s="4" t="str">
        <f t="shared" si="99"/>
        <v>OVER</v>
      </c>
      <c r="S768" s="4" t="str">
        <f t="shared" si="97"/>
        <v>OVER</v>
      </c>
      <c r="T768" s="4" t="str">
        <f t="shared" si="97"/>
        <v>OVER</v>
      </c>
      <c r="U768" s="2">
        <f>IF(Q768="OVER",$J768,$K768)</f>
        <v>-129.8139399427937</v>
      </c>
      <c r="V768" s="2">
        <f>IF(R768="OVER",$J768,$K768)</f>
        <v>-129.8139399427937</v>
      </c>
      <c r="W768" s="2">
        <f>IF(S768="OVER",$J768,$K768)</f>
        <v>-129.8139399427937</v>
      </c>
      <c r="X768" s="2">
        <f>IF(T768="OVER",$J768,$K768)</f>
        <v>-129.8139399427937</v>
      </c>
      <c r="Y768" s="9">
        <f t="shared" si="98"/>
        <v>-31784.362623538804</v>
      </c>
      <c r="Z768" s="9">
        <f t="shared" si="98"/>
        <v>-30985.415733993792</v>
      </c>
      <c r="AA768" s="9">
        <f t="shared" si="98"/>
        <v>44321.617271664902</v>
      </c>
      <c r="AB768" s="9">
        <f t="shared" si="98"/>
        <v>15218.000304960318</v>
      </c>
    </row>
    <row r="769" spans="1:28" x14ac:dyDescent="0.3">
      <c r="A769" s="1">
        <v>45530</v>
      </c>
      <c r="B769" s="2">
        <v>74.069999999999993</v>
      </c>
      <c r="C769" s="2">
        <v>81.06</v>
      </c>
      <c r="D769" s="9">
        <f>B769-B768</f>
        <v>-7.000000000000739E-2</v>
      </c>
      <c r="E769" s="9">
        <f>C769-C768</f>
        <v>-0.12000000000000455</v>
      </c>
      <c r="F769" s="3">
        <f>F$1/B769</f>
        <v>1350.0742540839747</v>
      </c>
      <c r="G769" s="3">
        <f>F$1/C769</f>
        <v>1233.654083395016</v>
      </c>
      <c r="H769" s="2">
        <f>D769*F768</f>
        <v>-94.415969786899637</v>
      </c>
      <c r="I769" s="2">
        <f>E769*G768</f>
        <v>-147.81966001478756</v>
      </c>
      <c r="J769" s="2">
        <f>I769-H769</f>
        <v>-53.403690227887921</v>
      </c>
      <c r="K769" s="2">
        <f t="shared" si="94"/>
        <v>53.403690227887921</v>
      </c>
      <c r="L769" s="14">
        <f>C769/B769</f>
        <v>1.0943701903604699</v>
      </c>
      <c r="M769" s="14">
        <f t="shared" si="96"/>
        <v>1.0948535416663483</v>
      </c>
      <c r="N769" s="14">
        <f t="shared" si="100"/>
        <v>1.0931999239710259</v>
      </c>
      <c r="O769" s="14">
        <f t="shared" si="101"/>
        <v>1.0922474384533012</v>
      </c>
      <c r="P769" s="14">
        <f t="shared" si="95"/>
        <v>1.0909120163206287</v>
      </c>
      <c r="Q769" s="4" t="str">
        <f t="shared" si="99"/>
        <v>OVER</v>
      </c>
      <c r="R769" s="4" t="str">
        <f t="shared" si="99"/>
        <v>OVER</v>
      </c>
      <c r="S769" s="4" t="str">
        <f t="shared" si="97"/>
        <v>OVER</v>
      </c>
      <c r="T769" s="4" t="str">
        <f t="shared" si="97"/>
        <v>OVER</v>
      </c>
      <c r="U769" s="2">
        <f>IF(Q769="OVER",$J769,$K769)</f>
        <v>-53.403690227887921</v>
      </c>
      <c r="V769" s="2">
        <f>IF(R769="OVER",$J769,$K769)</f>
        <v>-53.403690227887921</v>
      </c>
      <c r="W769" s="2">
        <f>IF(S769="OVER",$J769,$K769)</f>
        <v>-53.403690227887921</v>
      </c>
      <c r="X769" s="2">
        <f>IF(T769="OVER",$J769,$K769)</f>
        <v>-53.403690227887921</v>
      </c>
      <c r="Y769" s="9">
        <f t="shared" si="98"/>
        <v>-31837.766313766693</v>
      </c>
      <c r="Z769" s="9">
        <f t="shared" si="98"/>
        <v>-31038.819424221681</v>
      </c>
      <c r="AA769" s="9">
        <f t="shared" si="98"/>
        <v>44268.213581437012</v>
      </c>
      <c r="AB769" s="9">
        <f t="shared" si="98"/>
        <v>15164.596614732431</v>
      </c>
    </row>
    <row r="770" spans="1:28" x14ac:dyDescent="0.3">
      <c r="A770" s="1">
        <v>45531</v>
      </c>
      <c r="B770" s="2">
        <v>74.16</v>
      </c>
      <c r="C770" s="2">
        <v>81.290000000000006</v>
      </c>
      <c r="D770" s="9">
        <f>B770-B769</f>
        <v>9.0000000000003411E-2</v>
      </c>
      <c r="E770" s="9">
        <f>C770-C769</f>
        <v>0.23000000000000398</v>
      </c>
      <c r="F770" s="3">
        <f>F$1/B770</f>
        <v>1348.435814455232</v>
      </c>
      <c r="G770" s="3">
        <f>F$1/C770</f>
        <v>1230.1636117603641</v>
      </c>
      <c r="H770" s="2">
        <f>D770*F769</f>
        <v>121.50668286756232</v>
      </c>
      <c r="I770" s="2">
        <f>E770*G769</f>
        <v>283.74043918085857</v>
      </c>
      <c r="J770" s="2">
        <f>I770-H770</f>
        <v>162.23375631329625</v>
      </c>
      <c r="K770" s="2">
        <f t="shared" si="94"/>
        <v>-162.23375631329625</v>
      </c>
      <c r="L770" s="14">
        <f>C770/B770</f>
        <v>1.0961434735706581</v>
      </c>
      <c r="M770" s="14">
        <f t="shared" si="96"/>
        <v>1.0953430960913324</v>
      </c>
      <c r="N770" s="14">
        <f t="shared" si="100"/>
        <v>1.0932983930573728</v>
      </c>
      <c r="O770" s="14">
        <f t="shared" si="101"/>
        <v>1.0923722094907098</v>
      </c>
      <c r="P770" s="14">
        <f t="shared" si="95"/>
        <v>1.0909355778776915</v>
      </c>
      <c r="Q770" s="4" t="str">
        <f t="shared" si="99"/>
        <v>UNDER</v>
      </c>
      <c r="R770" s="4" t="str">
        <f t="shared" si="99"/>
        <v>OVER</v>
      </c>
      <c r="S770" s="4" t="str">
        <f t="shared" si="97"/>
        <v>OVER</v>
      </c>
      <c r="T770" s="4" t="str">
        <f t="shared" si="97"/>
        <v>OVER</v>
      </c>
      <c r="U770" s="2">
        <f>IF(Q770="OVER",$J770,$K770)</f>
        <v>-162.23375631329625</v>
      </c>
      <c r="V770" s="2">
        <f>IF(R770="OVER",$J770,$K770)</f>
        <v>162.23375631329625</v>
      </c>
      <c r="W770" s="2">
        <f>IF(S770="OVER",$J770,$K770)</f>
        <v>162.23375631329625</v>
      </c>
      <c r="X770" s="2">
        <f>IF(T770="OVER",$J770,$K770)</f>
        <v>162.23375631329625</v>
      </c>
      <c r="Y770" s="9">
        <f t="shared" si="98"/>
        <v>-32000.00007007999</v>
      </c>
      <c r="Z770" s="9">
        <f t="shared" si="98"/>
        <v>-30876.585667908384</v>
      </c>
      <c r="AA770" s="9">
        <f t="shared" si="98"/>
        <v>44430.447337750309</v>
      </c>
      <c r="AB770" s="9">
        <f t="shared" si="98"/>
        <v>15326.830371045728</v>
      </c>
    </row>
    <row r="771" spans="1:28" x14ac:dyDescent="0.3">
      <c r="A771" s="1">
        <v>45532</v>
      </c>
      <c r="B771" s="2">
        <v>73.849999999999994</v>
      </c>
      <c r="C771" s="2">
        <v>80.849999999999994</v>
      </c>
      <c r="D771" s="9">
        <f>B771-B770</f>
        <v>-0.31000000000000227</v>
      </c>
      <c r="E771" s="9">
        <f>C771-C770</f>
        <v>-0.44000000000001194</v>
      </c>
      <c r="F771" s="3">
        <f>F$1/B771</f>
        <v>1354.0961408259986</v>
      </c>
      <c r="G771" s="3">
        <f>F$1/C771</f>
        <v>1236.8583797155227</v>
      </c>
      <c r="H771" s="2">
        <f>D771*F770</f>
        <v>-418.01510248112498</v>
      </c>
      <c r="I771" s="2">
        <f>E771*G770</f>
        <v>-541.27198917457486</v>
      </c>
      <c r="J771" s="2">
        <f>I771-H771</f>
        <v>-123.25688669344987</v>
      </c>
      <c r="K771" s="2">
        <f t="shared" si="94"/>
        <v>123.25688669344987</v>
      </c>
      <c r="L771" s="14">
        <f>C771/B771</f>
        <v>1.09478672985782</v>
      </c>
      <c r="M771" s="14">
        <f t="shared" si="96"/>
        <v>1.0952643693537396</v>
      </c>
      <c r="N771" s="14">
        <f t="shared" si="100"/>
        <v>1.0934490143905085</v>
      </c>
      <c r="O771" s="14">
        <f t="shared" si="101"/>
        <v>1.0924085843786535</v>
      </c>
      <c r="P771" s="14">
        <f t="shared" si="95"/>
        <v>1.0909532348664077</v>
      </c>
      <c r="Q771" s="4" t="str">
        <f t="shared" si="99"/>
        <v>OVER</v>
      </c>
      <c r="R771" s="4" t="str">
        <f t="shared" si="99"/>
        <v>OVER</v>
      </c>
      <c r="S771" s="4" t="str">
        <f t="shared" si="97"/>
        <v>OVER</v>
      </c>
      <c r="T771" s="4" t="str">
        <f t="shared" si="97"/>
        <v>OVER</v>
      </c>
      <c r="U771" s="2">
        <f>IF(Q771="OVER",$J771,$K771)</f>
        <v>-123.25688669344987</v>
      </c>
      <c r="V771" s="2">
        <f>IF(R771="OVER",$J771,$K771)</f>
        <v>-123.25688669344987</v>
      </c>
      <c r="W771" s="2">
        <f>IF(S771="OVER",$J771,$K771)</f>
        <v>-123.25688669344987</v>
      </c>
      <c r="X771" s="2">
        <f>IF(T771="OVER",$J771,$K771)</f>
        <v>-123.25688669344987</v>
      </c>
      <c r="Y771" s="9">
        <f t="shared" si="98"/>
        <v>-32123.256956773439</v>
      </c>
      <c r="Z771" s="9">
        <f t="shared" si="98"/>
        <v>-30999.842554601833</v>
      </c>
      <c r="AA771" s="9">
        <f t="shared" si="98"/>
        <v>44307.190451056857</v>
      </c>
      <c r="AB771" s="9">
        <f t="shared" si="98"/>
        <v>15203.573484352277</v>
      </c>
    </row>
    <row r="772" spans="1:28" x14ac:dyDescent="0.3">
      <c r="A772" s="1">
        <v>45533</v>
      </c>
      <c r="B772" s="2">
        <v>74.040000000000006</v>
      </c>
      <c r="C772" s="2">
        <v>81.14</v>
      </c>
      <c r="D772" s="9">
        <f>B772-B771</f>
        <v>0.19000000000001194</v>
      </c>
      <c r="E772" s="9">
        <f>C772-C771</f>
        <v>0.29000000000000625</v>
      </c>
      <c r="F772" s="3">
        <f>F$1/B772</f>
        <v>1350.6212857914641</v>
      </c>
      <c r="G772" s="3">
        <f>F$1/C772</f>
        <v>1232.4377618930243</v>
      </c>
      <c r="H772" s="2">
        <f>D772*F771</f>
        <v>257.27826675695593</v>
      </c>
      <c r="I772" s="2">
        <f>E772*G771</f>
        <v>358.6889301175093</v>
      </c>
      <c r="J772" s="2">
        <f>I772-H772</f>
        <v>101.41066336055337</v>
      </c>
      <c r="K772" s="2">
        <f t="shared" si="94"/>
        <v>-101.41066336055337</v>
      </c>
      <c r="L772" s="14">
        <f>C772/B772</f>
        <v>1.095894111291194</v>
      </c>
      <c r="M772" s="14">
        <f t="shared" si="96"/>
        <v>1.0953463034626918</v>
      </c>
      <c r="N772" s="14">
        <f t="shared" si="100"/>
        <v>1.0936119236715169</v>
      </c>
      <c r="O772" s="14">
        <f t="shared" si="101"/>
        <v>1.0925075239346489</v>
      </c>
      <c r="P772" s="14">
        <f t="shared" si="95"/>
        <v>1.090975883446843</v>
      </c>
      <c r="Q772" s="4" t="str">
        <f t="shared" si="99"/>
        <v>UNDER</v>
      </c>
      <c r="R772" s="4" t="str">
        <f t="shared" si="99"/>
        <v>OVER</v>
      </c>
      <c r="S772" s="4" t="str">
        <f t="shared" si="97"/>
        <v>OVER</v>
      </c>
      <c r="T772" s="4" t="str">
        <f t="shared" si="97"/>
        <v>OVER</v>
      </c>
      <c r="U772" s="2">
        <f>IF(Q772="OVER",$J772,$K772)</f>
        <v>-101.41066336055337</v>
      </c>
      <c r="V772" s="2">
        <f>IF(R772="OVER",$J772,$K772)</f>
        <v>101.41066336055337</v>
      </c>
      <c r="W772" s="2">
        <f>IF(S772="OVER",$J772,$K772)</f>
        <v>101.41066336055337</v>
      </c>
      <c r="X772" s="2">
        <f>IF(T772="OVER",$J772,$K772)</f>
        <v>101.41066336055337</v>
      </c>
      <c r="Y772" s="9">
        <f t="shared" si="98"/>
        <v>-32224.667620133994</v>
      </c>
      <c r="Z772" s="9">
        <f t="shared" si="98"/>
        <v>-30898.431891241278</v>
      </c>
      <c r="AA772" s="9">
        <f t="shared" si="98"/>
        <v>44408.601114417412</v>
      </c>
      <c r="AB772" s="9">
        <f t="shared" si="98"/>
        <v>15304.98414771283</v>
      </c>
    </row>
    <row r="773" spans="1:28" x14ac:dyDescent="0.3">
      <c r="A773" s="1">
        <v>45534</v>
      </c>
      <c r="B773" s="2">
        <v>74.290000000000006</v>
      </c>
      <c r="C773" s="2">
        <v>81.290000000000006</v>
      </c>
      <c r="D773" s="9">
        <f>B773-B772</f>
        <v>0.25</v>
      </c>
      <c r="E773" s="9">
        <f>C773-C772</f>
        <v>0.15000000000000568</v>
      </c>
      <c r="F773" s="3">
        <f>F$1/B773</f>
        <v>1346.0761879122358</v>
      </c>
      <c r="G773" s="3">
        <f>F$1/C773</f>
        <v>1230.1636117603641</v>
      </c>
      <c r="H773" s="2">
        <f>D773*F772</f>
        <v>337.65532144786602</v>
      </c>
      <c r="I773" s="2">
        <f>E773*G772</f>
        <v>184.86566428396065</v>
      </c>
      <c r="J773" s="2">
        <f>I773-H773</f>
        <v>-152.78965716390536</v>
      </c>
      <c r="K773" s="2">
        <f t="shared" ref="K773:K836" si="102">H773-I773</f>
        <v>152.78965716390536</v>
      </c>
      <c r="L773" s="14">
        <f>C773/B773</f>
        <v>1.0942253331538565</v>
      </c>
      <c r="M773" s="14">
        <f t="shared" si="96"/>
        <v>1.0951929133854645</v>
      </c>
      <c r="N773" s="14">
        <f t="shared" si="100"/>
        <v>1.0938258358318556</v>
      </c>
      <c r="O773" s="14">
        <f t="shared" si="101"/>
        <v>1.0925746125075555</v>
      </c>
      <c r="P773" s="14">
        <f t="shared" si="95"/>
        <v>1.0909928087500083</v>
      </c>
      <c r="Q773" s="4" t="str">
        <f t="shared" si="99"/>
        <v>OVER</v>
      </c>
      <c r="R773" s="4" t="str">
        <f t="shared" si="99"/>
        <v>OVER</v>
      </c>
      <c r="S773" s="4" t="str">
        <f t="shared" si="97"/>
        <v>OVER</v>
      </c>
      <c r="T773" s="4" t="str">
        <f t="shared" si="97"/>
        <v>OVER</v>
      </c>
      <c r="U773" s="2">
        <f>IF(Q773="OVER",$J773,$K773)</f>
        <v>-152.78965716390536</v>
      </c>
      <c r="V773" s="2">
        <f>IF(R773="OVER",$J773,$K773)</f>
        <v>-152.78965716390536</v>
      </c>
      <c r="W773" s="2">
        <f>IF(S773="OVER",$J773,$K773)</f>
        <v>-152.78965716390536</v>
      </c>
      <c r="X773" s="2">
        <f>IF(T773="OVER",$J773,$K773)</f>
        <v>-152.78965716390536</v>
      </c>
      <c r="Y773" s="9">
        <f t="shared" si="98"/>
        <v>-32377.457277297901</v>
      </c>
      <c r="Z773" s="9">
        <f t="shared" si="98"/>
        <v>-31051.221548405185</v>
      </c>
      <c r="AA773" s="9">
        <f t="shared" si="98"/>
        <v>44255.811457253505</v>
      </c>
      <c r="AB773" s="9">
        <f t="shared" si="98"/>
        <v>15152.194490548925</v>
      </c>
    </row>
    <row r="774" spans="1:28" x14ac:dyDescent="0.3">
      <c r="A774" s="1">
        <v>45538</v>
      </c>
      <c r="B774" s="2">
        <v>73.39</v>
      </c>
      <c r="C774" s="2">
        <v>80.19</v>
      </c>
      <c r="D774" s="9">
        <f>B774-B773</f>
        <v>-0.90000000000000568</v>
      </c>
      <c r="E774" s="9">
        <f>C774-C773</f>
        <v>-1.1000000000000085</v>
      </c>
      <c r="F774" s="3">
        <f>F$1/B774</f>
        <v>1362.583458236817</v>
      </c>
      <c r="G774" s="3">
        <f>F$1/C774</f>
        <v>1247.0382840753211</v>
      </c>
      <c r="H774" s="2">
        <f>D774*F773</f>
        <v>-1211.46856912102</v>
      </c>
      <c r="I774" s="2">
        <f>E774*G773</f>
        <v>-1353.1799729364111</v>
      </c>
      <c r="J774" s="2">
        <f>I774-H774</f>
        <v>-141.71140381539112</v>
      </c>
      <c r="K774" s="2">
        <f t="shared" si="102"/>
        <v>141.71140381539112</v>
      </c>
      <c r="L774" s="14">
        <f>C774/B774</f>
        <v>1.0926556751601035</v>
      </c>
      <c r="M774" s="14">
        <f t="shared" si="96"/>
        <v>1.0947797441740044</v>
      </c>
      <c r="N774" s="14">
        <f t="shared" si="100"/>
        <v>1.0942094272875709</v>
      </c>
      <c r="O774" s="14">
        <f t="shared" si="101"/>
        <v>1.0926257983672318</v>
      </c>
      <c r="P774" s="14">
        <f t="shared" si="95"/>
        <v>1.0910081813276271</v>
      </c>
      <c r="Q774" s="4" t="str">
        <f t="shared" si="99"/>
        <v>UNDER</v>
      </c>
      <c r="R774" s="4" t="str">
        <f t="shared" si="99"/>
        <v>OVER</v>
      </c>
      <c r="S774" s="4" t="str">
        <f t="shared" si="97"/>
        <v>OVER</v>
      </c>
      <c r="T774" s="4" t="str">
        <f t="shared" si="97"/>
        <v>OVER</v>
      </c>
      <c r="U774" s="2">
        <f>IF(Q774="OVER",$J774,$K774)</f>
        <v>141.71140381539112</v>
      </c>
      <c r="V774" s="2">
        <f>IF(R774="OVER",$J774,$K774)</f>
        <v>-141.71140381539112</v>
      </c>
      <c r="W774" s="2">
        <f>IF(S774="OVER",$J774,$K774)</f>
        <v>-141.71140381539112</v>
      </c>
      <c r="X774" s="2">
        <f>IF(T774="OVER",$J774,$K774)</f>
        <v>-141.71140381539112</v>
      </c>
      <c r="Y774" s="9">
        <f t="shared" si="98"/>
        <v>-32235.745873482509</v>
      </c>
      <c r="Z774" s="9">
        <f t="shared" si="98"/>
        <v>-31192.932952220577</v>
      </c>
      <c r="AA774" s="9">
        <f t="shared" si="98"/>
        <v>44114.100053438116</v>
      </c>
      <c r="AB774" s="9">
        <f t="shared" si="98"/>
        <v>15010.483086733535</v>
      </c>
    </row>
    <row r="775" spans="1:28" x14ac:dyDescent="0.3">
      <c r="A775" s="1">
        <v>45539</v>
      </c>
      <c r="B775" s="2">
        <v>73.319999999999993</v>
      </c>
      <c r="C775" s="2">
        <v>80.09</v>
      </c>
      <c r="D775" s="9">
        <f>B775-B774</f>
        <v>-7.000000000000739E-2</v>
      </c>
      <c r="E775" s="9">
        <f>C775-C774</f>
        <v>-9.9999999999994316E-2</v>
      </c>
      <c r="F775" s="3">
        <f>F$1/B775</f>
        <v>1363.8843426077469</v>
      </c>
      <c r="G775" s="3">
        <f>F$1/C775</f>
        <v>1248.5953302534649</v>
      </c>
      <c r="H775" s="2">
        <f>D775*F774</f>
        <v>-95.380842076587257</v>
      </c>
      <c r="I775" s="2">
        <f>E775*G774</f>
        <v>-124.70382840752502</v>
      </c>
      <c r="J775" s="2">
        <f>I775-H775</f>
        <v>-29.322986330937766</v>
      </c>
      <c r="K775" s="2">
        <f t="shared" si="102"/>
        <v>29.322986330937766</v>
      </c>
      <c r="L775" s="14">
        <f>C775/B775</f>
        <v>1.0923349699945446</v>
      </c>
      <c r="M775" s="14">
        <f t="shared" si="96"/>
        <v>1.0946322758066738</v>
      </c>
      <c r="N775" s="14">
        <f t="shared" si="100"/>
        <v>1.0942075613716229</v>
      </c>
      <c r="O775" s="14">
        <f t="shared" si="101"/>
        <v>1.0926639722604841</v>
      </c>
      <c r="P775" s="14">
        <f t="shared" si="95"/>
        <v>1.0910138252803927</v>
      </c>
      <c r="Q775" s="4" t="str">
        <f t="shared" si="99"/>
        <v>UNDER</v>
      </c>
      <c r="R775" s="4" t="str">
        <f t="shared" si="99"/>
        <v>UNDER</v>
      </c>
      <c r="S775" s="4" t="str">
        <f t="shared" si="97"/>
        <v>UNDER</v>
      </c>
      <c r="T775" s="4" t="str">
        <f t="shared" si="97"/>
        <v>OVER</v>
      </c>
      <c r="U775" s="2">
        <f>IF(Q775="OVER",$J775,$K775)</f>
        <v>29.322986330937766</v>
      </c>
      <c r="V775" s="2">
        <f>IF(R775="OVER",$J775,$K775)</f>
        <v>29.322986330937766</v>
      </c>
      <c r="W775" s="2">
        <f>IF(S775="OVER",$J775,$K775)</f>
        <v>29.322986330937766</v>
      </c>
      <c r="X775" s="2">
        <f>IF(T775="OVER",$J775,$K775)</f>
        <v>-29.322986330937766</v>
      </c>
      <c r="Y775" s="9">
        <f t="shared" si="98"/>
        <v>-32206.42288715157</v>
      </c>
      <c r="Z775" s="9">
        <f t="shared" si="98"/>
        <v>-31163.609965889638</v>
      </c>
      <c r="AA775" s="9">
        <f t="shared" si="98"/>
        <v>44143.423039769055</v>
      </c>
      <c r="AB775" s="9">
        <f t="shared" si="98"/>
        <v>14981.160100402598</v>
      </c>
    </row>
    <row r="776" spans="1:28" x14ac:dyDescent="0.3">
      <c r="A776" s="1">
        <v>45540</v>
      </c>
      <c r="B776" s="2">
        <v>73.28</v>
      </c>
      <c r="C776" s="2">
        <v>80.22</v>
      </c>
      <c r="D776" s="9">
        <f>B776-B775</f>
        <v>-3.9999999999992042E-2</v>
      </c>
      <c r="E776" s="9">
        <f>C776-C775</f>
        <v>0.12999999999999545</v>
      </c>
      <c r="F776" s="3">
        <f>F$1/B776</f>
        <v>1364.6288209606987</v>
      </c>
      <c r="G776" s="3">
        <f>F$1/C776</f>
        <v>1246.5719272001995</v>
      </c>
      <c r="H776" s="2">
        <f>D776*F775</f>
        <v>-54.555373704299022</v>
      </c>
      <c r="I776" s="2">
        <f>E776*G775</f>
        <v>162.31739293294476</v>
      </c>
      <c r="J776" s="2">
        <f>I776-H776</f>
        <v>216.87276663724379</v>
      </c>
      <c r="K776" s="2">
        <f t="shared" si="102"/>
        <v>-216.87276663724379</v>
      </c>
      <c r="L776" s="14">
        <f>C776/B776</f>
        <v>1.0947052401746724</v>
      </c>
      <c r="M776" s="14">
        <f t="shared" si="96"/>
        <v>1.0946437076795363</v>
      </c>
      <c r="N776" s="14">
        <f t="shared" si="100"/>
        <v>1.0946456741035695</v>
      </c>
      <c r="O776" s="14">
        <f t="shared" si="101"/>
        <v>1.0927373604879285</v>
      </c>
      <c r="P776" s="14">
        <f t="shared" si="95"/>
        <v>1.0910340261010096</v>
      </c>
      <c r="Q776" s="4" t="str">
        <f t="shared" si="99"/>
        <v>UNDER</v>
      </c>
      <c r="R776" s="4" t="str">
        <f t="shared" si="99"/>
        <v>UNDER</v>
      </c>
      <c r="S776" s="4" t="str">
        <f t="shared" si="97"/>
        <v>OVER</v>
      </c>
      <c r="T776" s="4" t="str">
        <f t="shared" si="97"/>
        <v>OVER</v>
      </c>
      <c r="U776" s="2">
        <f>IF(Q776="OVER",$J776,$K776)</f>
        <v>-216.87276663724379</v>
      </c>
      <c r="V776" s="2">
        <f>IF(R776="OVER",$J776,$K776)</f>
        <v>-216.87276663724379</v>
      </c>
      <c r="W776" s="2">
        <f>IF(S776="OVER",$J776,$K776)</f>
        <v>216.87276663724379</v>
      </c>
      <c r="X776" s="2">
        <f>IF(T776="OVER",$J776,$K776)</f>
        <v>216.87276663724379</v>
      </c>
      <c r="Y776" s="9">
        <f t="shared" si="98"/>
        <v>-32423.295653788813</v>
      </c>
      <c r="Z776" s="9">
        <f t="shared" si="98"/>
        <v>-31380.482732526882</v>
      </c>
      <c r="AA776" s="9">
        <f t="shared" si="98"/>
        <v>44360.295806406299</v>
      </c>
      <c r="AB776" s="9">
        <f t="shared" si="98"/>
        <v>15198.032867039841</v>
      </c>
    </row>
    <row r="777" spans="1:28" x14ac:dyDescent="0.3">
      <c r="A777" s="1">
        <v>45541</v>
      </c>
      <c r="B777" s="2">
        <v>72.89</v>
      </c>
      <c r="C777" s="2">
        <v>79.739999999999995</v>
      </c>
      <c r="D777" s="9">
        <f>B777-B776</f>
        <v>-0.39000000000000057</v>
      </c>
      <c r="E777" s="9">
        <f>C777-C776</f>
        <v>-0.48000000000000398</v>
      </c>
      <c r="F777" s="3">
        <f>F$1/B777</f>
        <v>1371.9303059404583</v>
      </c>
      <c r="G777" s="3">
        <f>F$1/C777</f>
        <v>1254.0757461750691</v>
      </c>
      <c r="H777" s="2">
        <f>D777*F776</f>
        <v>-532.20524017467324</v>
      </c>
      <c r="I777" s="2">
        <f>E777*G776</f>
        <v>-598.35452505610078</v>
      </c>
      <c r="J777" s="2">
        <f>I777-H777</f>
        <v>-66.149284881427548</v>
      </c>
      <c r="K777" s="2">
        <f t="shared" si="102"/>
        <v>66.149284881427548</v>
      </c>
      <c r="L777" s="14">
        <f>C777/B777</f>
        <v>1.0939772259569214</v>
      </c>
      <c r="M777" s="14">
        <f t="shared" si="96"/>
        <v>1.0944048439134484</v>
      </c>
      <c r="N777" s="14">
        <f t="shared" si="100"/>
        <v>1.0946011774935005</v>
      </c>
      <c r="O777" s="14">
        <f t="shared" si="101"/>
        <v>1.0927951834106266</v>
      </c>
      <c r="P777" s="14">
        <f t="shared" si="95"/>
        <v>1.0910546992815813</v>
      </c>
      <c r="Q777" s="4" t="str">
        <f t="shared" si="99"/>
        <v>OVER</v>
      </c>
      <c r="R777" s="4" t="str">
        <f t="shared" si="99"/>
        <v>OVER</v>
      </c>
      <c r="S777" s="4" t="str">
        <f t="shared" si="97"/>
        <v>OVER</v>
      </c>
      <c r="T777" s="4" t="str">
        <f t="shared" si="97"/>
        <v>OVER</v>
      </c>
      <c r="U777" s="2">
        <f>IF(Q777="OVER",$J777,$K777)</f>
        <v>-66.149284881427548</v>
      </c>
      <c r="V777" s="2">
        <f>IF(R777="OVER",$J777,$K777)</f>
        <v>-66.149284881427548</v>
      </c>
      <c r="W777" s="2">
        <f>IF(S777="OVER",$J777,$K777)</f>
        <v>-66.149284881427548</v>
      </c>
      <c r="X777" s="2">
        <f>IF(T777="OVER",$J777,$K777)</f>
        <v>-66.149284881427548</v>
      </c>
      <c r="Y777" s="9">
        <f t="shared" si="98"/>
        <v>-32489.44493867024</v>
      </c>
      <c r="Z777" s="9">
        <f t="shared" si="98"/>
        <v>-31446.632017408308</v>
      </c>
      <c r="AA777" s="9">
        <f t="shared" si="98"/>
        <v>44294.146521524868</v>
      </c>
      <c r="AB777" s="9">
        <f t="shared" si="98"/>
        <v>15131.883582158414</v>
      </c>
    </row>
    <row r="778" spans="1:28" x14ac:dyDescent="0.3">
      <c r="A778" s="1">
        <v>45544</v>
      </c>
      <c r="B778" s="2">
        <v>73.12</v>
      </c>
      <c r="C778" s="2">
        <v>79.92</v>
      </c>
      <c r="D778" s="9">
        <f>B778-B777</f>
        <v>0.23000000000000398</v>
      </c>
      <c r="E778" s="9">
        <f>C778-C777</f>
        <v>0.18000000000000682</v>
      </c>
      <c r="F778" s="3">
        <f>F$1/B778</f>
        <v>1367.6148796498906</v>
      </c>
      <c r="G778" s="3">
        <f>F$1/C778</f>
        <v>1251.2512512512512</v>
      </c>
      <c r="H778" s="2">
        <f>D778*F777</f>
        <v>315.54397036631087</v>
      </c>
      <c r="I778" s="2">
        <f>E778*G777</f>
        <v>225.73363431152097</v>
      </c>
      <c r="J778" s="2">
        <f>I778-H778</f>
        <v>-89.8103360547899</v>
      </c>
      <c r="K778" s="2">
        <f t="shared" si="102"/>
        <v>89.8103360547899</v>
      </c>
      <c r="L778" s="14">
        <f>C778/B778</f>
        <v>1.0929978118161925</v>
      </c>
      <c r="M778" s="14">
        <f t="shared" si="96"/>
        <v>1.0942090761336432</v>
      </c>
      <c r="N778" s="14">
        <f t="shared" si="100"/>
        <v>1.0945267677240997</v>
      </c>
      <c r="O778" s="14">
        <f t="shared" si="101"/>
        <v>1.092821090609688</v>
      </c>
      <c r="P778" s="14">
        <f t="shared" si="95"/>
        <v>1.0910729301070186</v>
      </c>
      <c r="Q778" s="4" t="str">
        <f t="shared" si="99"/>
        <v>UNDER</v>
      </c>
      <c r="R778" s="4" t="str">
        <f t="shared" si="99"/>
        <v>UNDER</v>
      </c>
      <c r="S778" s="4" t="str">
        <f t="shared" si="97"/>
        <v>OVER</v>
      </c>
      <c r="T778" s="4" t="str">
        <f t="shared" si="97"/>
        <v>OVER</v>
      </c>
      <c r="U778" s="2">
        <f>IF(Q778="OVER",$J778,$K778)</f>
        <v>89.8103360547899</v>
      </c>
      <c r="V778" s="2">
        <f>IF(R778="OVER",$J778,$K778)</f>
        <v>89.8103360547899</v>
      </c>
      <c r="W778" s="2">
        <f>IF(S778="OVER",$J778,$K778)</f>
        <v>-89.8103360547899</v>
      </c>
      <c r="X778" s="2">
        <f>IF(T778="OVER",$J778,$K778)</f>
        <v>-89.8103360547899</v>
      </c>
      <c r="Y778" s="9">
        <f t="shared" si="98"/>
        <v>-32399.63460261545</v>
      </c>
      <c r="Z778" s="9">
        <f t="shared" si="98"/>
        <v>-31356.821681353518</v>
      </c>
      <c r="AA778" s="9">
        <f t="shared" si="98"/>
        <v>44204.336185470078</v>
      </c>
      <c r="AB778" s="9">
        <f t="shared" si="98"/>
        <v>15042.073246103624</v>
      </c>
    </row>
    <row r="779" spans="1:28" x14ac:dyDescent="0.3">
      <c r="A779" s="1">
        <v>45545</v>
      </c>
      <c r="B779" s="2">
        <v>73.19</v>
      </c>
      <c r="C779" s="2">
        <v>80.17</v>
      </c>
      <c r="D779" s="9">
        <f>B779-B778</f>
        <v>6.9999999999993179E-2</v>
      </c>
      <c r="E779" s="9">
        <f>C779-C778</f>
        <v>0.25</v>
      </c>
      <c r="F779" s="3">
        <f>F$1/B779</f>
        <v>1366.3068725235689</v>
      </c>
      <c r="G779" s="3">
        <f>F$1/C779</f>
        <v>1247.3493825620556</v>
      </c>
      <c r="H779" s="2">
        <f>D779*F778</f>
        <v>95.733041575483014</v>
      </c>
      <c r="I779" s="2">
        <f>E779*G778</f>
        <v>312.81281281281281</v>
      </c>
      <c r="J779" s="2">
        <f>I779-H779</f>
        <v>217.07977123732979</v>
      </c>
      <c r="K779" s="2">
        <f t="shared" si="102"/>
        <v>-217.07977123732979</v>
      </c>
      <c r="L779" s="14">
        <f>C779/B779</f>
        <v>1.0953682197021453</v>
      </c>
      <c r="M779" s="14">
        <f t="shared" si="96"/>
        <v>1.0943088790678108</v>
      </c>
      <c r="N779" s="14">
        <f t="shared" si="100"/>
        <v>1.0945812103670798</v>
      </c>
      <c r="O779" s="14">
        <f t="shared" si="101"/>
        <v>1.0929049745707582</v>
      </c>
      <c r="P779" s="14">
        <f t="shared" ref="P779:P842" si="103">AVERAGE(L580:L779)</f>
        <v>1.0911018993384081</v>
      </c>
      <c r="Q779" s="4" t="str">
        <f t="shared" si="99"/>
        <v>UNDER</v>
      </c>
      <c r="R779" s="4" t="str">
        <f t="shared" si="99"/>
        <v>UNDER</v>
      </c>
      <c r="S779" s="4" t="str">
        <f t="shared" si="97"/>
        <v>OVER</v>
      </c>
      <c r="T779" s="4" t="str">
        <f t="shared" si="97"/>
        <v>OVER</v>
      </c>
      <c r="U779" s="2">
        <f>IF(Q779="OVER",$J779,$K779)</f>
        <v>-217.07977123732979</v>
      </c>
      <c r="V779" s="2">
        <f>IF(R779="OVER",$J779,$K779)</f>
        <v>-217.07977123732979</v>
      </c>
      <c r="W779" s="2">
        <f>IF(S779="OVER",$J779,$K779)</f>
        <v>217.07977123732979</v>
      </c>
      <c r="X779" s="2">
        <f>IF(T779="OVER",$J779,$K779)</f>
        <v>217.07977123732979</v>
      </c>
      <c r="Y779" s="9">
        <f t="shared" si="98"/>
        <v>-32616.714373852781</v>
      </c>
      <c r="Z779" s="9">
        <f t="shared" si="98"/>
        <v>-31573.90145259085</v>
      </c>
      <c r="AA779" s="9">
        <f t="shared" si="98"/>
        <v>44421.415956707409</v>
      </c>
      <c r="AB779" s="9">
        <f t="shared" si="98"/>
        <v>15259.153017340954</v>
      </c>
    </row>
    <row r="780" spans="1:28" x14ac:dyDescent="0.3">
      <c r="A780" s="1">
        <v>45546</v>
      </c>
      <c r="B780" s="2">
        <v>73.69</v>
      </c>
      <c r="C780" s="2">
        <v>80.48</v>
      </c>
      <c r="D780" s="9">
        <f>B780-B779</f>
        <v>0.5</v>
      </c>
      <c r="E780" s="9">
        <f>C780-C779</f>
        <v>0.31000000000000227</v>
      </c>
      <c r="F780" s="3">
        <f>F$1/B780</f>
        <v>1357.0362328674175</v>
      </c>
      <c r="G780" s="3">
        <f>F$1/C780</f>
        <v>1242.544731610338</v>
      </c>
      <c r="H780" s="2">
        <f>D780*F779</f>
        <v>683.15343626178446</v>
      </c>
      <c r="I780" s="2">
        <f>E780*G779</f>
        <v>386.67830859424004</v>
      </c>
      <c r="J780" s="2">
        <f>I780-H780</f>
        <v>-296.47512766754443</v>
      </c>
      <c r="K780" s="2">
        <f t="shared" si="102"/>
        <v>296.47512766754443</v>
      </c>
      <c r="L780" s="14">
        <f>C780/B780</f>
        <v>1.0921427602116978</v>
      </c>
      <c r="M780" s="14">
        <f t="shared" si="96"/>
        <v>1.0939088077319146</v>
      </c>
      <c r="N780" s="14">
        <f t="shared" si="100"/>
        <v>1.0946259519116235</v>
      </c>
      <c r="O780" s="14">
        <f t="shared" si="101"/>
        <v>1.0929592345037822</v>
      </c>
      <c r="P780" s="14">
        <f t="shared" si="103"/>
        <v>1.0911156692294472</v>
      </c>
      <c r="Q780" s="4" t="str">
        <f t="shared" si="99"/>
        <v>OVER</v>
      </c>
      <c r="R780" s="4" t="str">
        <f t="shared" si="99"/>
        <v>OVER</v>
      </c>
      <c r="S780" s="4" t="str">
        <f t="shared" si="97"/>
        <v>UNDER</v>
      </c>
      <c r="T780" s="4" t="str">
        <f t="shared" si="97"/>
        <v>OVER</v>
      </c>
      <c r="U780" s="2">
        <f>IF(Q780="OVER",$J780,$K780)</f>
        <v>-296.47512766754443</v>
      </c>
      <c r="V780" s="2">
        <f>IF(R780="OVER",$J780,$K780)</f>
        <v>-296.47512766754443</v>
      </c>
      <c r="W780" s="2">
        <f>IF(S780="OVER",$J780,$K780)</f>
        <v>296.47512766754443</v>
      </c>
      <c r="X780" s="2">
        <f>IF(T780="OVER",$J780,$K780)</f>
        <v>-296.47512766754443</v>
      </c>
      <c r="Y780" s="9">
        <f t="shared" si="98"/>
        <v>-32913.189501520326</v>
      </c>
      <c r="Z780" s="9">
        <f t="shared" si="98"/>
        <v>-31870.376580258395</v>
      </c>
      <c r="AA780" s="9">
        <f t="shared" si="98"/>
        <v>44717.891084374955</v>
      </c>
      <c r="AB780" s="9">
        <f t="shared" ref="AB780:AB843" si="104">AB779+X780</f>
        <v>14962.677889673409</v>
      </c>
    </row>
    <row r="781" spans="1:28" x14ac:dyDescent="0.3">
      <c r="A781" s="1">
        <v>45547</v>
      </c>
      <c r="B781" s="2">
        <v>73.91</v>
      </c>
      <c r="C781" s="2">
        <v>80.790000000000006</v>
      </c>
      <c r="D781" s="9">
        <f>B781-B780</f>
        <v>0.21999999999999886</v>
      </c>
      <c r="E781" s="9">
        <f>C781-C780</f>
        <v>0.31000000000000227</v>
      </c>
      <c r="F781" s="3">
        <f>F$1/B781</f>
        <v>1352.9968881071575</v>
      </c>
      <c r="G781" s="3">
        <f>F$1/C781</f>
        <v>1237.7769525931426</v>
      </c>
      <c r="H781" s="2">
        <f>D781*F780</f>
        <v>298.54797123083034</v>
      </c>
      <c r="I781" s="2">
        <f>E781*G780</f>
        <v>385.18886679920757</v>
      </c>
      <c r="J781" s="2">
        <f>I781-H781</f>
        <v>86.640895568377232</v>
      </c>
      <c r="K781" s="2">
        <f t="shared" si="102"/>
        <v>-86.640895568377232</v>
      </c>
      <c r="L781" s="14">
        <f>C781/B781</f>
        <v>1.0930861859017726</v>
      </c>
      <c r="M781" s="14">
        <f t="shared" ref="M781:M844" si="105">AVERAGE(L772:L781)</f>
        <v>1.0937387533363101</v>
      </c>
      <c r="N781" s="14">
        <f t="shared" si="100"/>
        <v>1.0945015613450246</v>
      </c>
      <c r="O781" s="14">
        <f t="shared" si="101"/>
        <v>1.0930156534030424</v>
      </c>
      <c r="P781" s="14">
        <f t="shared" si="103"/>
        <v>1.0911372956987582</v>
      </c>
      <c r="Q781" s="4" t="str">
        <f t="shared" si="99"/>
        <v>UNDER</v>
      </c>
      <c r="R781" s="4" t="str">
        <f t="shared" si="99"/>
        <v>UNDER</v>
      </c>
      <c r="S781" s="4" t="str">
        <f t="shared" ref="S781:T844" si="106">IF($L781&gt;O781,"OVER","UNDER")</f>
        <v>OVER</v>
      </c>
      <c r="T781" s="4" t="str">
        <f t="shared" si="106"/>
        <v>OVER</v>
      </c>
      <c r="U781" s="2">
        <f>IF(Q781="OVER",$J781,$K781)</f>
        <v>-86.640895568377232</v>
      </c>
      <c r="V781" s="2">
        <f>IF(R781="OVER",$J781,$K781)</f>
        <v>-86.640895568377232</v>
      </c>
      <c r="W781" s="2">
        <f>IF(S781="OVER",$J781,$K781)</f>
        <v>86.640895568377232</v>
      </c>
      <c r="X781" s="2">
        <f>IF(T781="OVER",$J781,$K781)</f>
        <v>86.640895568377232</v>
      </c>
      <c r="Y781" s="9">
        <f t="shared" ref="Y781:AB844" si="107">Y780+U781</f>
        <v>-32999.830397088706</v>
      </c>
      <c r="Z781" s="9">
        <f t="shared" si="107"/>
        <v>-31957.017475826771</v>
      </c>
      <c r="AA781" s="9">
        <f t="shared" si="107"/>
        <v>44804.531979943335</v>
      </c>
      <c r="AB781" s="9">
        <f t="shared" si="104"/>
        <v>15049.318785241785</v>
      </c>
    </row>
    <row r="782" spans="1:28" x14ac:dyDescent="0.3">
      <c r="A782" s="1">
        <v>45548</v>
      </c>
      <c r="B782" s="2">
        <v>74.44</v>
      </c>
      <c r="C782" s="2">
        <v>81.3</v>
      </c>
      <c r="D782" s="9">
        <f>B782-B781</f>
        <v>0.53000000000000114</v>
      </c>
      <c r="E782" s="9">
        <f>C782-C781</f>
        <v>0.50999999999999091</v>
      </c>
      <c r="F782" s="3">
        <f>F$1/B782</f>
        <v>1343.3637829124127</v>
      </c>
      <c r="G782" s="3">
        <f>F$1/C782</f>
        <v>1230.0123001230013</v>
      </c>
      <c r="H782" s="2">
        <f>D782*F781</f>
        <v>717.08835069679503</v>
      </c>
      <c r="I782" s="2">
        <f>E782*G781</f>
        <v>631.26624582249144</v>
      </c>
      <c r="J782" s="2">
        <f>I782-H782</f>
        <v>-85.822104874303591</v>
      </c>
      <c r="K782" s="2">
        <f t="shared" si="102"/>
        <v>85.822104874303591</v>
      </c>
      <c r="L782" s="14">
        <f>C782/B782</f>
        <v>1.0921547555077915</v>
      </c>
      <c r="M782" s="14">
        <f t="shared" si="105"/>
        <v>1.0933648177579698</v>
      </c>
      <c r="N782" s="14">
        <f t="shared" si="100"/>
        <v>1.0943555606103308</v>
      </c>
      <c r="O782" s="14">
        <f t="shared" si="101"/>
        <v>1.0930352680802258</v>
      </c>
      <c r="P782" s="14">
        <f t="shared" si="103"/>
        <v>1.0911483574692078</v>
      </c>
      <c r="Q782" s="4" t="str">
        <f t="shared" ref="Q782:R845" si="108">IF($L781&gt;M781,"OVER","UNDER")</f>
        <v>UNDER</v>
      </c>
      <c r="R782" s="4" t="str">
        <f t="shared" si="108"/>
        <v>UNDER</v>
      </c>
      <c r="S782" s="4" t="str">
        <f t="shared" si="106"/>
        <v>UNDER</v>
      </c>
      <c r="T782" s="4" t="str">
        <f t="shared" si="106"/>
        <v>OVER</v>
      </c>
      <c r="U782" s="2">
        <f>IF(Q782="OVER",$J782,$K782)</f>
        <v>85.822104874303591</v>
      </c>
      <c r="V782" s="2">
        <f>IF(R782="OVER",$J782,$K782)</f>
        <v>85.822104874303591</v>
      </c>
      <c r="W782" s="2">
        <f>IF(S782="OVER",$J782,$K782)</f>
        <v>85.822104874303591</v>
      </c>
      <c r="X782" s="2">
        <f>IF(T782="OVER",$J782,$K782)</f>
        <v>-85.822104874303591</v>
      </c>
      <c r="Y782" s="9">
        <f t="shared" si="107"/>
        <v>-32914.008292214399</v>
      </c>
      <c r="Z782" s="9">
        <f t="shared" si="107"/>
        <v>-31871.195370952468</v>
      </c>
      <c r="AA782" s="9">
        <f t="shared" si="107"/>
        <v>44890.354084817642</v>
      </c>
      <c r="AB782" s="9">
        <f t="shared" si="104"/>
        <v>14963.496680367482</v>
      </c>
    </row>
    <row r="783" spans="1:28" x14ac:dyDescent="0.3">
      <c r="A783" s="1">
        <v>45551</v>
      </c>
      <c r="B783" s="2">
        <v>74.69</v>
      </c>
      <c r="C783" s="2">
        <v>81.55</v>
      </c>
      <c r="D783" s="9">
        <f>B783-B782</f>
        <v>0.25</v>
      </c>
      <c r="E783" s="9">
        <f>C783-C782</f>
        <v>0.25</v>
      </c>
      <c r="F783" s="3">
        <f>F$1/B783</f>
        <v>1338.8673182487616</v>
      </c>
      <c r="G783" s="3">
        <f>F$1/C783</f>
        <v>1226.2415695892091</v>
      </c>
      <c r="H783" s="2">
        <f>D783*F782</f>
        <v>335.84094572810318</v>
      </c>
      <c r="I783" s="2">
        <f>E783*G782</f>
        <v>307.50307503075032</v>
      </c>
      <c r="J783" s="2">
        <f>I783-H783</f>
        <v>-28.337870697352855</v>
      </c>
      <c r="K783" s="2">
        <f t="shared" si="102"/>
        <v>28.337870697352855</v>
      </c>
      <c r="L783" s="14">
        <f>C783/B783</f>
        <v>1.0918462980318651</v>
      </c>
      <c r="M783" s="14">
        <f t="shared" si="105"/>
        <v>1.0931269142457707</v>
      </c>
      <c r="N783" s="14">
        <f t="shared" si="100"/>
        <v>1.0941599138156175</v>
      </c>
      <c r="O783" s="14">
        <f t="shared" si="101"/>
        <v>1.0930635802754565</v>
      </c>
      <c r="P783" s="14">
        <f t="shared" si="103"/>
        <v>1.0911573310374807</v>
      </c>
      <c r="Q783" s="4" t="str">
        <f t="shared" si="108"/>
        <v>UNDER</v>
      </c>
      <c r="R783" s="4" t="str">
        <f t="shared" si="108"/>
        <v>UNDER</v>
      </c>
      <c r="S783" s="4" t="str">
        <f t="shared" si="106"/>
        <v>UNDER</v>
      </c>
      <c r="T783" s="4" t="str">
        <f t="shared" si="106"/>
        <v>OVER</v>
      </c>
      <c r="U783" s="2">
        <f>IF(Q783="OVER",$J783,$K783)</f>
        <v>28.337870697352855</v>
      </c>
      <c r="V783" s="2">
        <f>IF(R783="OVER",$J783,$K783)</f>
        <v>28.337870697352855</v>
      </c>
      <c r="W783" s="2">
        <f>IF(S783="OVER",$J783,$K783)</f>
        <v>28.337870697352855</v>
      </c>
      <c r="X783" s="2">
        <f>IF(T783="OVER",$J783,$K783)</f>
        <v>-28.337870697352855</v>
      </c>
      <c r="Y783" s="9">
        <f t="shared" si="107"/>
        <v>-32885.670421517047</v>
      </c>
      <c r="Z783" s="9">
        <f t="shared" si="107"/>
        <v>-31842.857500255115</v>
      </c>
      <c r="AA783" s="9">
        <f t="shared" si="107"/>
        <v>44918.691955514994</v>
      </c>
      <c r="AB783" s="9">
        <f t="shared" si="104"/>
        <v>14935.158809670129</v>
      </c>
    </row>
    <row r="784" spans="1:28" x14ac:dyDescent="0.3">
      <c r="A784" s="1">
        <v>45552</v>
      </c>
      <c r="B784" s="2">
        <v>74.819999999999993</v>
      </c>
      <c r="C784" s="2">
        <v>81.81</v>
      </c>
      <c r="D784" s="9">
        <f>B784-B783</f>
        <v>0.12999999999999545</v>
      </c>
      <c r="E784" s="9">
        <f>C784-C783</f>
        <v>0.26000000000000512</v>
      </c>
      <c r="F784" s="3">
        <f>F$1/B784</f>
        <v>1336.5410318096767</v>
      </c>
      <c r="G784" s="3">
        <f>F$1/C784</f>
        <v>1222.3444566678891</v>
      </c>
      <c r="H784" s="2">
        <f>D784*F783</f>
        <v>174.05275137233292</v>
      </c>
      <c r="I784" s="2">
        <f>E784*G783</f>
        <v>318.82280809320065</v>
      </c>
      <c r="J784" s="2">
        <f>I784-H784</f>
        <v>144.77005672086773</v>
      </c>
      <c r="K784" s="2">
        <f t="shared" si="102"/>
        <v>-144.77005672086773</v>
      </c>
      <c r="L784" s="14">
        <f>C784/B784</f>
        <v>1.0934242181234965</v>
      </c>
      <c r="M784" s="14">
        <f t="shared" si="105"/>
        <v>1.0932037685421099</v>
      </c>
      <c r="N784" s="14">
        <f t="shared" si="100"/>
        <v>1.093991756358057</v>
      </c>
      <c r="O784" s="14">
        <f t="shared" si="101"/>
        <v>1.093107095745351</v>
      </c>
      <c r="P784" s="14">
        <f t="shared" si="103"/>
        <v>1.0911785596108921</v>
      </c>
      <c r="Q784" s="4" t="str">
        <f t="shared" si="108"/>
        <v>UNDER</v>
      </c>
      <c r="R784" s="4" t="str">
        <f t="shared" si="108"/>
        <v>UNDER</v>
      </c>
      <c r="S784" s="4" t="str">
        <f t="shared" si="106"/>
        <v>OVER</v>
      </c>
      <c r="T784" s="4" t="str">
        <f t="shared" si="106"/>
        <v>OVER</v>
      </c>
      <c r="U784" s="2">
        <f>IF(Q784="OVER",$J784,$K784)</f>
        <v>-144.77005672086773</v>
      </c>
      <c r="V784" s="2">
        <f>IF(R784="OVER",$J784,$K784)</f>
        <v>-144.77005672086773</v>
      </c>
      <c r="W784" s="2">
        <f>IF(S784="OVER",$J784,$K784)</f>
        <v>144.77005672086773</v>
      </c>
      <c r="X784" s="2">
        <f>IF(T784="OVER",$J784,$K784)</f>
        <v>144.77005672086773</v>
      </c>
      <c r="Y784" s="9">
        <f t="shared" si="107"/>
        <v>-33030.440478237913</v>
      </c>
      <c r="Z784" s="9">
        <f t="shared" si="107"/>
        <v>-31987.627556975982</v>
      </c>
      <c r="AA784" s="9">
        <f t="shared" si="107"/>
        <v>45063.462012235861</v>
      </c>
      <c r="AB784" s="9">
        <f t="shared" si="104"/>
        <v>15079.928866390997</v>
      </c>
    </row>
    <row r="785" spans="1:28" x14ac:dyDescent="0.3">
      <c r="A785" s="1">
        <v>45553</v>
      </c>
      <c r="B785" s="2">
        <v>74.760000000000005</v>
      </c>
      <c r="C785" s="2">
        <v>81.72</v>
      </c>
      <c r="D785" s="9">
        <f>B785-B784</f>
        <v>-5.9999999999988063E-2</v>
      </c>
      <c r="E785" s="9">
        <f>C785-C784</f>
        <v>-9.0000000000003411E-2</v>
      </c>
      <c r="F785" s="3">
        <f>F$1/B785</f>
        <v>1337.6136971642588</v>
      </c>
      <c r="G785" s="3">
        <f>F$1/C785</f>
        <v>1223.6906510034264</v>
      </c>
      <c r="H785" s="2">
        <f>D785*F784</f>
        <v>-80.192461908564653</v>
      </c>
      <c r="I785" s="2">
        <f>E785*G784</f>
        <v>-110.01100110011419</v>
      </c>
      <c r="J785" s="2">
        <f>I785-H785</f>
        <v>-29.818539191549533</v>
      </c>
      <c r="K785" s="2">
        <f t="shared" si="102"/>
        <v>29.818539191549533</v>
      </c>
      <c r="L785" s="14">
        <f>C785/B785</f>
        <v>1.0930979133226324</v>
      </c>
      <c r="M785" s="14">
        <f t="shared" si="105"/>
        <v>1.0932800628749186</v>
      </c>
      <c r="N785" s="14">
        <f t="shared" si="100"/>
        <v>1.0939561693407962</v>
      </c>
      <c r="O785" s="14">
        <f t="shared" si="101"/>
        <v>1.0931115547049002</v>
      </c>
      <c r="P785" s="14">
        <f t="shared" si="103"/>
        <v>1.0912053244041795</v>
      </c>
      <c r="Q785" s="4" t="str">
        <f t="shared" si="108"/>
        <v>OVER</v>
      </c>
      <c r="R785" s="4" t="str">
        <f t="shared" si="108"/>
        <v>UNDER</v>
      </c>
      <c r="S785" s="4" t="str">
        <f t="shared" si="106"/>
        <v>UNDER</v>
      </c>
      <c r="T785" s="4" t="str">
        <f t="shared" si="106"/>
        <v>OVER</v>
      </c>
      <c r="U785" s="2">
        <f>IF(Q785="OVER",$J785,$K785)</f>
        <v>-29.818539191549533</v>
      </c>
      <c r="V785" s="2">
        <f>IF(R785="OVER",$J785,$K785)</f>
        <v>29.818539191549533</v>
      </c>
      <c r="W785" s="2">
        <f>IF(S785="OVER",$J785,$K785)</f>
        <v>29.818539191549533</v>
      </c>
      <c r="X785" s="2">
        <f>IF(T785="OVER",$J785,$K785)</f>
        <v>-29.818539191549533</v>
      </c>
      <c r="Y785" s="9">
        <f t="shared" si="107"/>
        <v>-33060.25901742946</v>
      </c>
      <c r="Z785" s="9">
        <f t="shared" si="107"/>
        <v>-31957.809017784431</v>
      </c>
      <c r="AA785" s="9">
        <f t="shared" si="107"/>
        <v>45093.280551427408</v>
      </c>
      <c r="AB785" s="9">
        <f t="shared" si="104"/>
        <v>15050.110327199447</v>
      </c>
    </row>
    <row r="786" spans="1:28" x14ac:dyDescent="0.3">
      <c r="A786" s="1">
        <v>45554</v>
      </c>
      <c r="B786" s="2">
        <v>75.42</v>
      </c>
      <c r="C786" s="2">
        <v>82.52</v>
      </c>
      <c r="D786" s="9">
        <f>B786-B785</f>
        <v>0.65999999999999659</v>
      </c>
      <c r="E786" s="9">
        <f>C786-C785</f>
        <v>0.79999999999999716</v>
      </c>
      <c r="F786" s="3">
        <f>F$1/B786</f>
        <v>1325.9082471492973</v>
      </c>
      <c r="G786" s="3">
        <f>F$1/C786</f>
        <v>1211.8274357731459</v>
      </c>
      <c r="H786" s="2">
        <f>D786*F785</f>
        <v>882.82504012840627</v>
      </c>
      <c r="I786" s="2">
        <f>E786*G785</f>
        <v>978.95252080273769</v>
      </c>
      <c r="J786" s="2">
        <f>I786-H786</f>
        <v>96.127480674331423</v>
      </c>
      <c r="K786" s="2">
        <f t="shared" si="102"/>
        <v>-96.127480674331423</v>
      </c>
      <c r="L786" s="14">
        <f>C786/B786</f>
        <v>1.0941394855476001</v>
      </c>
      <c r="M786" s="14">
        <f t="shared" si="105"/>
        <v>1.0932234874122115</v>
      </c>
      <c r="N786" s="14">
        <f t="shared" si="100"/>
        <v>1.0939335975458739</v>
      </c>
      <c r="O786" s="14">
        <f t="shared" si="101"/>
        <v>1.0931744051725492</v>
      </c>
      <c r="P786" s="14">
        <f t="shared" si="103"/>
        <v>1.0912319476505208</v>
      </c>
      <c r="Q786" s="4" t="str">
        <f t="shared" si="108"/>
        <v>UNDER</v>
      </c>
      <c r="R786" s="4" t="str">
        <f t="shared" si="108"/>
        <v>UNDER</v>
      </c>
      <c r="S786" s="4" t="str">
        <f t="shared" si="106"/>
        <v>OVER</v>
      </c>
      <c r="T786" s="4" t="str">
        <f t="shared" si="106"/>
        <v>OVER</v>
      </c>
      <c r="U786" s="2">
        <f>IF(Q786="OVER",$J786,$K786)</f>
        <v>-96.127480674331423</v>
      </c>
      <c r="V786" s="2">
        <f>IF(R786="OVER",$J786,$K786)</f>
        <v>-96.127480674331423</v>
      </c>
      <c r="W786" s="2">
        <f>IF(S786="OVER",$J786,$K786)</f>
        <v>96.127480674331423</v>
      </c>
      <c r="X786" s="2">
        <f>IF(T786="OVER",$J786,$K786)</f>
        <v>96.127480674331423</v>
      </c>
      <c r="Y786" s="9">
        <f t="shared" si="107"/>
        <v>-33156.386498103791</v>
      </c>
      <c r="Z786" s="9">
        <f t="shared" si="107"/>
        <v>-32053.936498458763</v>
      </c>
      <c r="AA786" s="9">
        <f t="shared" si="107"/>
        <v>45189.408032101739</v>
      </c>
      <c r="AB786" s="9">
        <f t="shared" si="104"/>
        <v>15146.237807873778</v>
      </c>
    </row>
    <row r="787" spans="1:28" x14ac:dyDescent="0.3">
      <c r="A787" s="1">
        <v>45555</v>
      </c>
      <c r="B787" s="2">
        <v>75.33</v>
      </c>
      <c r="C787" s="2">
        <v>82.49</v>
      </c>
      <c r="D787" s="9">
        <f>B787-B786</f>
        <v>-9.0000000000003411E-2</v>
      </c>
      <c r="E787" s="9">
        <f>C787-C786</f>
        <v>-3.0000000000001137E-2</v>
      </c>
      <c r="F787" s="3">
        <f>F$1/B787</f>
        <v>1327.4923669188902</v>
      </c>
      <c r="G787" s="3">
        <f>F$1/C787</f>
        <v>1212.268153715602</v>
      </c>
      <c r="H787" s="2">
        <f>D787*F786</f>
        <v>-119.33174224344127</v>
      </c>
      <c r="I787" s="2">
        <f>E787*G786</f>
        <v>-36.354823073195753</v>
      </c>
      <c r="J787" s="2">
        <f>I787-H787</f>
        <v>82.976919170245509</v>
      </c>
      <c r="K787" s="2">
        <f t="shared" si="102"/>
        <v>-82.976919170245509</v>
      </c>
      <c r="L787" s="14">
        <f>C787/B787</f>
        <v>1.0950484534713925</v>
      </c>
      <c r="M787" s="14">
        <f t="shared" si="105"/>
        <v>1.0933306101636586</v>
      </c>
      <c r="N787" s="14">
        <f t="shared" si="100"/>
        <v>1.0938677270385535</v>
      </c>
      <c r="O787" s="14">
        <f t="shared" si="101"/>
        <v>1.0932631650988069</v>
      </c>
      <c r="P787" s="14">
        <f t="shared" si="103"/>
        <v>1.0912738228219439</v>
      </c>
      <c r="Q787" s="4" t="str">
        <f t="shared" si="108"/>
        <v>OVER</v>
      </c>
      <c r="R787" s="4" t="str">
        <f t="shared" si="108"/>
        <v>OVER</v>
      </c>
      <c r="S787" s="4" t="str">
        <f t="shared" si="106"/>
        <v>OVER</v>
      </c>
      <c r="T787" s="4" t="str">
        <f t="shared" si="106"/>
        <v>OVER</v>
      </c>
      <c r="U787" s="2">
        <f>IF(Q787="OVER",$J787,$K787)</f>
        <v>82.976919170245509</v>
      </c>
      <c r="V787" s="2">
        <f>IF(R787="OVER",$J787,$K787)</f>
        <v>82.976919170245509</v>
      </c>
      <c r="W787" s="2">
        <f>IF(S787="OVER",$J787,$K787)</f>
        <v>82.976919170245509</v>
      </c>
      <c r="X787" s="2">
        <f>IF(T787="OVER",$J787,$K787)</f>
        <v>82.976919170245509</v>
      </c>
      <c r="Y787" s="9">
        <f t="shared" si="107"/>
        <v>-33073.409578933548</v>
      </c>
      <c r="Z787" s="9">
        <f t="shared" si="107"/>
        <v>-31970.959579288516</v>
      </c>
      <c r="AA787" s="9">
        <f t="shared" si="107"/>
        <v>45272.384951271983</v>
      </c>
      <c r="AB787" s="9">
        <f t="shared" si="104"/>
        <v>15229.214727044024</v>
      </c>
    </row>
    <row r="788" spans="1:28" x14ac:dyDescent="0.3">
      <c r="A788" s="1">
        <v>45558</v>
      </c>
      <c r="B788" s="2">
        <v>75.58</v>
      </c>
      <c r="C788" s="2">
        <v>82.67</v>
      </c>
      <c r="D788" s="9">
        <f>B788-B787</f>
        <v>0.25</v>
      </c>
      <c r="E788" s="9">
        <f>C788-C787</f>
        <v>0.18000000000000682</v>
      </c>
      <c r="F788" s="3">
        <f>F$1/B788</f>
        <v>1323.1013495633765</v>
      </c>
      <c r="G788" s="3">
        <f>F$1/C788</f>
        <v>1209.62864400629</v>
      </c>
      <c r="H788" s="2">
        <f>D788*F787</f>
        <v>331.87309172972255</v>
      </c>
      <c r="I788" s="2">
        <f>E788*G787</f>
        <v>218.20826766881663</v>
      </c>
      <c r="J788" s="2">
        <f>I788-H788</f>
        <v>-113.66482406090591</v>
      </c>
      <c r="K788" s="2">
        <f t="shared" si="102"/>
        <v>113.66482406090591</v>
      </c>
      <c r="L788" s="14">
        <f>C788/B788</f>
        <v>1.0938078856840434</v>
      </c>
      <c r="M788" s="14">
        <f t="shared" si="105"/>
        <v>1.0934116175504438</v>
      </c>
      <c r="N788" s="14">
        <f t="shared" si="100"/>
        <v>1.0938103468420433</v>
      </c>
      <c r="O788" s="14">
        <f t="shared" si="101"/>
        <v>1.0933337483733307</v>
      </c>
      <c r="P788" s="14">
        <f t="shared" si="103"/>
        <v>1.0913040112420946</v>
      </c>
      <c r="Q788" s="4" t="str">
        <f t="shared" si="108"/>
        <v>OVER</v>
      </c>
      <c r="R788" s="4" t="str">
        <f t="shared" si="108"/>
        <v>OVER</v>
      </c>
      <c r="S788" s="4" t="str">
        <f t="shared" si="106"/>
        <v>OVER</v>
      </c>
      <c r="T788" s="4" t="str">
        <f t="shared" si="106"/>
        <v>OVER</v>
      </c>
      <c r="U788" s="2">
        <f>IF(Q788="OVER",$J788,$K788)</f>
        <v>-113.66482406090591</v>
      </c>
      <c r="V788" s="2">
        <f>IF(R788="OVER",$J788,$K788)</f>
        <v>-113.66482406090591</v>
      </c>
      <c r="W788" s="2">
        <f>IF(S788="OVER",$J788,$K788)</f>
        <v>-113.66482406090591</v>
      </c>
      <c r="X788" s="2">
        <f>IF(T788="OVER",$J788,$K788)</f>
        <v>-113.66482406090591</v>
      </c>
      <c r="Y788" s="9">
        <f t="shared" si="107"/>
        <v>-33187.074402994454</v>
      </c>
      <c r="Z788" s="9">
        <f t="shared" si="107"/>
        <v>-32084.624403349422</v>
      </c>
      <c r="AA788" s="9">
        <f t="shared" si="107"/>
        <v>45158.720127211076</v>
      </c>
      <c r="AB788" s="9">
        <f t="shared" si="104"/>
        <v>15115.549902983117</v>
      </c>
    </row>
    <row r="789" spans="1:28" x14ac:dyDescent="0.3">
      <c r="A789" s="1">
        <v>45559</v>
      </c>
      <c r="B789" s="2">
        <v>75.959999999999994</v>
      </c>
      <c r="C789" s="2">
        <v>83.01</v>
      </c>
      <c r="D789" s="9">
        <f>B789-B788</f>
        <v>0.37999999999999545</v>
      </c>
      <c r="E789" s="9">
        <f>C789-C788</f>
        <v>0.34000000000000341</v>
      </c>
      <c r="F789" s="3">
        <f>F$1/B789</f>
        <v>1316.4823591363877</v>
      </c>
      <c r="G789" s="3">
        <f>F$1/C789</f>
        <v>1204.6741356463076</v>
      </c>
      <c r="H789" s="2">
        <f>D789*F788</f>
        <v>502.77851283407705</v>
      </c>
      <c r="I789" s="2">
        <f>E789*G788</f>
        <v>411.27373896214272</v>
      </c>
      <c r="J789" s="2">
        <f>I789-H789</f>
        <v>-91.504773871934333</v>
      </c>
      <c r="K789" s="2">
        <f t="shared" si="102"/>
        <v>91.504773871934333</v>
      </c>
      <c r="L789" s="14">
        <f>C789/B789</f>
        <v>1.0928120063191156</v>
      </c>
      <c r="M789" s="14">
        <f t="shared" si="105"/>
        <v>1.0931559962121409</v>
      </c>
      <c r="N789" s="14">
        <f t="shared" si="100"/>
        <v>1.0937324376399755</v>
      </c>
      <c r="O789" s="14">
        <f t="shared" si="101"/>
        <v>1.0933545282770685</v>
      </c>
      <c r="P789" s="14">
        <f t="shared" si="103"/>
        <v>1.0913340133026757</v>
      </c>
      <c r="Q789" s="4" t="str">
        <f t="shared" si="108"/>
        <v>OVER</v>
      </c>
      <c r="R789" s="4" t="str">
        <f t="shared" si="108"/>
        <v>UNDER</v>
      </c>
      <c r="S789" s="4" t="str">
        <f t="shared" si="106"/>
        <v>UNDER</v>
      </c>
      <c r="T789" s="4" t="str">
        <f t="shared" si="106"/>
        <v>OVER</v>
      </c>
      <c r="U789" s="2">
        <f>IF(Q789="OVER",$J789,$K789)</f>
        <v>-91.504773871934333</v>
      </c>
      <c r="V789" s="2">
        <f>IF(R789="OVER",$J789,$K789)</f>
        <v>91.504773871934333</v>
      </c>
      <c r="W789" s="2">
        <f>IF(S789="OVER",$J789,$K789)</f>
        <v>91.504773871934333</v>
      </c>
      <c r="X789" s="2">
        <f>IF(T789="OVER",$J789,$K789)</f>
        <v>-91.504773871934333</v>
      </c>
      <c r="Y789" s="9">
        <f t="shared" si="107"/>
        <v>-33278.579176866391</v>
      </c>
      <c r="Z789" s="9">
        <f t="shared" si="107"/>
        <v>-31993.119629477489</v>
      </c>
      <c r="AA789" s="9">
        <f t="shared" si="107"/>
        <v>45250.224901083013</v>
      </c>
      <c r="AB789" s="9">
        <f t="shared" si="104"/>
        <v>15024.045129111182</v>
      </c>
    </row>
    <row r="790" spans="1:28" x14ac:dyDescent="0.3">
      <c r="A790" s="1">
        <v>45560</v>
      </c>
      <c r="B790" s="2">
        <v>75.709999999999994</v>
      </c>
      <c r="C790" s="2">
        <v>82.6</v>
      </c>
      <c r="D790" s="9">
        <f>B790-B789</f>
        <v>-0.25</v>
      </c>
      <c r="E790" s="9">
        <f>C790-C789</f>
        <v>-0.4100000000000108</v>
      </c>
      <c r="F790" s="3">
        <f>F$1/B790</f>
        <v>1320.8294809140141</v>
      </c>
      <c r="G790" s="3">
        <f>F$1/C790</f>
        <v>1210.6537530266344</v>
      </c>
      <c r="H790" s="2">
        <f>D790*F789</f>
        <v>-329.12058978409692</v>
      </c>
      <c r="I790" s="2">
        <f>E790*G789</f>
        <v>-493.91639561499915</v>
      </c>
      <c r="J790" s="2">
        <f>I790-H790</f>
        <v>-164.79580583090222</v>
      </c>
      <c r="K790" s="2">
        <f t="shared" si="102"/>
        <v>164.79580583090222</v>
      </c>
      <c r="L790" s="14">
        <f>C790/B790</f>
        <v>1.0910051512349757</v>
      </c>
      <c r="M790" s="14">
        <f t="shared" si="105"/>
        <v>1.0930422353144686</v>
      </c>
      <c r="N790" s="14">
        <f t="shared" si="100"/>
        <v>1.0934755215231917</v>
      </c>
      <c r="O790" s="14">
        <f t="shared" si="101"/>
        <v>1.0932950029188406</v>
      </c>
      <c r="P790" s="14">
        <f t="shared" si="103"/>
        <v>1.0913536296009498</v>
      </c>
      <c r="Q790" s="4" t="str">
        <f t="shared" si="108"/>
        <v>UNDER</v>
      </c>
      <c r="R790" s="4" t="str">
        <f t="shared" si="108"/>
        <v>UNDER</v>
      </c>
      <c r="S790" s="4" t="str">
        <f t="shared" si="106"/>
        <v>UNDER</v>
      </c>
      <c r="T790" s="4" t="str">
        <f t="shared" si="106"/>
        <v>UNDER</v>
      </c>
      <c r="U790" s="2">
        <f>IF(Q790="OVER",$J790,$K790)</f>
        <v>164.79580583090222</v>
      </c>
      <c r="V790" s="2">
        <f>IF(R790="OVER",$J790,$K790)</f>
        <v>164.79580583090222</v>
      </c>
      <c r="W790" s="2">
        <f>IF(S790="OVER",$J790,$K790)</f>
        <v>164.79580583090222</v>
      </c>
      <c r="X790" s="2">
        <f>IF(T790="OVER",$J790,$K790)</f>
        <v>164.79580583090222</v>
      </c>
      <c r="Y790" s="9">
        <f t="shared" si="107"/>
        <v>-33113.78337103549</v>
      </c>
      <c r="Z790" s="9">
        <f t="shared" si="107"/>
        <v>-31828.323823646588</v>
      </c>
      <c r="AA790" s="9">
        <f t="shared" si="107"/>
        <v>45415.020706913914</v>
      </c>
      <c r="AB790" s="9">
        <f t="shared" si="104"/>
        <v>15188.840934942084</v>
      </c>
    </row>
    <row r="791" spans="1:28" x14ac:dyDescent="0.3">
      <c r="A791" s="1">
        <v>45561</v>
      </c>
      <c r="B791" s="2">
        <v>76.209999999999994</v>
      </c>
      <c r="C791" s="2">
        <v>83.21</v>
      </c>
      <c r="D791" s="9">
        <f>B791-B790</f>
        <v>0.5</v>
      </c>
      <c r="E791" s="9">
        <f>C791-C790</f>
        <v>0.60999999999999943</v>
      </c>
      <c r="F791" s="3">
        <f>F$1/B791</f>
        <v>1312.1637580370032</v>
      </c>
      <c r="G791" s="3">
        <f>F$1/C791</f>
        <v>1201.7786323759165</v>
      </c>
      <c r="H791" s="2">
        <f>D791*F790</f>
        <v>660.41474045700704</v>
      </c>
      <c r="I791" s="2">
        <f>E791*G790</f>
        <v>738.49878934624633</v>
      </c>
      <c r="J791" s="2">
        <f>I791-H791</f>
        <v>78.084048889239284</v>
      </c>
      <c r="K791" s="2">
        <f t="shared" si="102"/>
        <v>-78.084048889239284</v>
      </c>
      <c r="L791" s="14">
        <f>C791/B791</f>
        <v>1.0918514630625902</v>
      </c>
      <c r="M791" s="14">
        <f t="shared" si="105"/>
        <v>1.0929187630305504</v>
      </c>
      <c r="N791" s="14">
        <f t="shared" ref="N791:N854" si="109">AVERAGE(L772:L791)</f>
        <v>1.0933287581834299</v>
      </c>
      <c r="O791" s="14">
        <f t="shared" si="101"/>
        <v>1.0932293412314651</v>
      </c>
      <c r="P791" s="14">
        <f t="shared" si="103"/>
        <v>1.0913684264638783</v>
      </c>
      <c r="Q791" s="4" t="str">
        <f t="shared" si="108"/>
        <v>UNDER</v>
      </c>
      <c r="R791" s="4" t="str">
        <f t="shared" si="108"/>
        <v>UNDER</v>
      </c>
      <c r="S791" s="4" t="str">
        <f t="shared" si="106"/>
        <v>UNDER</v>
      </c>
      <c r="T791" s="4" t="str">
        <f t="shared" si="106"/>
        <v>OVER</v>
      </c>
      <c r="U791" s="2">
        <f>IF(Q791="OVER",$J791,$K791)</f>
        <v>-78.084048889239284</v>
      </c>
      <c r="V791" s="2">
        <f>IF(R791="OVER",$J791,$K791)</f>
        <v>-78.084048889239284</v>
      </c>
      <c r="W791" s="2">
        <f>IF(S791="OVER",$J791,$K791)</f>
        <v>-78.084048889239284</v>
      </c>
      <c r="X791" s="2">
        <f>IF(T791="OVER",$J791,$K791)</f>
        <v>78.084048889239284</v>
      </c>
      <c r="Y791" s="9">
        <f t="shared" si="107"/>
        <v>-33191.867419924733</v>
      </c>
      <c r="Z791" s="9">
        <f t="shared" si="107"/>
        <v>-31906.407872535827</v>
      </c>
      <c r="AA791" s="9">
        <f t="shared" si="107"/>
        <v>45336.936658024671</v>
      </c>
      <c r="AB791" s="9">
        <f t="shared" si="104"/>
        <v>15266.924983831323</v>
      </c>
    </row>
    <row r="792" spans="1:28" x14ac:dyDescent="0.3">
      <c r="A792" s="1">
        <v>45562</v>
      </c>
      <c r="B792" s="2">
        <v>76.59</v>
      </c>
      <c r="C792" s="2">
        <v>83.51</v>
      </c>
      <c r="D792" s="9">
        <f>B792-B791</f>
        <v>0.38000000000000966</v>
      </c>
      <c r="E792" s="9">
        <f>C792-C791</f>
        <v>0.30000000000001137</v>
      </c>
      <c r="F792" s="3">
        <f>F$1/B792</f>
        <v>1305.6534795665229</v>
      </c>
      <c r="G792" s="3">
        <f>F$1/C792</f>
        <v>1197.4613818704347</v>
      </c>
      <c r="H792" s="2">
        <f>D792*F791</f>
        <v>498.6222280540739</v>
      </c>
      <c r="I792" s="2">
        <f>E792*G791</f>
        <v>360.53358971278863</v>
      </c>
      <c r="J792" s="2">
        <f>I792-H792</f>
        <v>-138.08863834128528</v>
      </c>
      <c r="K792" s="2">
        <f t="shared" si="102"/>
        <v>138.08863834128528</v>
      </c>
      <c r="L792" s="14">
        <f>C792/B792</f>
        <v>1.0903512207860033</v>
      </c>
      <c r="M792" s="14">
        <f t="shared" si="105"/>
        <v>1.0927384095583714</v>
      </c>
      <c r="N792" s="14">
        <f t="shared" si="109"/>
        <v>1.0930516136581705</v>
      </c>
      <c r="O792" s="14">
        <f t="shared" si="101"/>
        <v>1.0932171890639544</v>
      </c>
      <c r="P792" s="14">
        <f t="shared" si="103"/>
        <v>1.0913719067057395</v>
      </c>
      <c r="Q792" s="4" t="str">
        <f t="shared" si="108"/>
        <v>UNDER</v>
      </c>
      <c r="R792" s="4" t="str">
        <f t="shared" si="108"/>
        <v>UNDER</v>
      </c>
      <c r="S792" s="4" t="str">
        <f t="shared" si="106"/>
        <v>UNDER</v>
      </c>
      <c r="T792" s="4" t="str">
        <f t="shared" si="106"/>
        <v>UNDER</v>
      </c>
      <c r="U792" s="2">
        <f>IF(Q792="OVER",$J792,$K792)</f>
        <v>138.08863834128528</v>
      </c>
      <c r="V792" s="2">
        <f>IF(R792="OVER",$J792,$K792)</f>
        <v>138.08863834128528</v>
      </c>
      <c r="W792" s="2">
        <f>IF(S792="OVER",$J792,$K792)</f>
        <v>138.08863834128528</v>
      </c>
      <c r="X792" s="2">
        <f>IF(T792="OVER",$J792,$K792)</f>
        <v>138.08863834128528</v>
      </c>
      <c r="Y792" s="9">
        <f t="shared" si="107"/>
        <v>-33053.778781583445</v>
      </c>
      <c r="Z792" s="9">
        <f t="shared" si="107"/>
        <v>-31768.319234194543</v>
      </c>
      <c r="AA792" s="9">
        <f t="shared" si="107"/>
        <v>45475.025296365959</v>
      </c>
      <c r="AB792" s="9">
        <f t="shared" si="104"/>
        <v>15405.013622172608</v>
      </c>
    </row>
    <row r="793" spans="1:28" x14ac:dyDescent="0.3">
      <c r="A793" s="1">
        <v>45565</v>
      </c>
      <c r="B793" s="2">
        <v>76.59</v>
      </c>
      <c r="C793" s="2">
        <v>83.67</v>
      </c>
      <c r="D793" s="9">
        <f>B793-B792</f>
        <v>0</v>
      </c>
      <c r="E793" s="9">
        <f>C793-C792</f>
        <v>0.15999999999999659</v>
      </c>
      <c r="F793" s="3">
        <f>F$1/B793</f>
        <v>1305.6534795665229</v>
      </c>
      <c r="G793" s="3">
        <f>F$1/C793</f>
        <v>1195.1715071112703</v>
      </c>
      <c r="H793" s="2">
        <f>D793*F792</f>
        <v>0</v>
      </c>
      <c r="I793" s="2">
        <f>E793*G792</f>
        <v>191.59382109926548</v>
      </c>
      <c r="J793" s="2">
        <f>I793-H793</f>
        <v>191.59382109926548</v>
      </c>
      <c r="K793" s="2">
        <f t="shared" si="102"/>
        <v>-191.59382109926548</v>
      </c>
      <c r="L793" s="14">
        <f>C793/B793</f>
        <v>1.0924402663533097</v>
      </c>
      <c r="M793" s="14">
        <f t="shared" si="105"/>
        <v>1.0927978063905157</v>
      </c>
      <c r="N793" s="14">
        <f t="shared" si="109"/>
        <v>1.0929623603181431</v>
      </c>
      <c r="O793" s="14">
        <f t="shared" si="101"/>
        <v>1.0932371261570131</v>
      </c>
      <c r="P793" s="14">
        <f t="shared" si="103"/>
        <v>1.0913764882360959</v>
      </c>
      <c r="Q793" s="4" t="str">
        <f t="shared" si="108"/>
        <v>UNDER</v>
      </c>
      <c r="R793" s="4" t="str">
        <f t="shared" si="108"/>
        <v>UNDER</v>
      </c>
      <c r="S793" s="4" t="str">
        <f t="shared" si="106"/>
        <v>UNDER</v>
      </c>
      <c r="T793" s="4" t="str">
        <f t="shared" si="106"/>
        <v>OVER</v>
      </c>
      <c r="U793" s="2">
        <f>IF(Q793="OVER",$J793,$K793)</f>
        <v>-191.59382109926548</v>
      </c>
      <c r="V793" s="2">
        <f>IF(R793="OVER",$J793,$K793)</f>
        <v>-191.59382109926548</v>
      </c>
      <c r="W793" s="2">
        <f>IF(S793="OVER",$J793,$K793)</f>
        <v>-191.59382109926548</v>
      </c>
      <c r="X793" s="2">
        <f>IF(T793="OVER",$J793,$K793)</f>
        <v>191.59382109926548</v>
      </c>
      <c r="Y793" s="9">
        <f t="shared" si="107"/>
        <v>-33245.372602682713</v>
      </c>
      <c r="Z793" s="9">
        <f t="shared" si="107"/>
        <v>-31959.913055293808</v>
      </c>
      <c r="AA793" s="9">
        <f t="shared" si="107"/>
        <v>45283.431475266691</v>
      </c>
      <c r="AB793" s="9">
        <f t="shared" si="104"/>
        <v>15596.607443271874</v>
      </c>
    </row>
    <row r="794" spans="1:28" x14ac:dyDescent="0.3">
      <c r="A794" s="1">
        <v>45566</v>
      </c>
      <c r="B794" s="2">
        <v>76.34</v>
      </c>
      <c r="C794" s="2">
        <v>83.22</v>
      </c>
      <c r="D794" s="9">
        <f>B794-B793</f>
        <v>-0.25</v>
      </c>
      <c r="E794" s="9">
        <f>C794-C793</f>
        <v>-0.45000000000000284</v>
      </c>
      <c r="F794" s="3">
        <f>F$1/B794</f>
        <v>1309.9292638197537</v>
      </c>
      <c r="G794" s="3">
        <f>F$1/C794</f>
        <v>1201.6342225426581</v>
      </c>
      <c r="H794" s="2">
        <f>D794*F793</f>
        <v>-326.41336989163074</v>
      </c>
      <c r="I794" s="2">
        <f>E794*G793</f>
        <v>-537.82717820007508</v>
      </c>
      <c r="J794" s="2">
        <f>I794-H794</f>
        <v>-211.41380830844435</v>
      </c>
      <c r="K794" s="2">
        <f t="shared" si="102"/>
        <v>211.41380830844435</v>
      </c>
      <c r="L794" s="14">
        <f>C794/B794</f>
        <v>1.090123133350799</v>
      </c>
      <c r="M794" s="14">
        <f t="shared" si="105"/>
        <v>1.0924676979132459</v>
      </c>
      <c r="N794" s="14">
        <f t="shared" si="109"/>
        <v>1.0928357332276779</v>
      </c>
      <c r="O794" s="14">
        <f t="shared" si="101"/>
        <v>1.0931838626998613</v>
      </c>
      <c r="P794" s="14">
        <f t="shared" si="103"/>
        <v>1.0913863032214188</v>
      </c>
      <c r="Q794" s="4" t="str">
        <f t="shared" si="108"/>
        <v>UNDER</v>
      </c>
      <c r="R794" s="4" t="str">
        <f t="shared" si="108"/>
        <v>UNDER</v>
      </c>
      <c r="S794" s="4" t="str">
        <f t="shared" si="106"/>
        <v>UNDER</v>
      </c>
      <c r="T794" s="4" t="str">
        <f t="shared" si="106"/>
        <v>UNDER</v>
      </c>
      <c r="U794" s="2">
        <f>IF(Q794="OVER",$J794,$K794)</f>
        <v>211.41380830844435</v>
      </c>
      <c r="V794" s="2">
        <f>IF(R794="OVER",$J794,$K794)</f>
        <v>211.41380830844435</v>
      </c>
      <c r="W794" s="2">
        <f>IF(S794="OVER",$J794,$K794)</f>
        <v>211.41380830844435</v>
      </c>
      <c r="X794" s="2">
        <f>IF(T794="OVER",$J794,$K794)</f>
        <v>211.41380830844435</v>
      </c>
      <c r="Y794" s="9">
        <f t="shared" si="107"/>
        <v>-33033.958794374266</v>
      </c>
      <c r="Z794" s="9">
        <f t="shared" si="107"/>
        <v>-31748.499246985364</v>
      </c>
      <c r="AA794" s="9">
        <f t="shared" si="107"/>
        <v>45494.845283575138</v>
      </c>
      <c r="AB794" s="9">
        <f t="shared" si="104"/>
        <v>15808.021251580318</v>
      </c>
    </row>
    <row r="795" spans="1:28" x14ac:dyDescent="0.3">
      <c r="A795" s="1">
        <v>45567</v>
      </c>
      <c r="B795" s="2">
        <v>76.47</v>
      </c>
      <c r="C795" s="2">
        <v>83.38</v>
      </c>
      <c r="D795" s="9">
        <f>B795-B794</f>
        <v>0.12999999999999545</v>
      </c>
      <c r="E795" s="9">
        <f>C795-C794</f>
        <v>0.15999999999999659</v>
      </c>
      <c r="F795" s="3">
        <f>F$1/B795</f>
        <v>1307.7023669412843</v>
      </c>
      <c r="G795" s="3">
        <f>F$1/C795</f>
        <v>1199.3283761093787</v>
      </c>
      <c r="H795" s="2">
        <f>D795*F794</f>
        <v>170.29080429656202</v>
      </c>
      <c r="I795" s="2">
        <f>E795*G794</f>
        <v>192.26147560682119</v>
      </c>
      <c r="J795" s="2">
        <f>I795-H795</f>
        <v>21.970671310259178</v>
      </c>
      <c r="K795" s="2">
        <f t="shared" si="102"/>
        <v>-21.970671310259178</v>
      </c>
      <c r="L795" s="14">
        <f>C795/B795</f>
        <v>1.0903622335556427</v>
      </c>
      <c r="M795" s="14">
        <f t="shared" si="105"/>
        <v>1.0921941299365472</v>
      </c>
      <c r="N795" s="14">
        <f t="shared" si="109"/>
        <v>1.092737096405733</v>
      </c>
      <c r="O795" s="14">
        <f t="shared" si="101"/>
        <v>1.0931785988917988</v>
      </c>
      <c r="P795" s="14">
        <f t="shared" si="103"/>
        <v>1.0914141602825789</v>
      </c>
      <c r="Q795" s="4" t="str">
        <f t="shared" si="108"/>
        <v>UNDER</v>
      </c>
      <c r="R795" s="4" t="str">
        <f t="shared" si="108"/>
        <v>UNDER</v>
      </c>
      <c r="S795" s="4" t="str">
        <f t="shared" si="106"/>
        <v>UNDER</v>
      </c>
      <c r="T795" s="4" t="str">
        <f t="shared" si="106"/>
        <v>UNDER</v>
      </c>
      <c r="U795" s="2">
        <f>IF(Q795="OVER",$J795,$K795)</f>
        <v>-21.970671310259178</v>
      </c>
      <c r="V795" s="2">
        <f>IF(R795="OVER",$J795,$K795)</f>
        <v>-21.970671310259178</v>
      </c>
      <c r="W795" s="2">
        <f>IF(S795="OVER",$J795,$K795)</f>
        <v>-21.970671310259178</v>
      </c>
      <c r="X795" s="2">
        <f>IF(T795="OVER",$J795,$K795)</f>
        <v>-21.970671310259178</v>
      </c>
      <c r="Y795" s="9">
        <f t="shared" si="107"/>
        <v>-33055.929465684523</v>
      </c>
      <c r="Z795" s="9">
        <f t="shared" si="107"/>
        <v>-31770.469918295625</v>
      </c>
      <c r="AA795" s="9">
        <f t="shared" si="107"/>
        <v>45472.874612264881</v>
      </c>
      <c r="AB795" s="9">
        <f t="shared" si="104"/>
        <v>15786.050580270059</v>
      </c>
    </row>
    <row r="796" spans="1:28" x14ac:dyDescent="0.3">
      <c r="A796" s="1">
        <v>45568</v>
      </c>
      <c r="B796" s="2">
        <v>76.209999999999994</v>
      </c>
      <c r="C796" s="2">
        <v>83.09</v>
      </c>
      <c r="D796" s="9">
        <f>B796-B795</f>
        <v>-0.26000000000000512</v>
      </c>
      <c r="E796" s="9">
        <f>C796-C795</f>
        <v>-0.28999999999999204</v>
      </c>
      <c r="F796" s="3">
        <f>F$1/B796</f>
        <v>1312.1637580370032</v>
      </c>
      <c r="G796" s="3">
        <f>F$1/C796</f>
        <v>1203.5142616440005</v>
      </c>
      <c r="H796" s="2">
        <f>D796*F795</f>
        <v>-340.0026154047406</v>
      </c>
      <c r="I796" s="2">
        <f>E796*G795</f>
        <v>-347.8052290717103</v>
      </c>
      <c r="J796" s="2">
        <f>I796-H796</f>
        <v>-7.8026136669697053</v>
      </c>
      <c r="K796" s="2">
        <f t="shared" si="102"/>
        <v>7.8026136669697053</v>
      </c>
      <c r="L796" s="14">
        <f>C796/B796</f>
        <v>1.0902768665529459</v>
      </c>
      <c r="M796" s="14">
        <f t="shared" si="105"/>
        <v>1.091807868037082</v>
      </c>
      <c r="N796" s="14">
        <f t="shared" si="109"/>
        <v>1.0925156777246467</v>
      </c>
      <c r="O796" s="14">
        <f t="shared" si="101"/>
        <v>1.0930607951045723</v>
      </c>
      <c r="P796" s="14">
        <f t="shared" si="103"/>
        <v>1.0914415905087258</v>
      </c>
      <c r="Q796" s="4" t="str">
        <f t="shared" si="108"/>
        <v>UNDER</v>
      </c>
      <c r="R796" s="4" t="str">
        <f t="shared" si="108"/>
        <v>UNDER</v>
      </c>
      <c r="S796" s="4" t="str">
        <f t="shared" si="106"/>
        <v>UNDER</v>
      </c>
      <c r="T796" s="4" t="str">
        <f t="shared" si="106"/>
        <v>UNDER</v>
      </c>
      <c r="U796" s="2">
        <f>IF(Q796="OVER",$J796,$K796)</f>
        <v>7.8026136669697053</v>
      </c>
      <c r="V796" s="2">
        <f>IF(R796="OVER",$J796,$K796)</f>
        <v>7.8026136669697053</v>
      </c>
      <c r="W796" s="2">
        <f>IF(S796="OVER",$J796,$K796)</f>
        <v>7.8026136669697053</v>
      </c>
      <c r="X796" s="2">
        <f>IF(T796="OVER",$J796,$K796)</f>
        <v>7.8026136669697053</v>
      </c>
      <c r="Y796" s="9">
        <f t="shared" si="107"/>
        <v>-33048.126852017551</v>
      </c>
      <c r="Z796" s="9">
        <f t="shared" si="107"/>
        <v>-31762.667304628656</v>
      </c>
      <c r="AA796" s="9">
        <f t="shared" si="107"/>
        <v>45480.677225931853</v>
      </c>
      <c r="AB796" s="9">
        <f t="shared" si="104"/>
        <v>15793.85319393703</v>
      </c>
    </row>
    <row r="797" spans="1:28" x14ac:dyDescent="0.3">
      <c r="A797" s="1">
        <v>45569</v>
      </c>
      <c r="B797" s="2">
        <v>76.66</v>
      </c>
      <c r="C797" s="2">
        <v>83.59</v>
      </c>
      <c r="D797" s="9">
        <f>B797-B796</f>
        <v>0.45000000000000284</v>
      </c>
      <c r="E797" s="9">
        <f>C797-C796</f>
        <v>0.5</v>
      </c>
      <c r="F797" s="3">
        <f>F$1/B797</f>
        <v>1304.4612575006522</v>
      </c>
      <c r="G797" s="3">
        <f>F$1/C797</f>
        <v>1196.3153487259242</v>
      </c>
      <c r="H797" s="2">
        <f>D797*F796</f>
        <v>590.47369111665512</v>
      </c>
      <c r="I797" s="2">
        <f>E797*G796</f>
        <v>601.75713082200025</v>
      </c>
      <c r="J797" s="2">
        <f>I797-H797</f>
        <v>11.283439705345131</v>
      </c>
      <c r="K797" s="2">
        <f t="shared" si="102"/>
        <v>-11.283439705345131</v>
      </c>
      <c r="L797" s="14">
        <f>C797/B797</f>
        <v>1.0903991651447953</v>
      </c>
      <c r="M797" s="14">
        <f t="shared" si="105"/>
        <v>1.091342939204422</v>
      </c>
      <c r="N797" s="14">
        <f t="shared" si="109"/>
        <v>1.0923367746840404</v>
      </c>
      <c r="O797" s="14">
        <f t="shared" si="101"/>
        <v>1.0930420934005907</v>
      </c>
      <c r="P797" s="14">
        <f t="shared" si="103"/>
        <v>1.0914573118246456</v>
      </c>
      <c r="Q797" s="4" t="str">
        <f t="shared" si="108"/>
        <v>UNDER</v>
      </c>
      <c r="R797" s="4" t="str">
        <f t="shared" si="108"/>
        <v>UNDER</v>
      </c>
      <c r="S797" s="4" t="str">
        <f t="shared" si="106"/>
        <v>UNDER</v>
      </c>
      <c r="T797" s="4" t="str">
        <f t="shared" si="106"/>
        <v>UNDER</v>
      </c>
      <c r="U797" s="2">
        <f>IF(Q797="OVER",$J797,$K797)</f>
        <v>-11.283439705345131</v>
      </c>
      <c r="V797" s="2">
        <f>IF(R797="OVER",$J797,$K797)</f>
        <v>-11.283439705345131</v>
      </c>
      <c r="W797" s="2">
        <f>IF(S797="OVER",$J797,$K797)</f>
        <v>-11.283439705345131</v>
      </c>
      <c r="X797" s="2">
        <f>IF(T797="OVER",$J797,$K797)</f>
        <v>-11.283439705345131</v>
      </c>
      <c r="Y797" s="9">
        <f t="shared" si="107"/>
        <v>-33059.410291722896</v>
      </c>
      <c r="Z797" s="9">
        <f t="shared" si="107"/>
        <v>-31773.950744334001</v>
      </c>
      <c r="AA797" s="9">
        <f t="shared" si="107"/>
        <v>45469.393786226508</v>
      </c>
      <c r="AB797" s="9">
        <f t="shared" si="104"/>
        <v>15782.569754231685</v>
      </c>
    </row>
    <row r="798" spans="1:28" x14ac:dyDescent="0.3">
      <c r="A798" s="1">
        <v>45572</v>
      </c>
      <c r="B798" s="2">
        <v>76.38</v>
      </c>
      <c r="C798" s="2">
        <v>83.4</v>
      </c>
      <c r="D798" s="9">
        <f>B798-B797</f>
        <v>-0.28000000000000114</v>
      </c>
      <c r="E798" s="9">
        <f>C798-C797</f>
        <v>-0.18999999999999773</v>
      </c>
      <c r="F798" s="3">
        <f>F$1/B798</f>
        <v>1309.2432573972244</v>
      </c>
      <c r="G798" s="3">
        <f>F$1/C798</f>
        <v>1199.0407673860911</v>
      </c>
      <c r="H798" s="2">
        <f>D798*F797</f>
        <v>-365.24915210018412</v>
      </c>
      <c r="I798" s="2">
        <f>E798*G797</f>
        <v>-227.29991625792289</v>
      </c>
      <c r="J798" s="2">
        <f>I798-H798</f>
        <v>137.94923584226123</v>
      </c>
      <c r="K798" s="2">
        <f t="shared" si="102"/>
        <v>-137.94923584226123</v>
      </c>
      <c r="L798" s="14">
        <f>C798/B798</f>
        <v>1.0919088766692853</v>
      </c>
      <c r="M798" s="14">
        <f t="shared" si="105"/>
        <v>1.0911530383029462</v>
      </c>
      <c r="N798" s="14">
        <f t="shared" si="109"/>
        <v>1.0922823279266951</v>
      </c>
      <c r="O798" s="14">
        <f t="shared" si="101"/>
        <v>1.0930366878631643</v>
      </c>
      <c r="P798" s="14">
        <f t="shared" si="103"/>
        <v>1.0914755978560988</v>
      </c>
      <c r="Q798" s="4" t="str">
        <f t="shared" si="108"/>
        <v>UNDER</v>
      </c>
      <c r="R798" s="4" t="str">
        <f t="shared" si="108"/>
        <v>UNDER</v>
      </c>
      <c r="S798" s="4" t="str">
        <f t="shared" si="106"/>
        <v>UNDER</v>
      </c>
      <c r="T798" s="4" t="str">
        <f t="shared" si="106"/>
        <v>OVER</v>
      </c>
      <c r="U798" s="2">
        <f>IF(Q798="OVER",$J798,$K798)</f>
        <v>-137.94923584226123</v>
      </c>
      <c r="V798" s="2">
        <f>IF(R798="OVER",$J798,$K798)</f>
        <v>-137.94923584226123</v>
      </c>
      <c r="W798" s="2">
        <f>IF(S798="OVER",$J798,$K798)</f>
        <v>-137.94923584226123</v>
      </c>
      <c r="X798" s="2">
        <f>IF(T798="OVER",$J798,$K798)</f>
        <v>137.94923584226123</v>
      </c>
      <c r="Y798" s="9">
        <f t="shared" si="107"/>
        <v>-33197.359527565153</v>
      </c>
      <c r="Z798" s="9">
        <f t="shared" si="107"/>
        <v>-31911.899980176262</v>
      </c>
      <c r="AA798" s="9">
        <f t="shared" si="107"/>
        <v>45331.444550384251</v>
      </c>
      <c r="AB798" s="9">
        <f t="shared" si="104"/>
        <v>15920.518990073946</v>
      </c>
    </row>
    <row r="799" spans="1:28" x14ac:dyDescent="0.3">
      <c r="A799" s="1">
        <v>45573</v>
      </c>
      <c r="B799" s="2">
        <v>76.36</v>
      </c>
      <c r="C799" s="2">
        <v>83.42</v>
      </c>
      <c r="D799" s="9">
        <f>B799-B798</f>
        <v>-1.9999999999996021E-2</v>
      </c>
      <c r="E799" s="9">
        <f>C799-C798</f>
        <v>1.9999999999996021E-2</v>
      </c>
      <c r="F799" s="3">
        <f>F$1/B799</f>
        <v>1309.5861707700367</v>
      </c>
      <c r="G799" s="3">
        <f>F$1/C799</f>
        <v>1198.7532965715654</v>
      </c>
      <c r="H799" s="2">
        <f>D799*F798</f>
        <v>-26.184865147939277</v>
      </c>
      <c r="I799" s="2">
        <f>E799*G798</f>
        <v>23.980815347717051</v>
      </c>
      <c r="J799" s="2">
        <f>I799-H799</f>
        <v>50.165680495656332</v>
      </c>
      <c r="K799" s="2">
        <f t="shared" si="102"/>
        <v>-50.165680495656332</v>
      </c>
      <c r="L799" s="14">
        <f>C799/B799</f>
        <v>1.0924567836563646</v>
      </c>
      <c r="M799" s="14">
        <f t="shared" si="105"/>
        <v>1.0911175160366713</v>
      </c>
      <c r="N799" s="14">
        <f t="shared" si="109"/>
        <v>1.092136756124406</v>
      </c>
      <c r="O799" s="14">
        <f t="shared" si="101"/>
        <v>1.0929964478517353</v>
      </c>
      <c r="P799" s="14">
        <f t="shared" si="103"/>
        <v>1.0915019087331002</v>
      </c>
      <c r="Q799" s="4" t="str">
        <f t="shared" si="108"/>
        <v>OVER</v>
      </c>
      <c r="R799" s="4" t="str">
        <f t="shared" si="108"/>
        <v>UNDER</v>
      </c>
      <c r="S799" s="4" t="str">
        <f t="shared" si="106"/>
        <v>UNDER</v>
      </c>
      <c r="T799" s="4" t="str">
        <f t="shared" si="106"/>
        <v>OVER</v>
      </c>
      <c r="U799" s="2">
        <f>IF(Q799="OVER",$J799,$K799)</f>
        <v>50.165680495656332</v>
      </c>
      <c r="V799" s="2">
        <f>IF(R799="OVER",$J799,$K799)</f>
        <v>-50.165680495656332</v>
      </c>
      <c r="W799" s="2">
        <f>IF(S799="OVER",$J799,$K799)</f>
        <v>-50.165680495656332</v>
      </c>
      <c r="X799" s="2">
        <f>IF(T799="OVER",$J799,$K799)</f>
        <v>50.165680495656332</v>
      </c>
      <c r="Y799" s="9">
        <f t="shared" si="107"/>
        <v>-33147.193847069495</v>
      </c>
      <c r="Z799" s="9">
        <f t="shared" si="107"/>
        <v>-31962.065660671917</v>
      </c>
      <c r="AA799" s="9">
        <f t="shared" si="107"/>
        <v>45281.278869888592</v>
      </c>
      <c r="AB799" s="9">
        <f t="shared" si="104"/>
        <v>15970.684670569603</v>
      </c>
    </row>
    <row r="800" spans="1:28" x14ac:dyDescent="0.3">
      <c r="A800" s="1">
        <v>45574</v>
      </c>
      <c r="B800" s="2">
        <v>76.58</v>
      </c>
      <c r="C800" s="2">
        <v>83.52</v>
      </c>
      <c r="D800" s="9">
        <f>B800-B799</f>
        <v>0.21999999999999886</v>
      </c>
      <c r="E800" s="9">
        <f>C800-C799</f>
        <v>9.9999999999994316E-2</v>
      </c>
      <c r="F800" s="3">
        <f>F$1/B800</f>
        <v>1305.8239749281797</v>
      </c>
      <c r="G800" s="3">
        <f>F$1/C800</f>
        <v>1197.3180076628353</v>
      </c>
      <c r="H800" s="2">
        <f>D800*F799</f>
        <v>288.10895756940658</v>
      </c>
      <c r="I800" s="2">
        <f>E800*G799</f>
        <v>119.87532965714973</v>
      </c>
      <c r="J800" s="2">
        <f>I800-H800</f>
        <v>-168.23362791225685</v>
      </c>
      <c r="K800" s="2">
        <f t="shared" si="102"/>
        <v>168.23362791225685</v>
      </c>
      <c r="L800" s="14">
        <f>C800/B800</f>
        <v>1.0906241838600157</v>
      </c>
      <c r="M800" s="14">
        <f t="shared" si="105"/>
        <v>1.0910794192991751</v>
      </c>
      <c r="N800" s="14">
        <f t="shared" si="109"/>
        <v>1.0920608273068217</v>
      </c>
      <c r="O800" s="14">
        <f t="shared" si="101"/>
        <v>1.0929254496920608</v>
      </c>
      <c r="P800" s="14">
        <f t="shared" si="103"/>
        <v>1.0915127058853342</v>
      </c>
      <c r="Q800" s="4" t="str">
        <f t="shared" si="108"/>
        <v>OVER</v>
      </c>
      <c r="R800" s="4" t="str">
        <f t="shared" si="108"/>
        <v>OVER</v>
      </c>
      <c r="S800" s="4" t="str">
        <f t="shared" si="106"/>
        <v>UNDER</v>
      </c>
      <c r="T800" s="4" t="str">
        <f t="shared" si="106"/>
        <v>UNDER</v>
      </c>
      <c r="U800" s="2">
        <f>IF(Q800="OVER",$J800,$K800)</f>
        <v>-168.23362791225685</v>
      </c>
      <c r="V800" s="2">
        <f>IF(R800="OVER",$J800,$K800)</f>
        <v>-168.23362791225685</v>
      </c>
      <c r="W800" s="2">
        <f>IF(S800="OVER",$J800,$K800)</f>
        <v>168.23362791225685</v>
      </c>
      <c r="X800" s="2">
        <f>IF(T800="OVER",$J800,$K800)</f>
        <v>168.23362791225685</v>
      </c>
      <c r="Y800" s="9">
        <f t="shared" si="107"/>
        <v>-33315.427474981749</v>
      </c>
      <c r="Z800" s="9">
        <f t="shared" si="107"/>
        <v>-32130.299288584174</v>
      </c>
      <c r="AA800" s="9">
        <f t="shared" si="107"/>
        <v>45449.512497800846</v>
      </c>
      <c r="AB800" s="9">
        <f t="shared" si="104"/>
        <v>16138.91829848186</v>
      </c>
    </row>
    <row r="801" spans="1:28" x14ac:dyDescent="0.3">
      <c r="A801" s="1">
        <v>45575</v>
      </c>
      <c r="B801" s="2">
        <v>76.599999999999994</v>
      </c>
      <c r="C801" s="2">
        <v>83.6</v>
      </c>
      <c r="D801" s="9">
        <f>B801-B800</f>
        <v>1.9999999999996021E-2</v>
      </c>
      <c r="E801" s="9">
        <f>C801-C800</f>
        <v>7.9999999999998295E-2</v>
      </c>
      <c r="F801" s="3">
        <f>F$1/B801</f>
        <v>1305.4830287206266</v>
      </c>
      <c r="G801" s="3">
        <f>F$1/C801</f>
        <v>1196.1722488038279</v>
      </c>
      <c r="H801" s="2">
        <f>D801*F800</f>
        <v>26.116479498558398</v>
      </c>
      <c r="I801" s="2">
        <f>E801*G800</f>
        <v>95.785440613024775</v>
      </c>
      <c r="J801" s="2">
        <f>I801-H801</f>
        <v>69.668961114466384</v>
      </c>
      <c r="K801" s="2">
        <f t="shared" si="102"/>
        <v>-69.668961114466384</v>
      </c>
      <c r="L801" s="14">
        <f>C801/B801</f>
        <v>1.0913838120104438</v>
      </c>
      <c r="M801" s="14">
        <f t="shared" si="105"/>
        <v>1.0910326541939603</v>
      </c>
      <c r="N801" s="14">
        <f t="shared" si="109"/>
        <v>1.0919757086122552</v>
      </c>
      <c r="O801" s="14">
        <f t="shared" si="101"/>
        <v>1.0929176398683678</v>
      </c>
      <c r="P801" s="14">
        <f t="shared" si="103"/>
        <v>1.0915195066762893</v>
      </c>
      <c r="Q801" s="4" t="str">
        <f t="shared" si="108"/>
        <v>UNDER</v>
      </c>
      <c r="R801" s="4" t="str">
        <f t="shared" si="108"/>
        <v>UNDER</v>
      </c>
      <c r="S801" s="4" t="str">
        <f t="shared" si="106"/>
        <v>UNDER</v>
      </c>
      <c r="T801" s="4" t="str">
        <f t="shared" si="106"/>
        <v>UNDER</v>
      </c>
      <c r="U801" s="2">
        <f>IF(Q801="OVER",$J801,$K801)</f>
        <v>-69.668961114466384</v>
      </c>
      <c r="V801" s="2">
        <f>IF(R801="OVER",$J801,$K801)</f>
        <v>-69.668961114466384</v>
      </c>
      <c r="W801" s="2">
        <f>IF(S801="OVER",$J801,$K801)</f>
        <v>-69.668961114466384</v>
      </c>
      <c r="X801" s="2">
        <f>IF(T801="OVER",$J801,$K801)</f>
        <v>-69.668961114466384</v>
      </c>
      <c r="Y801" s="9">
        <f t="shared" si="107"/>
        <v>-33385.096436096217</v>
      </c>
      <c r="Z801" s="9">
        <f t="shared" si="107"/>
        <v>-32199.968249698639</v>
      </c>
      <c r="AA801" s="9">
        <f t="shared" si="107"/>
        <v>45379.843536686378</v>
      </c>
      <c r="AB801" s="9">
        <f t="shared" si="104"/>
        <v>16069.249337367393</v>
      </c>
    </row>
    <row r="802" spans="1:28" x14ac:dyDescent="0.3">
      <c r="A802" s="1">
        <v>45576</v>
      </c>
      <c r="B802" s="2">
        <v>77.45</v>
      </c>
      <c r="C802" s="2">
        <v>84.35</v>
      </c>
      <c r="D802" s="9">
        <f>B802-B801</f>
        <v>0.85000000000000853</v>
      </c>
      <c r="E802" s="9">
        <f>C802-C801</f>
        <v>0.75</v>
      </c>
      <c r="F802" s="3">
        <f>F$1/B802</f>
        <v>1291.1555842479017</v>
      </c>
      <c r="G802" s="3">
        <f>F$1/C802</f>
        <v>1185.5364552459989</v>
      </c>
      <c r="H802" s="2">
        <f>D802*F801</f>
        <v>1109.6605744125438</v>
      </c>
      <c r="I802" s="2">
        <f>E802*G801</f>
        <v>897.12918660287096</v>
      </c>
      <c r="J802" s="2">
        <f>I802-H802</f>
        <v>-212.53138780967288</v>
      </c>
      <c r="K802" s="2">
        <f t="shared" si="102"/>
        <v>212.53138780967288</v>
      </c>
      <c r="L802" s="14">
        <f>C802/B802</f>
        <v>1.089089735313105</v>
      </c>
      <c r="M802" s="14">
        <f t="shared" si="105"/>
        <v>1.0909065056466705</v>
      </c>
      <c r="N802" s="14">
        <f t="shared" si="109"/>
        <v>1.0918224576025213</v>
      </c>
      <c r="O802" s="14">
        <f t="shared" si="101"/>
        <v>1.0928467160612092</v>
      </c>
      <c r="P802" s="14">
        <f t="shared" si="103"/>
        <v>1.0915248999127996</v>
      </c>
      <c r="Q802" s="4" t="str">
        <f t="shared" si="108"/>
        <v>OVER</v>
      </c>
      <c r="R802" s="4" t="str">
        <f t="shared" si="108"/>
        <v>UNDER</v>
      </c>
      <c r="S802" s="4" t="str">
        <f t="shared" si="106"/>
        <v>UNDER</v>
      </c>
      <c r="T802" s="4" t="str">
        <f t="shared" si="106"/>
        <v>UNDER</v>
      </c>
      <c r="U802" s="2">
        <f>IF(Q802="OVER",$J802,$K802)</f>
        <v>-212.53138780967288</v>
      </c>
      <c r="V802" s="2">
        <f>IF(R802="OVER",$J802,$K802)</f>
        <v>212.53138780967288</v>
      </c>
      <c r="W802" s="2">
        <f>IF(S802="OVER",$J802,$K802)</f>
        <v>212.53138780967288</v>
      </c>
      <c r="X802" s="2">
        <f>IF(T802="OVER",$J802,$K802)</f>
        <v>212.53138780967288</v>
      </c>
      <c r="Y802" s="9">
        <f t="shared" si="107"/>
        <v>-33597.627823905888</v>
      </c>
      <c r="Z802" s="9">
        <f t="shared" si="107"/>
        <v>-31987.436861888968</v>
      </c>
      <c r="AA802" s="9">
        <f t="shared" si="107"/>
        <v>45592.374924496049</v>
      </c>
      <c r="AB802" s="9">
        <f t="shared" si="104"/>
        <v>16281.780725177066</v>
      </c>
    </row>
    <row r="803" spans="1:28" x14ac:dyDescent="0.3">
      <c r="A803" s="1">
        <v>45579</v>
      </c>
      <c r="B803" s="2">
        <v>77.5</v>
      </c>
      <c r="C803" s="2">
        <v>84.47</v>
      </c>
      <c r="D803" s="9">
        <f>B803-B802</f>
        <v>4.9999999999997158E-2</v>
      </c>
      <c r="E803" s="9">
        <f>C803-C802</f>
        <v>0.12000000000000455</v>
      </c>
      <c r="F803" s="3">
        <f>F$1/B803</f>
        <v>1290.3225806451612</v>
      </c>
      <c r="G803" s="3">
        <f>F$1/C803</f>
        <v>1183.8522552385461</v>
      </c>
      <c r="H803" s="2">
        <f>D803*F802</f>
        <v>64.557779212391424</v>
      </c>
      <c r="I803" s="2">
        <f>E803*G802</f>
        <v>142.26437462952526</v>
      </c>
      <c r="J803" s="2">
        <f>I803-H803</f>
        <v>77.70659541713384</v>
      </c>
      <c r="K803" s="2">
        <f t="shared" si="102"/>
        <v>-77.70659541713384</v>
      </c>
      <c r="L803" s="14">
        <f>C803/B803</f>
        <v>1.0899354838709678</v>
      </c>
      <c r="M803" s="14">
        <f t="shared" si="105"/>
        <v>1.0906560273984365</v>
      </c>
      <c r="N803" s="14">
        <f t="shared" si="109"/>
        <v>1.0917269168944761</v>
      </c>
      <c r="O803" s="14">
        <f t="shared" si="101"/>
        <v>1.0928464839396868</v>
      </c>
      <c r="P803" s="14">
        <f t="shared" si="103"/>
        <v>1.0915337052471537</v>
      </c>
      <c r="Q803" s="4" t="str">
        <f t="shared" si="108"/>
        <v>UNDER</v>
      </c>
      <c r="R803" s="4" t="str">
        <f t="shared" si="108"/>
        <v>UNDER</v>
      </c>
      <c r="S803" s="4" t="str">
        <f t="shared" si="106"/>
        <v>UNDER</v>
      </c>
      <c r="T803" s="4" t="str">
        <f t="shared" si="106"/>
        <v>UNDER</v>
      </c>
      <c r="U803" s="2">
        <f>IF(Q803="OVER",$J803,$K803)</f>
        <v>-77.70659541713384</v>
      </c>
      <c r="V803" s="2">
        <f>IF(R803="OVER",$J803,$K803)</f>
        <v>-77.70659541713384</v>
      </c>
      <c r="W803" s="2">
        <f>IF(S803="OVER",$J803,$K803)</f>
        <v>-77.70659541713384</v>
      </c>
      <c r="X803" s="2">
        <f>IF(T803="OVER",$J803,$K803)</f>
        <v>-77.70659541713384</v>
      </c>
      <c r="Y803" s="9">
        <f t="shared" si="107"/>
        <v>-33675.334419323022</v>
      </c>
      <c r="Z803" s="9">
        <f t="shared" si="107"/>
        <v>-32065.143457306101</v>
      </c>
      <c r="AA803" s="9">
        <f t="shared" si="107"/>
        <v>45514.668329078915</v>
      </c>
      <c r="AB803" s="9">
        <f t="shared" si="104"/>
        <v>16204.074129759932</v>
      </c>
    </row>
    <row r="804" spans="1:28" x14ac:dyDescent="0.3">
      <c r="A804" s="1">
        <v>45580</v>
      </c>
      <c r="B804" s="2">
        <v>77.42</v>
      </c>
      <c r="C804" s="2">
        <v>84.38</v>
      </c>
      <c r="D804" s="9">
        <f>B804-B803</f>
        <v>-7.9999999999998295E-2</v>
      </c>
      <c r="E804" s="9">
        <f>C804-C803</f>
        <v>-9.0000000000003411E-2</v>
      </c>
      <c r="F804" s="3">
        <f>F$1/B804</f>
        <v>1291.655902867476</v>
      </c>
      <c r="G804" s="3">
        <f>F$1/C804</f>
        <v>1185.1149561507466</v>
      </c>
      <c r="H804" s="2">
        <f>D804*F803</f>
        <v>-103.22580645161069</v>
      </c>
      <c r="I804" s="2">
        <f>E804*G803</f>
        <v>-106.5467029714732</v>
      </c>
      <c r="J804" s="2">
        <f>I804-H804</f>
        <v>-3.3208965198625009</v>
      </c>
      <c r="K804" s="2">
        <f t="shared" si="102"/>
        <v>3.3208965198625009</v>
      </c>
      <c r="L804" s="14">
        <f>C804/B804</f>
        <v>1.0898992508395762</v>
      </c>
      <c r="M804" s="14">
        <f t="shared" si="105"/>
        <v>1.0906336391473139</v>
      </c>
      <c r="N804" s="14">
        <f t="shared" si="109"/>
        <v>1.0915506685302803</v>
      </c>
      <c r="O804" s="14">
        <f t="shared" si="101"/>
        <v>1.0929447920355624</v>
      </c>
      <c r="P804" s="14">
        <f t="shared" si="103"/>
        <v>1.0915428370618152</v>
      </c>
      <c r="Q804" s="4" t="str">
        <f t="shared" si="108"/>
        <v>UNDER</v>
      </c>
      <c r="R804" s="4" t="str">
        <f t="shared" si="108"/>
        <v>UNDER</v>
      </c>
      <c r="S804" s="4" t="str">
        <f t="shared" si="106"/>
        <v>UNDER</v>
      </c>
      <c r="T804" s="4" t="str">
        <f t="shared" si="106"/>
        <v>UNDER</v>
      </c>
      <c r="U804" s="2">
        <f>IF(Q804="OVER",$J804,$K804)</f>
        <v>3.3208965198625009</v>
      </c>
      <c r="V804" s="2">
        <f>IF(R804="OVER",$J804,$K804)</f>
        <v>3.3208965198625009</v>
      </c>
      <c r="W804" s="2">
        <f>IF(S804="OVER",$J804,$K804)</f>
        <v>3.3208965198625009</v>
      </c>
      <c r="X804" s="2">
        <f>IF(T804="OVER",$J804,$K804)</f>
        <v>3.3208965198625009</v>
      </c>
      <c r="Y804" s="9">
        <f t="shared" si="107"/>
        <v>-33672.013522803158</v>
      </c>
      <c r="Z804" s="9">
        <f t="shared" si="107"/>
        <v>-32061.822560786241</v>
      </c>
      <c r="AA804" s="9">
        <f t="shared" si="107"/>
        <v>45517.98922559878</v>
      </c>
      <c r="AB804" s="9">
        <f t="shared" si="104"/>
        <v>16207.395026279795</v>
      </c>
    </row>
    <row r="805" spans="1:28" x14ac:dyDescent="0.3">
      <c r="A805" s="1">
        <v>45581</v>
      </c>
      <c r="B805" s="2">
        <v>77.59</v>
      </c>
      <c r="C805" s="2">
        <v>84.63</v>
      </c>
      <c r="D805" s="9">
        <f>B805-B804</f>
        <v>0.17000000000000171</v>
      </c>
      <c r="E805" s="9">
        <f>C805-C804</f>
        <v>0.25</v>
      </c>
      <c r="F805" s="3">
        <f>F$1/B805</f>
        <v>1288.8258796236628</v>
      </c>
      <c r="G805" s="3">
        <f>F$1/C805</f>
        <v>1181.6140848398913</v>
      </c>
      <c r="H805" s="2">
        <f>D805*F804</f>
        <v>219.58150348747313</v>
      </c>
      <c r="I805" s="2">
        <f>E805*G804</f>
        <v>296.27873903768665</v>
      </c>
      <c r="J805" s="2">
        <f>I805-H805</f>
        <v>76.69723555021352</v>
      </c>
      <c r="K805" s="2">
        <f t="shared" si="102"/>
        <v>-76.69723555021352</v>
      </c>
      <c r="L805" s="14">
        <f>C805/B805</f>
        <v>1.0907333419255059</v>
      </c>
      <c r="M805" s="14">
        <f t="shared" si="105"/>
        <v>1.0906707499843005</v>
      </c>
      <c r="N805" s="14">
        <f t="shared" si="109"/>
        <v>1.0914324399604241</v>
      </c>
      <c r="O805" s="14">
        <f t="shared" si="101"/>
        <v>1.0929120131078023</v>
      </c>
      <c r="P805" s="14">
        <f t="shared" si="103"/>
        <v>1.0915502113251505</v>
      </c>
      <c r="Q805" s="4" t="str">
        <f t="shared" si="108"/>
        <v>UNDER</v>
      </c>
      <c r="R805" s="4" t="str">
        <f t="shared" si="108"/>
        <v>UNDER</v>
      </c>
      <c r="S805" s="4" t="str">
        <f t="shared" si="106"/>
        <v>UNDER</v>
      </c>
      <c r="T805" s="4" t="str">
        <f t="shared" si="106"/>
        <v>UNDER</v>
      </c>
      <c r="U805" s="2">
        <f>IF(Q805="OVER",$J805,$K805)</f>
        <v>-76.69723555021352</v>
      </c>
      <c r="V805" s="2">
        <f>IF(R805="OVER",$J805,$K805)</f>
        <v>-76.69723555021352</v>
      </c>
      <c r="W805" s="2">
        <f>IF(S805="OVER",$J805,$K805)</f>
        <v>-76.69723555021352</v>
      </c>
      <c r="X805" s="2">
        <f>IF(T805="OVER",$J805,$K805)</f>
        <v>-76.69723555021352</v>
      </c>
      <c r="Y805" s="9">
        <f t="shared" si="107"/>
        <v>-33748.710758353373</v>
      </c>
      <c r="Z805" s="9">
        <f t="shared" si="107"/>
        <v>-32138.519796336455</v>
      </c>
      <c r="AA805" s="9">
        <f t="shared" si="107"/>
        <v>45441.291990048565</v>
      </c>
      <c r="AB805" s="9">
        <f t="shared" si="104"/>
        <v>16130.697790729582</v>
      </c>
    </row>
    <row r="806" spans="1:28" x14ac:dyDescent="0.3">
      <c r="A806" s="1">
        <v>45582</v>
      </c>
      <c r="B806" s="2">
        <v>77.36</v>
      </c>
      <c r="C806" s="2">
        <v>84.39</v>
      </c>
      <c r="D806" s="9">
        <f>B806-B805</f>
        <v>-0.23000000000000398</v>
      </c>
      <c r="E806" s="9">
        <f>C806-C805</f>
        <v>-0.23999999999999488</v>
      </c>
      <c r="F806" s="3">
        <f>F$1/B806</f>
        <v>1292.6577042399172</v>
      </c>
      <c r="G806" s="3">
        <f>F$1/C806</f>
        <v>1184.9745230477545</v>
      </c>
      <c r="H806" s="2">
        <f>D806*F805</f>
        <v>-296.42995231344759</v>
      </c>
      <c r="I806" s="2">
        <f>E806*G805</f>
        <v>-283.58738036156785</v>
      </c>
      <c r="J806" s="2">
        <f>I806-H806</f>
        <v>12.842571951879734</v>
      </c>
      <c r="K806" s="2">
        <f t="shared" si="102"/>
        <v>-12.842571951879734</v>
      </c>
      <c r="L806" s="14">
        <f>C806/B806</f>
        <v>1.0908738366080661</v>
      </c>
      <c r="M806" s="14">
        <f t="shared" si="105"/>
        <v>1.0907304469898125</v>
      </c>
      <c r="N806" s="14">
        <f t="shared" si="109"/>
        <v>1.0912691575134472</v>
      </c>
      <c r="O806" s="14">
        <f t="shared" si="101"/>
        <v>1.093010630129249</v>
      </c>
      <c r="P806" s="14">
        <f t="shared" si="103"/>
        <v>1.0915671853153455</v>
      </c>
      <c r="Q806" s="4" t="str">
        <f t="shared" si="108"/>
        <v>OVER</v>
      </c>
      <c r="R806" s="4" t="str">
        <f t="shared" si="108"/>
        <v>UNDER</v>
      </c>
      <c r="S806" s="4" t="str">
        <f t="shared" si="106"/>
        <v>UNDER</v>
      </c>
      <c r="T806" s="4" t="str">
        <f t="shared" si="106"/>
        <v>UNDER</v>
      </c>
      <c r="U806" s="2">
        <f>IF(Q806="OVER",$J806,$K806)</f>
        <v>12.842571951879734</v>
      </c>
      <c r="V806" s="2">
        <f>IF(R806="OVER",$J806,$K806)</f>
        <v>-12.842571951879734</v>
      </c>
      <c r="W806" s="2">
        <f>IF(S806="OVER",$J806,$K806)</f>
        <v>-12.842571951879734</v>
      </c>
      <c r="X806" s="2">
        <f>IF(T806="OVER",$J806,$K806)</f>
        <v>-12.842571951879734</v>
      </c>
      <c r="Y806" s="9">
        <f t="shared" si="107"/>
        <v>-33735.868186401494</v>
      </c>
      <c r="Z806" s="9">
        <f t="shared" si="107"/>
        <v>-32151.362368288334</v>
      </c>
      <c r="AA806" s="9">
        <f t="shared" si="107"/>
        <v>45428.449418096687</v>
      </c>
      <c r="AB806" s="9">
        <f t="shared" si="104"/>
        <v>16117.855218777702</v>
      </c>
    </row>
    <row r="807" spans="1:28" x14ac:dyDescent="0.3">
      <c r="A807" s="1">
        <v>45583</v>
      </c>
      <c r="B807" s="2">
        <v>77.7</v>
      </c>
      <c r="C807" s="2">
        <v>84.75</v>
      </c>
      <c r="D807" s="9">
        <f>B807-B806</f>
        <v>0.34000000000000341</v>
      </c>
      <c r="E807" s="9">
        <f>C807-C806</f>
        <v>0.35999999999999943</v>
      </c>
      <c r="F807" s="3">
        <f>F$1/B807</f>
        <v>1287.001287001287</v>
      </c>
      <c r="G807" s="3">
        <f>F$1/C807</f>
        <v>1179.9410029498524</v>
      </c>
      <c r="H807" s="2">
        <f>D807*F806</f>
        <v>439.50361944157623</v>
      </c>
      <c r="I807" s="2">
        <f>E807*G806</f>
        <v>426.59082829719091</v>
      </c>
      <c r="J807" s="2">
        <f>I807-H807</f>
        <v>-12.912791144385324</v>
      </c>
      <c r="K807" s="2">
        <f t="shared" si="102"/>
        <v>12.912791144385324</v>
      </c>
      <c r="L807" s="14">
        <f>C807/B807</f>
        <v>1.0907335907335907</v>
      </c>
      <c r="M807" s="14">
        <f t="shared" si="105"/>
        <v>1.0907638895486922</v>
      </c>
      <c r="N807" s="14">
        <f t="shared" si="109"/>
        <v>1.0910534143765571</v>
      </c>
      <c r="O807" s="14">
        <f t="shared" si="101"/>
        <v>1.092927958780755</v>
      </c>
      <c r="P807" s="14">
        <f t="shared" si="103"/>
        <v>1.0915781191919056</v>
      </c>
      <c r="Q807" s="4" t="str">
        <f t="shared" si="108"/>
        <v>OVER</v>
      </c>
      <c r="R807" s="4" t="str">
        <f t="shared" si="108"/>
        <v>UNDER</v>
      </c>
      <c r="S807" s="4" t="str">
        <f t="shared" si="106"/>
        <v>UNDER</v>
      </c>
      <c r="T807" s="4" t="str">
        <f t="shared" si="106"/>
        <v>UNDER</v>
      </c>
      <c r="U807" s="2">
        <f>IF(Q807="OVER",$J807,$K807)</f>
        <v>-12.912791144385324</v>
      </c>
      <c r="V807" s="2">
        <f>IF(R807="OVER",$J807,$K807)</f>
        <v>12.912791144385324</v>
      </c>
      <c r="W807" s="2">
        <f>IF(S807="OVER",$J807,$K807)</f>
        <v>12.912791144385324</v>
      </c>
      <c r="X807" s="2">
        <f>IF(T807="OVER",$J807,$K807)</f>
        <v>12.912791144385324</v>
      </c>
      <c r="Y807" s="9">
        <f t="shared" si="107"/>
        <v>-33748.780977545881</v>
      </c>
      <c r="Z807" s="9">
        <f t="shared" si="107"/>
        <v>-32138.449577143947</v>
      </c>
      <c r="AA807" s="9">
        <f t="shared" si="107"/>
        <v>45441.362209241073</v>
      </c>
      <c r="AB807" s="9">
        <f t="shared" si="104"/>
        <v>16130.768009922087</v>
      </c>
    </row>
    <row r="808" spans="1:28" x14ac:dyDescent="0.3">
      <c r="A808" s="1">
        <v>45586</v>
      </c>
      <c r="B808" s="2">
        <v>77.47</v>
      </c>
      <c r="C808" s="2">
        <v>84.51</v>
      </c>
      <c r="D808" s="9">
        <f>B808-B807</f>
        <v>-0.23000000000000398</v>
      </c>
      <c r="E808" s="9">
        <f>C808-C807</f>
        <v>-0.23999999999999488</v>
      </c>
      <c r="F808" s="3">
        <f>F$1/B808</f>
        <v>1290.8222537756551</v>
      </c>
      <c r="G808" s="3">
        <f>F$1/C808</f>
        <v>1183.2919181161992</v>
      </c>
      <c r="H808" s="2">
        <f>D808*F807</f>
        <v>-296.01029601030115</v>
      </c>
      <c r="I808" s="2">
        <f>E808*G807</f>
        <v>-283.18584070795856</v>
      </c>
      <c r="J808" s="2">
        <f>I808-H808</f>
        <v>12.824455302342585</v>
      </c>
      <c r="K808" s="2">
        <f t="shared" si="102"/>
        <v>-12.824455302342585</v>
      </c>
      <c r="L808" s="14">
        <f>C808/B808</f>
        <v>1.0908738866658061</v>
      </c>
      <c r="M808" s="14">
        <f t="shared" si="105"/>
        <v>1.0906603905483441</v>
      </c>
      <c r="N808" s="14">
        <f t="shared" si="109"/>
        <v>1.0909067144256452</v>
      </c>
      <c r="O808" s="14">
        <f t="shared" si="101"/>
        <v>1.0928557163699866</v>
      </c>
      <c r="P808" s="14">
        <f t="shared" si="103"/>
        <v>1.0915892714063165</v>
      </c>
      <c r="Q808" s="4" t="str">
        <f t="shared" si="108"/>
        <v>UNDER</v>
      </c>
      <c r="R808" s="4" t="str">
        <f t="shared" si="108"/>
        <v>UNDER</v>
      </c>
      <c r="S808" s="4" t="str">
        <f t="shared" si="106"/>
        <v>UNDER</v>
      </c>
      <c r="T808" s="4" t="str">
        <f t="shared" si="106"/>
        <v>UNDER</v>
      </c>
      <c r="U808" s="2">
        <f>IF(Q808="OVER",$J808,$K808)</f>
        <v>-12.824455302342585</v>
      </c>
      <c r="V808" s="2">
        <f>IF(R808="OVER",$J808,$K808)</f>
        <v>-12.824455302342585</v>
      </c>
      <c r="W808" s="2">
        <f>IF(S808="OVER",$J808,$K808)</f>
        <v>-12.824455302342585</v>
      </c>
      <c r="X808" s="2">
        <f>IF(T808="OVER",$J808,$K808)</f>
        <v>-12.824455302342585</v>
      </c>
      <c r="Y808" s="9">
        <f t="shared" si="107"/>
        <v>-33761.605432848221</v>
      </c>
      <c r="Z808" s="9">
        <f t="shared" si="107"/>
        <v>-32151.27403244629</v>
      </c>
      <c r="AA808" s="9">
        <f t="shared" si="107"/>
        <v>45428.537753938734</v>
      </c>
      <c r="AB808" s="9">
        <f t="shared" si="104"/>
        <v>16117.943554619744</v>
      </c>
    </row>
    <row r="809" spans="1:28" x14ac:dyDescent="0.3">
      <c r="A809" s="1">
        <v>45587</v>
      </c>
      <c r="B809" s="2">
        <v>77.489999999999995</v>
      </c>
      <c r="C809" s="2">
        <v>84.48</v>
      </c>
      <c r="D809" s="9">
        <f>B809-B808</f>
        <v>1.9999999999996021E-2</v>
      </c>
      <c r="E809" s="9">
        <f>C809-C808</f>
        <v>-3.0000000000001137E-2</v>
      </c>
      <c r="F809" s="3">
        <f>F$1/B809</f>
        <v>1290.4890953671443</v>
      </c>
      <c r="G809" s="3">
        <f>F$1/C809</f>
        <v>1183.7121212121212</v>
      </c>
      <c r="H809" s="2">
        <f>D809*F808</f>
        <v>25.816445075507964</v>
      </c>
      <c r="I809" s="2">
        <f>E809*G808</f>
        <v>-35.498757543487322</v>
      </c>
      <c r="J809" s="2">
        <f>I809-H809</f>
        <v>-61.315202618995286</v>
      </c>
      <c r="K809" s="2">
        <f t="shared" si="102"/>
        <v>61.315202618995286</v>
      </c>
      <c r="L809" s="14">
        <f>C809/B809</f>
        <v>1.0902051877661636</v>
      </c>
      <c r="M809" s="14">
        <f t="shared" si="105"/>
        <v>1.0904352309593239</v>
      </c>
      <c r="N809" s="14">
        <f t="shared" si="109"/>
        <v>1.0907763734979976</v>
      </c>
      <c r="O809" s="14">
        <f t="shared" si="101"/>
        <v>1.0927742327884593</v>
      </c>
      <c r="P809" s="14">
        <f t="shared" si="103"/>
        <v>1.0916168560896689</v>
      </c>
      <c r="Q809" s="4" t="str">
        <f t="shared" si="108"/>
        <v>OVER</v>
      </c>
      <c r="R809" s="4" t="str">
        <f t="shared" si="108"/>
        <v>UNDER</v>
      </c>
      <c r="S809" s="4" t="str">
        <f t="shared" si="106"/>
        <v>UNDER</v>
      </c>
      <c r="T809" s="4" t="str">
        <f t="shared" si="106"/>
        <v>UNDER</v>
      </c>
      <c r="U809" s="2">
        <f>IF(Q809="OVER",$J809,$K809)</f>
        <v>-61.315202618995286</v>
      </c>
      <c r="V809" s="2">
        <f>IF(R809="OVER",$J809,$K809)</f>
        <v>61.315202618995286</v>
      </c>
      <c r="W809" s="2">
        <f>IF(S809="OVER",$J809,$K809)</f>
        <v>61.315202618995286</v>
      </c>
      <c r="X809" s="2">
        <f>IF(T809="OVER",$J809,$K809)</f>
        <v>61.315202618995286</v>
      </c>
      <c r="Y809" s="9">
        <f t="shared" si="107"/>
        <v>-33822.920635467213</v>
      </c>
      <c r="Z809" s="9">
        <f t="shared" si="107"/>
        <v>-32089.958829827294</v>
      </c>
      <c r="AA809" s="9">
        <f t="shared" si="107"/>
        <v>45489.852956557726</v>
      </c>
      <c r="AB809" s="9">
        <f t="shared" si="104"/>
        <v>16179.258757238738</v>
      </c>
    </row>
    <row r="810" spans="1:28" x14ac:dyDescent="0.3">
      <c r="A810" s="1">
        <v>45588</v>
      </c>
      <c r="B810" s="2">
        <v>77.02</v>
      </c>
      <c r="C810" s="2">
        <v>84.03</v>
      </c>
      <c r="D810" s="9">
        <f>B810-B809</f>
        <v>-0.46999999999999886</v>
      </c>
      <c r="E810" s="9">
        <f>C810-C809</f>
        <v>-0.45000000000000284</v>
      </c>
      <c r="F810" s="3">
        <f>F$1/B810</f>
        <v>1298.3640612827837</v>
      </c>
      <c r="G810" s="3">
        <f>F$1/C810</f>
        <v>1190.0511722004046</v>
      </c>
      <c r="H810" s="2">
        <f>D810*F809</f>
        <v>-606.52987482255639</v>
      </c>
      <c r="I810" s="2">
        <f>E810*G809</f>
        <v>-532.67045454545791</v>
      </c>
      <c r="J810" s="2">
        <f>I810-H810</f>
        <v>73.859420277098479</v>
      </c>
      <c r="K810" s="2">
        <f t="shared" si="102"/>
        <v>-73.859420277098479</v>
      </c>
      <c r="L810" s="14">
        <f>C810/B810</f>
        <v>1.0910153206959232</v>
      </c>
      <c r="M810" s="14">
        <f t="shared" si="105"/>
        <v>1.0904743446429148</v>
      </c>
      <c r="N810" s="14">
        <f t="shared" si="109"/>
        <v>1.0907768819710451</v>
      </c>
      <c r="O810" s="14">
        <f t="shared" si="101"/>
        <v>1.0927695806159614</v>
      </c>
      <c r="P810" s="14">
        <f t="shared" si="103"/>
        <v>1.0916442040795793</v>
      </c>
      <c r="Q810" s="4" t="str">
        <f t="shared" si="108"/>
        <v>UNDER</v>
      </c>
      <c r="R810" s="4" t="str">
        <f t="shared" si="108"/>
        <v>UNDER</v>
      </c>
      <c r="S810" s="4" t="str">
        <f t="shared" si="106"/>
        <v>UNDER</v>
      </c>
      <c r="T810" s="4" t="str">
        <f t="shared" si="106"/>
        <v>UNDER</v>
      </c>
      <c r="U810" s="2">
        <f>IF(Q810="OVER",$J810,$K810)</f>
        <v>-73.859420277098479</v>
      </c>
      <c r="V810" s="2">
        <f>IF(R810="OVER",$J810,$K810)</f>
        <v>-73.859420277098479</v>
      </c>
      <c r="W810" s="2">
        <f>IF(S810="OVER",$J810,$K810)</f>
        <v>-73.859420277098479</v>
      </c>
      <c r="X810" s="2">
        <f>IF(T810="OVER",$J810,$K810)</f>
        <v>-73.859420277098479</v>
      </c>
      <c r="Y810" s="9">
        <f t="shared" si="107"/>
        <v>-33896.780055744312</v>
      </c>
      <c r="Z810" s="9">
        <f t="shared" si="107"/>
        <v>-32163.818250104392</v>
      </c>
      <c r="AA810" s="9">
        <f t="shared" si="107"/>
        <v>45415.993536280628</v>
      </c>
      <c r="AB810" s="9">
        <f t="shared" si="104"/>
        <v>16105.39933696164</v>
      </c>
    </row>
    <row r="811" spans="1:28" x14ac:dyDescent="0.3">
      <c r="A811" s="1">
        <v>45589</v>
      </c>
      <c r="B811" s="2">
        <v>77.31</v>
      </c>
      <c r="C811" s="2">
        <v>84.31</v>
      </c>
      <c r="D811" s="9">
        <f>B811-B810</f>
        <v>0.29000000000000625</v>
      </c>
      <c r="E811" s="9">
        <f>C811-C810</f>
        <v>0.28000000000000114</v>
      </c>
      <c r="F811" s="3">
        <f>F$1/B811</f>
        <v>1293.4937265554261</v>
      </c>
      <c r="G811" s="3">
        <f>F$1/C811</f>
        <v>1186.0989206499821</v>
      </c>
      <c r="H811" s="2">
        <f>D811*F810</f>
        <v>376.52557777201542</v>
      </c>
      <c r="I811" s="2">
        <f>E811*G810</f>
        <v>333.21432821611467</v>
      </c>
      <c r="J811" s="2">
        <f>I811-H811</f>
        <v>-43.311249555900758</v>
      </c>
      <c r="K811" s="2">
        <f t="shared" si="102"/>
        <v>43.311249555900758</v>
      </c>
      <c r="L811" s="14">
        <f>C811/B811</f>
        <v>1.0905445608588797</v>
      </c>
      <c r="M811" s="14">
        <f t="shared" si="105"/>
        <v>1.0903904195277587</v>
      </c>
      <c r="N811" s="14">
        <f t="shared" si="109"/>
        <v>1.0907115368608595</v>
      </c>
      <c r="O811" s="14">
        <f t="shared" si="101"/>
        <v>1.092668991888464</v>
      </c>
      <c r="P811" s="14">
        <f t="shared" si="103"/>
        <v>1.091663213963868</v>
      </c>
      <c r="Q811" s="4" t="str">
        <f t="shared" si="108"/>
        <v>OVER</v>
      </c>
      <c r="R811" s="4" t="str">
        <f t="shared" si="108"/>
        <v>OVER</v>
      </c>
      <c r="S811" s="4" t="str">
        <f t="shared" si="106"/>
        <v>UNDER</v>
      </c>
      <c r="T811" s="4" t="str">
        <f t="shared" si="106"/>
        <v>UNDER</v>
      </c>
      <c r="U811" s="2">
        <f>IF(Q811="OVER",$J811,$K811)</f>
        <v>-43.311249555900758</v>
      </c>
      <c r="V811" s="2">
        <f>IF(R811="OVER",$J811,$K811)</f>
        <v>-43.311249555900758</v>
      </c>
      <c r="W811" s="2">
        <f>IF(S811="OVER",$J811,$K811)</f>
        <v>43.311249555900758</v>
      </c>
      <c r="X811" s="2">
        <f>IF(T811="OVER",$J811,$K811)</f>
        <v>43.311249555900758</v>
      </c>
      <c r="Y811" s="9">
        <f t="shared" si="107"/>
        <v>-33940.091305300215</v>
      </c>
      <c r="Z811" s="9">
        <f t="shared" si="107"/>
        <v>-32207.129499660292</v>
      </c>
      <c r="AA811" s="9">
        <f t="shared" si="107"/>
        <v>45459.304785836532</v>
      </c>
      <c r="AB811" s="9">
        <f t="shared" si="104"/>
        <v>16148.71058651754</v>
      </c>
    </row>
    <row r="812" spans="1:28" x14ac:dyDescent="0.3">
      <c r="A812" s="1">
        <v>45590</v>
      </c>
      <c r="B812" s="2">
        <v>77.180000000000007</v>
      </c>
      <c r="C812" s="2">
        <v>84.37</v>
      </c>
      <c r="D812" s="9">
        <f>B812-B811</f>
        <v>-0.12999999999999545</v>
      </c>
      <c r="E812" s="9">
        <f>C812-C811</f>
        <v>6.0000000000002274E-2</v>
      </c>
      <c r="F812" s="3">
        <f>F$1/B812</f>
        <v>1295.6724540036278</v>
      </c>
      <c r="G812" s="3">
        <f>F$1/C812</f>
        <v>1185.2554225435581</v>
      </c>
      <c r="H812" s="2">
        <f>D812*F811</f>
        <v>-168.1541844521995</v>
      </c>
      <c r="I812" s="2">
        <f>E812*G811</f>
        <v>71.165935239001627</v>
      </c>
      <c r="J812" s="2">
        <f>I812-H812</f>
        <v>239.32011969120111</v>
      </c>
      <c r="K812" s="2">
        <f t="shared" si="102"/>
        <v>-239.32011969120111</v>
      </c>
      <c r="L812" s="14">
        <f>C812/B812</f>
        <v>1.0931588494428608</v>
      </c>
      <c r="M812" s="14">
        <f t="shared" si="105"/>
        <v>1.0907973309407339</v>
      </c>
      <c r="N812" s="14">
        <f t="shared" si="109"/>
        <v>1.0908519182937024</v>
      </c>
      <c r="O812" s="14">
        <f t="shared" si="101"/>
        <v>1.0926306734732878</v>
      </c>
      <c r="P812" s="14">
        <f t="shared" si="103"/>
        <v>1.0916953526134925</v>
      </c>
      <c r="Q812" s="4" t="str">
        <f t="shared" si="108"/>
        <v>OVER</v>
      </c>
      <c r="R812" s="4" t="str">
        <f t="shared" si="108"/>
        <v>UNDER</v>
      </c>
      <c r="S812" s="4" t="str">
        <f t="shared" si="106"/>
        <v>OVER</v>
      </c>
      <c r="T812" s="4" t="str">
        <f t="shared" si="106"/>
        <v>OVER</v>
      </c>
      <c r="U812" s="2">
        <f>IF(Q812="OVER",$J812,$K812)</f>
        <v>239.32011969120111</v>
      </c>
      <c r="V812" s="2">
        <f>IF(R812="OVER",$J812,$K812)</f>
        <v>-239.32011969120111</v>
      </c>
      <c r="W812" s="2">
        <f>IF(S812="OVER",$J812,$K812)</f>
        <v>239.32011969120111</v>
      </c>
      <c r="X812" s="2">
        <f>IF(T812="OVER",$J812,$K812)</f>
        <v>239.32011969120111</v>
      </c>
      <c r="Y812" s="9">
        <f t="shared" si="107"/>
        <v>-33700.771185609017</v>
      </c>
      <c r="Z812" s="9">
        <f t="shared" si="107"/>
        <v>-32446.449619351493</v>
      </c>
      <c r="AA812" s="9">
        <f t="shared" si="107"/>
        <v>45698.624905527729</v>
      </c>
      <c r="AB812" s="9">
        <f t="shared" si="104"/>
        <v>16388.030706208741</v>
      </c>
    </row>
    <row r="813" spans="1:28" x14ac:dyDescent="0.3">
      <c r="A813" s="1">
        <v>45593</v>
      </c>
      <c r="B813" s="2">
        <v>77.67</v>
      </c>
      <c r="C813" s="2">
        <v>84.97</v>
      </c>
      <c r="D813" s="9">
        <f>B813-B812</f>
        <v>0.48999999999999488</v>
      </c>
      <c r="E813" s="9">
        <f>C813-C812</f>
        <v>0.59999999999999432</v>
      </c>
      <c r="F813" s="3">
        <f>F$1/B813</f>
        <v>1287.4983906270118</v>
      </c>
      <c r="G813" s="3">
        <f>F$1/C813</f>
        <v>1176.8859597505002</v>
      </c>
      <c r="H813" s="2">
        <f>D813*F812</f>
        <v>634.87950246177093</v>
      </c>
      <c r="I813" s="2">
        <f>E813*G812</f>
        <v>711.15325352612808</v>
      </c>
      <c r="J813" s="2">
        <f>I813-H813</f>
        <v>76.273751064357157</v>
      </c>
      <c r="K813" s="2">
        <f t="shared" si="102"/>
        <v>-76.273751064357157</v>
      </c>
      <c r="L813" s="14">
        <f>C813/B813</f>
        <v>1.0939873825157718</v>
      </c>
      <c r="M813" s="14">
        <f t="shared" si="105"/>
        <v>1.0912025208052145</v>
      </c>
      <c r="N813" s="14">
        <f t="shared" si="109"/>
        <v>1.0909292741018255</v>
      </c>
      <c r="O813" s="14">
        <f t="shared" si="101"/>
        <v>1.0925952364450806</v>
      </c>
      <c r="P813" s="14">
        <f t="shared" si="103"/>
        <v>1.0917300498288467</v>
      </c>
      <c r="Q813" s="4" t="str">
        <f t="shared" si="108"/>
        <v>OVER</v>
      </c>
      <c r="R813" s="4" t="str">
        <f t="shared" si="108"/>
        <v>OVER</v>
      </c>
      <c r="S813" s="4" t="str">
        <f t="shared" si="106"/>
        <v>OVER</v>
      </c>
      <c r="T813" s="4" t="str">
        <f t="shared" si="106"/>
        <v>OVER</v>
      </c>
      <c r="U813" s="2">
        <f>IF(Q813="OVER",$J813,$K813)</f>
        <v>76.273751064357157</v>
      </c>
      <c r="V813" s="2">
        <f>IF(R813="OVER",$J813,$K813)</f>
        <v>76.273751064357157</v>
      </c>
      <c r="W813" s="2">
        <f>IF(S813="OVER",$J813,$K813)</f>
        <v>76.273751064357157</v>
      </c>
      <c r="X813" s="2">
        <f>IF(T813="OVER",$J813,$K813)</f>
        <v>76.273751064357157</v>
      </c>
      <c r="Y813" s="9">
        <f t="shared" si="107"/>
        <v>-33624.497434544661</v>
      </c>
      <c r="Z813" s="9">
        <f t="shared" si="107"/>
        <v>-32370.175868287137</v>
      </c>
      <c r="AA813" s="9">
        <f t="shared" si="107"/>
        <v>45774.898656592086</v>
      </c>
      <c r="AB813" s="9">
        <f t="shared" si="104"/>
        <v>16464.304457273098</v>
      </c>
    </row>
    <row r="814" spans="1:28" x14ac:dyDescent="0.3">
      <c r="A814" s="1">
        <v>45594</v>
      </c>
      <c r="B814" s="2">
        <v>77.52</v>
      </c>
      <c r="C814" s="2">
        <v>84.75</v>
      </c>
      <c r="D814" s="9">
        <f>B814-B813</f>
        <v>-0.15000000000000568</v>
      </c>
      <c r="E814" s="9">
        <f>C814-C813</f>
        <v>-0.21999999999999886</v>
      </c>
      <c r="F814" s="3">
        <f>F$1/B814</f>
        <v>1289.9896800825595</v>
      </c>
      <c r="G814" s="3">
        <f>F$1/C814</f>
        <v>1179.9410029498524</v>
      </c>
      <c r="H814" s="2">
        <f>D814*F813</f>
        <v>-193.12475859405907</v>
      </c>
      <c r="I814" s="2">
        <f>E814*G813</f>
        <v>-258.9149111451087</v>
      </c>
      <c r="J814" s="2">
        <f>I814-H814</f>
        <v>-65.79015255104963</v>
      </c>
      <c r="K814" s="2">
        <f t="shared" si="102"/>
        <v>65.79015255104963</v>
      </c>
      <c r="L814" s="14">
        <f>C814/B814</f>
        <v>1.0932662538699691</v>
      </c>
      <c r="M814" s="14">
        <f t="shared" si="105"/>
        <v>1.0915392211082537</v>
      </c>
      <c r="N814" s="14">
        <f t="shared" si="109"/>
        <v>1.0910864301277841</v>
      </c>
      <c r="O814" s="14">
        <f t="shared" si="101"/>
        <v>1.0925248141769857</v>
      </c>
      <c r="P814" s="14">
        <f t="shared" si="103"/>
        <v>1.0917676693384437</v>
      </c>
      <c r="Q814" s="4" t="str">
        <f t="shared" si="108"/>
        <v>OVER</v>
      </c>
      <c r="R814" s="4" t="str">
        <f t="shared" si="108"/>
        <v>OVER</v>
      </c>
      <c r="S814" s="4" t="str">
        <f t="shared" si="106"/>
        <v>OVER</v>
      </c>
      <c r="T814" s="4" t="str">
        <f t="shared" si="106"/>
        <v>OVER</v>
      </c>
      <c r="U814" s="2">
        <f>IF(Q814="OVER",$J814,$K814)</f>
        <v>-65.79015255104963</v>
      </c>
      <c r="V814" s="2">
        <f>IF(R814="OVER",$J814,$K814)</f>
        <v>-65.79015255104963</v>
      </c>
      <c r="W814" s="2">
        <f>IF(S814="OVER",$J814,$K814)</f>
        <v>-65.79015255104963</v>
      </c>
      <c r="X814" s="2">
        <f>IF(T814="OVER",$J814,$K814)</f>
        <v>-65.79015255104963</v>
      </c>
      <c r="Y814" s="9">
        <f t="shared" si="107"/>
        <v>-33690.287587095707</v>
      </c>
      <c r="Z814" s="9">
        <f t="shared" si="107"/>
        <v>-32435.966020838187</v>
      </c>
      <c r="AA814" s="9">
        <f t="shared" si="107"/>
        <v>45709.10850404104</v>
      </c>
      <c r="AB814" s="9">
        <f t="shared" si="104"/>
        <v>16398.514304722048</v>
      </c>
    </row>
    <row r="815" spans="1:28" x14ac:dyDescent="0.3">
      <c r="A815" s="1">
        <v>45595</v>
      </c>
      <c r="B815" s="2">
        <v>77.39</v>
      </c>
      <c r="C815" s="2">
        <v>84.49</v>
      </c>
      <c r="D815" s="9">
        <f>B815-B814</f>
        <v>-0.12999999999999545</v>
      </c>
      <c r="E815" s="9">
        <f>C815-C814</f>
        <v>-0.26000000000000512</v>
      </c>
      <c r="F815" s="3">
        <f>F$1/B815</f>
        <v>1292.156609381057</v>
      </c>
      <c r="G815" s="3">
        <f>F$1/C815</f>
        <v>1183.5720203574388</v>
      </c>
      <c r="H815" s="2">
        <f>D815*F814</f>
        <v>-167.69865841072686</v>
      </c>
      <c r="I815" s="2">
        <f>E815*G814</f>
        <v>-306.78466076696765</v>
      </c>
      <c r="J815" s="2">
        <f>I815-H815</f>
        <v>-139.08600235624078</v>
      </c>
      <c r="K815" s="2">
        <f t="shared" si="102"/>
        <v>139.08600235624078</v>
      </c>
      <c r="L815" s="14">
        <f>C815/B815</f>
        <v>1.0917431192660549</v>
      </c>
      <c r="M815" s="14">
        <f t="shared" si="105"/>
        <v>1.0916401988423086</v>
      </c>
      <c r="N815" s="14">
        <f t="shared" si="109"/>
        <v>1.0911554744133047</v>
      </c>
      <c r="O815" s="14">
        <f t="shared" si="101"/>
        <v>1.0924834834889499</v>
      </c>
      <c r="P815" s="14">
        <f t="shared" si="103"/>
        <v>1.0917849599840559</v>
      </c>
      <c r="Q815" s="4" t="str">
        <f t="shared" si="108"/>
        <v>OVER</v>
      </c>
      <c r="R815" s="4" t="str">
        <f t="shared" si="108"/>
        <v>OVER</v>
      </c>
      <c r="S815" s="4" t="str">
        <f t="shared" si="106"/>
        <v>UNDER</v>
      </c>
      <c r="T815" s="4" t="str">
        <f t="shared" si="106"/>
        <v>UNDER</v>
      </c>
      <c r="U815" s="2">
        <f>IF(Q815="OVER",$J815,$K815)</f>
        <v>-139.08600235624078</v>
      </c>
      <c r="V815" s="2">
        <f>IF(R815="OVER",$J815,$K815)</f>
        <v>-139.08600235624078</v>
      </c>
      <c r="W815" s="2">
        <f>IF(S815="OVER",$J815,$K815)</f>
        <v>139.08600235624078</v>
      </c>
      <c r="X815" s="2">
        <f>IF(T815="OVER",$J815,$K815)</f>
        <v>139.08600235624078</v>
      </c>
      <c r="Y815" s="9">
        <f t="shared" si="107"/>
        <v>-33829.373589451949</v>
      </c>
      <c r="Z815" s="9">
        <f t="shared" si="107"/>
        <v>-32575.052023194428</v>
      </c>
      <c r="AA815" s="9">
        <f t="shared" si="107"/>
        <v>45848.194506397282</v>
      </c>
      <c r="AB815" s="9">
        <f t="shared" si="104"/>
        <v>16537.60030707829</v>
      </c>
    </row>
    <row r="816" spans="1:28" x14ac:dyDescent="0.3">
      <c r="A816" s="1">
        <v>45596</v>
      </c>
      <c r="B816" s="2">
        <v>76.78</v>
      </c>
      <c r="C816" s="2">
        <v>83.96</v>
      </c>
      <c r="D816" s="9">
        <f>B816-B815</f>
        <v>-0.60999999999999943</v>
      </c>
      <c r="E816" s="9">
        <f>C816-C815</f>
        <v>-0.53000000000000114</v>
      </c>
      <c r="F816" s="3">
        <f>F$1/B816</f>
        <v>1302.4225058609013</v>
      </c>
      <c r="G816" s="3">
        <f>F$1/C816</f>
        <v>1191.043353978085</v>
      </c>
      <c r="H816" s="2">
        <f>D816*F815</f>
        <v>-788.2155317224441</v>
      </c>
      <c r="I816" s="2">
        <f>E816*G815</f>
        <v>-627.29317078944393</v>
      </c>
      <c r="J816" s="2">
        <f>I816-H816</f>
        <v>160.92236093300016</v>
      </c>
      <c r="K816" s="2">
        <f t="shared" si="102"/>
        <v>-160.92236093300016</v>
      </c>
      <c r="L816" s="14">
        <f>C816/B816</f>
        <v>1.0935139359208126</v>
      </c>
      <c r="M816" s="14">
        <f t="shared" si="105"/>
        <v>1.0919042087735833</v>
      </c>
      <c r="N816" s="14">
        <f t="shared" si="109"/>
        <v>1.0913173278816981</v>
      </c>
      <c r="O816" s="14">
        <f t="shared" si="101"/>
        <v>1.0924619437784451</v>
      </c>
      <c r="P816" s="14">
        <f t="shared" si="103"/>
        <v>1.0918131635960215</v>
      </c>
      <c r="Q816" s="4" t="str">
        <f t="shared" si="108"/>
        <v>OVER</v>
      </c>
      <c r="R816" s="4" t="str">
        <f t="shared" si="108"/>
        <v>OVER</v>
      </c>
      <c r="S816" s="4" t="str">
        <f t="shared" si="106"/>
        <v>OVER</v>
      </c>
      <c r="T816" s="4" t="str">
        <f t="shared" si="106"/>
        <v>OVER</v>
      </c>
      <c r="U816" s="2">
        <f>IF(Q816="OVER",$J816,$K816)</f>
        <v>160.92236093300016</v>
      </c>
      <c r="V816" s="2">
        <f>IF(R816="OVER",$J816,$K816)</f>
        <v>160.92236093300016</v>
      </c>
      <c r="W816" s="2">
        <f>IF(S816="OVER",$J816,$K816)</f>
        <v>160.92236093300016</v>
      </c>
      <c r="X816" s="2">
        <f>IF(T816="OVER",$J816,$K816)</f>
        <v>160.92236093300016</v>
      </c>
      <c r="Y816" s="9">
        <f t="shared" si="107"/>
        <v>-33668.451228518948</v>
      </c>
      <c r="Z816" s="9">
        <f t="shared" si="107"/>
        <v>-32414.129662261428</v>
      </c>
      <c r="AA816" s="9">
        <f t="shared" si="107"/>
        <v>46009.116867330282</v>
      </c>
      <c r="AB816" s="9">
        <f t="shared" si="104"/>
        <v>16698.52266801129</v>
      </c>
    </row>
    <row r="817" spans="1:28" x14ac:dyDescent="0.3">
      <c r="A817" s="1">
        <v>45597</v>
      </c>
      <c r="B817" s="2">
        <v>76.72</v>
      </c>
      <c r="C817" s="2">
        <v>83.78</v>
      </c>
      <c r="D817" s="9">
        <f>B817-B816</f>
        <v>-6.0000000000002274E-2</v>
      </c>
      <c r="E817" s="9">
        <f>C817-C816</f>
        <v>-0.17999999999999261</v>
      </c>
      <c r="F817" s="3">
        <f>F$1/B817</f>
        <v>1303.4410844629822</v>
      </c>
      <c r="G817" s="3">
        <f>F$1/C817</f>
        <v>1193.6022917164</v>
      </c>
      <c r="H817" s="2">
        <f>D817*F816</f>
        <v>-78.145350351657044</v>
      </c>
      <c r="I817" s="2">
        <f>E817*G816</f>
        <v>-214.38780371604648</v>
      </c>
      <c r="J817" s="2">
        <f>I817-H817</f>
        <v>-136.24245336438943</v>
      </c>
      <c r="K817" s="2">
        <f t="shared" si="102"/>
        <v>136.24245336438943</v>
      </c>
      <c r="L817" s="14">
        <f>C817/B817</f>
        <v>1.0920229405630866</v>
      </c>
      <c r="M817" s="14">
        <f t="shared" si="105"/>
        <v>1.0920331437565329</v>
      </c>
      <c r="N817" s="14">
        <f t="shared" si="109"/>
        <v>1.0913985166526126</v>
      </c>
      <c r="O817" s="14">
        <f t="shared" si="101"/>
        <v>1.0923750853173508</v>
      </c>
      <c r="P817" s="14">
        <f t="shared" si="103"/>
        <v>1.0918252850823307</v>
      </c>
      <c r="Q817" s="4" t="str">
        <f t="shared" si="108"/>
        <v>OVER</v>
      </c>
      <c r="R817" s="4" t="str">
        <f t="shared" si="108"/>
        <v>OVER</v>
      </c>
      <c r="S817" s="4" t="str">
        <f t="shared" si="106"/>
        <v>UNDER</v>
      </c>
      <c r="T817" s="4" t="str">
        <f t="shared" si="106"/>
        <v>OVER</v>
      </c>
      <c r="U817" s="2">
        <f>IF(Q817="OVER",$J817,$K817)</f>
        <v>-136.24245336438943</v>
      </c>
      <c r="V817" s="2">
        <f>IF(R817="OVER",$J817,$K817)</f>
        <v>-136.24245336438943</v>
      </c>
      <c r="W817" s="2">
        <f>IF(S817="OVER",$J817,$K817)</f>
        <v>136.24245336438943</v>
      </c>
      <c r="X817" s="2">
        <f>IF(T817="OVER",$J817,$K817)</f>
        <v>-136.24245336438943</v>
      </c>
      <c r="Y817" s="9">
        <f t="shared" si="107"/>
        <v>-33804.693681883335</v>
      </c>
      <c r="Z817" s="9">
        <f t="shared" si="107"/>
        <v>-32550.372115625818</v>
      </c>
      <c r="AA817" s="9">
        <f t="shared" si="107"/>
        <v>46145.359320694668</v>
      </c>
      <c r="AB817" s="9">
        <f t="shared" si="104"/>
        <v>16562.2802146469</v>
      </c>
    </row>
    <row r="818" spans="1:28" x14ac:dyDescent="0.3">
      <c r="A818" s="1">
        <v>45600</v>
      </c>
      <c r="B818" s="2">
        <v>76.92</v>
      </c>
      <c r="C818" s="2">
        <v>83.9</v>
      </c>
      <c r="D818" s="9">
        <f>B818-B817</f>
        <v>0.20000000000000284</v>
      </c>
      <c r="E818" s="9">
        <f>C818-C817</f>
        <v>0.12000000000000455</v>
      </c>
      <c r="F818" s="3">
        <f>F$1/B818</f>
        <v>1300.0520020800832</v>
      </c>
      <c r="G818" s="3">
        <f>F$1/C818</f>
        <v>1191.8951132300356</v>
      </c>
      <c r="H818" s="2">
        <f>D818*F817</f>
        <v>260.68821689260017</v>
      </c>
      <c r="I818" s="2">
        <f>E818*G817</f>
        <v>143.23227500597343</v>
      </c>
      <c r="J818" s="2">
        <f>I818-H818</f>
        <v>-117.45594188662673</v>
      </c>
      <c r="K818" s="2">
        <f t="shared" si="102"/>
        <v>117.45594188662673</v>
      </c>
      <c r="L818" s="14">
        <f>C818/B818</f>
        <v>1.0907436297451898</v>
      </c>
      <c r="M818" s="14">
        <f t="shared" si="105"/>
        <v>1.0920201180644713</v>
      </c>
      <c r="N818" s="14">
        <f t="shared" si="109"/>
        <v>1.0913402543064079</v>
      </c>
      <c r="O818" s="14">
        <f t="shared" si="101"/>
        <v>1.0922908481199696</v>
      </c>
      <c r="P818" s="14">
        <f t="shared" si="103"/>
        <v>1.0918388401035075</v>
      </c>
      <c r="Q818" s="4" t="str">
        <f t="shared" si="108"/>
        <v>UNDER</v>
      </c>
      <c r="R818" s="4" t="str">
        <f t="shared" si="108"/>
        <v>OVER</v>
      </c>
      <c r="S818" s="4" t="str">
        <f t="shared" si="106"/>
        <v>UNDER</v>
      </c>
      <c r="T818" s="4" t="str">
        <f t="shared" si="106"/>
        <v>UNDER</v>
      </c>
      <c r="U818" s="2">
        <f>IF(Q818="OVER",$J818,$K818)</f>
        <v>117.45594188662673</v>
      </c>
      <c r="V818" s="2">
        <f>IF(R818="OVER",$J818,$K818)</f>
        <v>-117.45594188662673</v>
      </c>
      <c r="W818" s="2">
        <f>IF(S818="OVER",$J818,$K818)</f>
        <v>117.45594188662673</v>
      </c>
      <c r="X818" s="2">
        <f>IF(T818="OVER",$J818,$K818)</f>
        <v>117.45594188662673</v>
      </c>
      <c r="Y818" s="9">
        <f t="shared" si="107"/>
        <v>-33687.237739996708</v>
      </c>
      <c r="Z818" s="9">
        <f t="shared" si="107"/>
        <v>-32667.828057512445</v>
      </c>
      <c r="AA818" s="9">
        <f t="shared" si="107"/>
        <v>46262.815262581295</v>
      </c>
      <c r="AB818" s="9">
        <f t="shared" si="104"/>
        <v>16679.736156533527</v>
      </c>
    </row>
    <row r="819" spans="1:28" x14ac:dyDescent="0.3">
      <c r="A819" s="1">
        <v>45601</v>
      </c>
      <c r="B819" s="2">
        <v>77.45</v>
      </c>
      <c r="C819" s="2">
        <v>84.68</v>
      </c>
      <c r="D819" s="9">
        <f>B819-B818</f>
        <v>0.53000000000000114</v>
      </c>
      <c r="E819" s="9">
        <f>C819-C818</f>
        <v>0.78000000000000114</v>
      </c>
      <c r="F819" s="3">
        <f>F$1/B819</f>
        <v>1291.1555842479017</v>
      </c>
      <c r="G819" s="3">
        <f>F$1/C819</f>
        <v>1180.9163911195087</v>
      </c>
      <c r="H819" s="2">
        <f>D819*F818</f>
        <v>689.02756110244559</v>
      </c>
      <c r="I819" s="2">
        <f>E819*G818</f>
        <v>929.67818831942907</v>
      </c>
      <c r="J819" s="2">
        <f>I819-H819</f>
        <v>240.65062721698348</v>
      </c>
      <c r="K819" s="2">
        <f t="shared" si="102"/>
        <v>-240.65062721698348</v>
      </c>
      <c r="L819" s="14">
        <f>C819/B819</f>
        <v>1.0933505487411233</v>
      </c>
      <c r="M819" s="14">
        <f t="shared" si="105"/>
        <v>1.092334654161967</v>
      </c>
      <c r="N819" s="14">
        <f t="shared" si="109"/>
        <v>1.0913849425606457</v>
      </c>
      <c r="O819" s="14">
        <f t="shared" si="101"/>
        <v>1.0922704552875826</v>
      </c>
      <c r="P819" s="14">
        <f t="shared" si="103"/>
        <v>1.0918666775550689</v>
      </c>
      <c r="Q819" s="4" t="str">
        <f t="shared" si="108"/>
        <v>UNDER</v>
      </c>
      <c r="R819" s="4" t="str">
        <f t="shared" si="108"/>
        <v>UNDER</v>
      </c>
      <c r="S819" s="4" t="str">
        <f t="shared" si="106"/>
        <v>OVER</v>
      </c>
      <c r="T819" s="4" t="str">
        <f t="shared" si="106"/>
        <v>OVER</v>
      </c>
      <c r="U819" s="2">
        <f>IF(Q819="OVER",$J819,$K819)</f>
        <v>-240.65062721698348</v>
      </c>
      <c r="V819" s="2">
        <f>IF(R819="OVER",$J819,$K819)</f>
        <v>-240.65062721698348</v>
      </c>
      <c r="W819" s="2">
        <f>IF(S819="OVER",$J819,$K819)</f>
        <v>240.65062721698348</v>
      </c>
      <c r="X819" s="2">
        <f>IF(T819="OVER",$J819,$K819)</f>
        <v>240.65062721698348</v>
      </c>
      <c r="Y819" s="9">
        <f t="shared" si="107"/>
        <v>-33927.888367213694</v>
      </c>
      <c r="Z819" s="9">
        <f t="shared" si="107"/>
        <v>-32908.478684729431</v>
      </c>
      <c r="AA819" s="9">
        <f t="shared" si="107"/>
        <v>46503.465889798281</v>
      </c>
      <c r="AB819" s="9">
        <f t="shared" si="104"/>
        <v>16920.386783750509</v>
      </c>
    </row>
    <row r="820" spans="1:28" x14ac:dyDescent="0.3">
      <c r="A820" s="1">
        <v>45602</v>
      </c>
      <c r="B820" s="2">
        <v>78.2</v>
      </c>
      <c r="C820" s="2">
        <v>85.84</v>
      </c>
      <c r="D820" s="9">
        <f>B820-B819</f>
        <v>0.75</v>
      </c>
      <c r="E820" s="9">
        <f>C820-C819</f>
        <v>1.1599999999999966</v>
      </c>
      <c r="F820" s="3">
        <f>F$1/B820</f>
        <v>1278.772378516624</v>
      </c>
      <c r="G820" s="3">
        <f>F$1/C820</f>
        <v>1164.9580615097857</v>
      </c>
      <c r="H820" s="2">
        <f>D820*F819</f>
        <v>968.36668818592625</v>
      </c>
      <c r="I820" s="2">
        <f>E820*G819</f>
        <v>1369.863013698626</v>
      </c>
      <c r="J820" s="2">
        <f>I820-H820</f>
        <v>401.49632551269974</v>
      </c>
      <c r="K820" s="2">
        <f t="shared" si="102"/>
        <v>-401.49632551269974</v>
      </c>
      <c r="L820" s="14">
        <f>C820/B820</f>
        <v>1.09769820971867</v>
      </c>
      <c r="M820" s="14">
        <f t="shared" si="105"/>
        <v>1.0930029430642416</v>
      </c>
      <c r="N820" s="14">
        <f t="shared" si="109"/>
        <v>1.0917386438535783</v>
      </c>
      <c r="O820" s="14">
        <f t="shared" si="101"/>
        <v>1.0923015500105431</v>
      </c>
      <c r="P820" s="14">
        <f t="shared" si="103"/>
        <v>1.0919052035931653</v>
      </c>
      <c r="Q820" s="4" t="str">
        <f t="shared" si="108"/>
        <v>OVER</v>
      </c>
      <c r="R820" s="4" t="str">
        <f t="shared" si="108"/>
        <v>OVER</v>
      </c>
      <c r="S820" s="4" t="str">
        <f t="shared" si="106"/>
        <v>OVER</v>
      </c>
      <c r="T820" s="4" t="str">
        <f t="shared" si="106"/>
        <v>OVER</v>
      </c>
      <c r="U820" s="2">
        <f>IF(Q820="OVER",$J820,$K820)</f>
        <v>401.49632551269974</v>
      </c>
      <c r="V820" s="2">
        <f>IF(R820="OVER",$J820,$K820)</f>
        <v>401.49632551269974</v>
      </c>
      <c r="W820" s="2">
        <f>IF(S820="OVER",$J820,$K820)</f>
        <v>401.49632551269974</v>
      </c>
      <c r="X820" s="2">
        <f>IF(T820="OVER",$J820,$K820)</f>
        <v>401.49632551269974</v>
      </c>
      <c r="Y820" s="9">
        <f t="shared" si="107"/>
        <v>-33526.392041700994</v>
      </c>
      <c r="Z820" s="9">
        <f t="shared" si="107"/>
        <v>-32506.98235921673</v>
      </c>
      <c r="AA820" s="9">
        <f t="shared" si="107"/>
        <v>46904.962215310981</v>
      </c>
      <c r="AB820" s="9">
        <f t="shared" si="104"/>
        <v>17321.88310926321</v>
      </c>
    </row>
    <row r="821" spans="1:28" x14ac:dyDescent="0.3">
      <c r="A821" s="1">
        <v>45603</v>
      </c>
      <c r="B821" s="2">
        <v>78.59</v>
      </c>
      <c r="C821" s="2">
        <v>86.15</v>
      </c>
      <c r="D821" s="9">
        <f>B821-B820</f>
        <v>0.39000000000000057</v>
      </c>
      <c r="E821" s="9">
        <f>C821-C820</f>
        <v>0.31000000000000227</v>
      </c>
      <c r="F821" s="3">
        <f>F$1/B821</f>
        <v>1272.4265173686219</v>
      </c>
      <c r="G821" s="3">
        <f>F$1/C821</f>
        <v>1160.7661056297156</v>
      </c>
      <c r="H821" s="2">
        <f>D821*F820</f>
        <v>498.7212276214841</v>
      </c>
      <c r="I821" s="2">
        <f>E821*G820</f>
        <v>361.13699906803623</v>
      </c>
      <c r="J821" s="2">
        <f>I821-H821</f>
        <v>-137.58422855344787</v>
      </c>
      <c r="K821" s="2">
        <f t="shared" si="102"/>
        <v>137.58422855344787</v>
      </c>
      <c r="L821" s="14">
        <f>C821/B821</f>
        <v>1.0961954447130677</v>
      </c>
      <c r="M821" s="14">
        <f t="shared" si="105"/>
        <v>1.0935680314496607</v>
      </c>
      <c r="N821" s="14">
        <f t="shared" si="109"/>
        <v>1.0919792254887097</v>
      </c>
      <c r="O821" s="14">
        <f t="shared" ref="O821:O884" si="110">AVERAGE(L772:L821)</f>
        <v>1.092329724307648</v>
      </c>
      <c r="P821" s="14">
        <f t="shared" si="103"/>
        <v>1.0919427965035553</v>
      </c>
      <c r="Q821" s="4" t="str">
        <f t="shared" si="108"/>
        <v>OVER</v>
      </c>
      <c r="R821" s="4" t="str">
        <f t="shared" si="108"/>
        <v>OVER</v>
      </c>
      <c r="S821" s="4" t="str">
        <f t="shared" si="106"/>
        <v>OVER</v>
      </c>
      <c r="T821" s="4" t="str">
        <f t="shared" si="106"/>
        <v>OVER</v>
      </c>
      <c r="U821" s="2">
        <f>IF(Q821="OVER",$J821,$K821)</f>
        <v>-137.58422855344787</v>
      </c>
      <c r="V821" s="2">
        <f>IF(R821="OVER",$J821,$K821)</f>
        <v>-137.58422855344787</v>
      </c>
      <c r="W821" s="2">
        <f>IF(S821="OVER",$J821,$K821)</f>
        <v>-137.58422855344787</v>
      </c>
      <c r="X821" s="2">
        <f>IF(T821="OVER",$J821,$K821)</f>
        <v>-137.58422855344787</v>
      </c>
      <c r="Y821" s="9">
        <f t="shared" si="107"/>
        <v>-33663.976270254439</v>
      </c>
      <c r="Z821" s="9">
        <f t="shared" si="107"/>
        <v>-32644.566587770179</v>
      </c>
      <c r="AA821" s="9">
        <f t="shared" si="107"/>
        <v>46767.377986757536</v>
      </c>
      <c r="AB821" s="9">
        <f t="shared" si="104"/>
        <v>17184.298880709761</v>
      </c>
    </row>
    <row r="822" spans="1:28" x14ac:dyDescent="0.3">
      <c r="A822" s="1">
        <v>45604</v>
      </c>
      <c r="B822" s="2">
        <v>78.91</v>
      </c>
      <c r="C822" s="2">
        <v>86.19</v>
      </c>
      <c r="D822" s="9">
        <f>B822-B821</f>
        <v>0.31999999999999318</v>
      </c>
      <c r="E822" s="9">
        <f>C822-C821</f>
        <v>3.9999999999992042E-2</v>
      </c>
      <c r="F822" s="3">
        <f>F$1/B822</f>
        <v>1267.2665061462426</v>
      </c>
      <c r="G822" s="3">
        <f>F$1/C822</f>
        <v>1160.2274045712959</v>
      </c>
      <c r="H822" s="2">
        <f>D822*F821</f>
        <v>407.17648555795034</v>
      </c>
      <c r="I822" s="2">
        <f>E822*G821</f>
        <v>46.430644225179385</v>
      </c>
      <c r="J822" s="2">
        <f>I822-H822</f>
        <v>-360.74584133277096</v>
      </c>
      <c r="K822" s="2">
        <f t="shared" si="102"/>
        <v>360.74584133277096</v>
      </c>
      <c r="L822" s="14">
        <f>C822/B822</f>
        <v>1.0922570016474464</v>
      </c>
      <c r="M822" s="14">
        <f t="shared" si="105"/>
        <v>1.0934778466701194</v>
      </c>
      <c r="N822" s="14">
        <f t="shared" si="109"/>
        <v>1.0921375888054266</v>
      </c>
      <c r="O822" s="14">
        <f t="shared" si="110"/>
        <v>1.092256982114773</v>
      </c>
      <c r="P822" s="14">
        <f t="shared" si="103"/>
        <v>1.0919640590902682</v>
      </c>
      <c r="Q822" s="4" t="str">
        <f t="shared" si="108"/>
        <v>OVER</v>
      </c>
      <c r="R822" s="4" t="str">
        <f t="shared" si="108"/>
        <v>OVER</v>
      </c>
      <c r="S822" s="4" t="str">
        <f t="shared" si="106"/>
        <v>OVER</v>
      </c>
      <c r="T822" s="4" t="str">
        <f t="shared" si="106"/>
        <v>OVER</v>
      </c>
      <c r="U822" s="2">
        <f>IF(Q822="OVER",$J822,$K822)</f>
        <v>-360.74584133277096</v>
      </c>
      <c r="V822" s="2">
        <f>IF(R822="OVER",$J822,$K822)</f>
        <v>-360.74584133277096</v>
      </c>
      <c r="W822" s="2">
        <f>IF(S822="OVER",$J822,$K822)</f>
        <v>-360.74584133277096</v>
      </c>
      <c r="X822" s="2">
        <f>IF(T822="OVER",$J822,$K822)</f>
        <v>-360.74584133277096</v>
      </c>
      <c r="Y822" s="9">
        <f t="shared" si="107"/>
        <v>-34024.722111587209</v>
      </c>
      <c r="Z822" s="9">
        <f t="shared" si="107"/>
        <v>-33005.312429102953</v>
      </c>
      <c r="AA822" s="9">
        <f t="shared" si="107"/>
        <v>46406.632145424766</v>
      </c>
      <c r="AB822" s="9">
        <f t="shared" si="104"/>
        <v>16823.553039376991</v>
      </c>
    </row>
    <row r="823" spans="1:28" x14ac:dyDescent="0.3">
      <c r="A823" s="1">
        <v>45607</v>
      </c>
      <c r="B823" s="2">
        <v>79.94</v>
      </c>
      <c r="C823" s="2">
        <v>87.25</v>
      </c>
      <c r="D823" s="9">
        <f>B823-B822</f>
        <v>1.0300000000000011</v>
      </c>
      <c r="E823" s="9">
        <f>C823-C822</f>
        <v>1.0600000000000023</v>
      </c>
      <c r="F823" s="3">
        <f>F$1/B823</f>
        <v>1250.9382036527395</v>
      </c>
      <c r="G823" s="3">
        <f>F$1/C823</f>
        <v>1146.1318051575931</v>
      </c>
      <c r="H823" s="2">
        <f>D823*F822</f>
        <v>1305.2845013306312</v>
      </c>
      <c r="I823" s="2">
        <f>E823*G822</f>
        <v>1229.8410488455763</v>
      </c>
      <c r="J823" s="2">
        <f>I823-H823</f>
        <v>-75.443452485054877</v>
      </c>
      <c r="K823" s="2">
        <f t="shared" si="102"/>
        <v>75.443452485054877</v>
      </c>
      <c r="L823" s="14">
        <f>C823/B823</f>
        <v>1.0914435826870152</v>
      </c>
      <c r="M823" s="14">
        <f t="shared" si="105"/>
        <v>1.0932234666872438</v>
      </c>
      <c r="N823" s="14">
        <f t="shared" si="109"/>
        <v>1.092212993746229</v>
      </c>
      <c r="O823" s="14">
        <f t="shared" si="110"/>
        <v>1.0922013471054361</v>
      </c>
      <c r="P823" s="14">
        <f t="shared" si="103"/>
        <v>1.0919701122548959</v>
      </c>
      <c r="Q823" s="4" t="str">
        <f t="shared" si="108"/>
        <v>UNDER</v>
      </c>
      <c r="R823" s="4" t="str">
        <f t="shared" si="108"/>
        <v>OVER</v>
      </c>
      <c r="S823" s="4" t="str">
        <f t="shared" si="106"/>
        <v>UNDER</v>
      </c>
      <c r="T823" s="4" t="str">
        <f t="shared" si="106"/>
        <v>UNDER</v>
      </c>
      <c r="U823" s="2">
        <f>IF(Q823="OVER",$J823,$K823)</f>
        <v>75.443452485054877</v>
      </c>
      <c r="V823" s="2">
        <f>IF(R823="OVER",$J823,$K823)</f>
        <v>-75.443452485054877</v>
      </c>
      <c r="W823" s="2">
        <f>IF(S823="OVER",$J823,$K823)</f>
        <v>75.443452485054877</v>
      </c>
      <c r="X823" s="2">
        <f>IF(T823="OVER",$J823,$K823)</f>
        <v>75.443452485054877</v>
      </c>
      <c r="Y823" s="9">
        <f t="shared" si="107"/>
        <v>-33949.278659102158</v>
      </c>
      <c r="Z823" s="9">
        <f t="shared" si="107"/>
        <v>-33080.755881588004</v>
      </c>
      <c r="AA823" s="9">
        <f t="shared" si="107"/>
        <v>46482.075597909818</v>
      </c>
      <c r="AB823" s="9">
        <f t="shared" si="104"/>
        <v>16898.996491862046</v>
      </c>
    </row>
    <row r="824" spans="1:28" x14ac:dyDescent="0.3">
      <c r="A824" s="1">
        <v>45608</v>
      </c>
      <c r="B824" s="2">
        <v>79.540000000000006</v>
      </c>
      <c r="C824" s="2">
        <v>86.97</v>
      </c>
      <c r="D824" s="9">
        <f>B824-B823</f>
        <v>-0.39999999999999147</v>
      </c>
      <c r="E824" s="9">
        <f>C824-C823</f>
        <v>-0.28000000000000114</v>
      </c>
      <c r="F824" s="3">
        <f>F$1/B824</f>
        <v>1257.2290671360322</v>
      </c>
      <c r="G824" s="3">
        <f>F$1/C824</f>
        <v>1149.8217776244683</v>
      </c>
      <c r="H824" s="2">
        <f>D824*F823</f>
        <v>-500.37528146108514</v>
      </c>
      <c r="I824" s="2">
        <f>E824*G823</f>
        <v>-320.91690544412739</v>
      </c>
      <c r="J824" s="2">
        <f>I824-H824</f>
        <v>179.45837601695774</v>
      </c>
      <c r="K824" s="2">
        <f t="shared" si="102"/>
        <v>-179.45837601695774</v>
      </c>
      <c r="L824" s="14">
        <f>C824/B824</f>
        <v>1.0934121196882072</v>
      </c>
      <c r="M824" s="14">
        <f t="shared" si="105"/>
        <v>1.0932380532690673</v>
      </c>
      <c r="N824" s="14">
        <f t="shared" si="109"/>
        <v>1.0923886371886606</v>
      </c>
      <c r="O824" s="14">
        <f t="shared" si="110"/>
        <v>1.0922164759959982</v>
      </c>
      <c r="P824" s="14">
        <f t="shared" si="103"/>
        <v>1.0919870613706169</v>
      </c>
      <c r="Q824" s="4" t="str">
        <f t="shared" si="108"/>
        <v>UNDER</v>
      </c>
      <c r="R824" s="4" t="str">
        <f t="shared" si="108"/>
        <v>UNDER</v>
      </c>
      <c r="S824" s="4" t="str">
        <f t="shared" si="106"/>
        <v>OVER</v>
      </c>
      <c r="T824" s="4" t="str">
        <f t="shared" si="106"/>
        <v>OVER</v>
      </c>
      <c r="U824" s="2">
        <f>IF(Q824="OVER",$J824,$K824)</f>
        <v>-179.45837601695774</v>
      </c>
      <c r="V824" s="2">
        <f>IF(R824="OVER",$J824,$K824)</f>
        <v>-179.45837601695774</v>
      </c>
      <c r="W824" s="2">
        <f>IF(S824="OVER",$J824,$K824)</f>
        <v>179.45837601695774</v>
      </c>
      <c r="X824" s="2">
        <f>IF(T824="OVER",$J824,$K824)</f>
        <v>179.45837601695774</v>
      </c>
      <c r="Y824" s="9">
        <f t="shared" si="107"/>
        <v>-34128.737035119113</v>
      </c>
      <c r="Z824" s="9">
        <f t="shared" si="107"/>
        <v>-33260.214257604959</v>
      </c>
      <c r="AA824" s="9">
        <f t="shared" si="107"/>
        <v>46661.533973926773</v>
      </c>
      <c r="AB824" s="9">
        <f t="shared" si="104"/>
        <v>17078.454867879005</v>
      </c>
    </row>
    <row r="825" spans="1:28" x14ac:dyDescent="0.3">
      <c r="A825" s="1">
        <v>45609</v>
      </c>
      <c r="B825" s="2">
        <v>79.41</v>
      </c>
      <c r="C825" s="2">
        <v>86.77</v>
      </c>
      <c r="D825" s="9">
        <f>B825-B824</f>
        <v>-0.13000000000000966</v>
      </c>
      <c r="E825" s="9">
        <f>C825-C824</f>
        <v>-0.20000000000000284</v>
      </c>
      <c r="F825" s="3">
        <f>F$1/B825</f>
        <v>1259.2872434202243</v>
      </c>
      <c r="G825" s="3">
        <f>F$1/C825</f>
        <v>1152.4720525527257</v>
      </c>
      <c r="H825" s="2">
        <f>D825*F824</f>
        <v>-163.43977872769634</v>
      </c>
      <c r="I825" s="2">
        <f>E825*G824</f>
        <v>-229.96435552489692</v>
      </c>
      <c r="J825" s="2">
        <f>I825-H825</f>
        <v>-66.524576797200581</v>
      </c>
      <c r="K825" s="2">
        <f t="shared" si="102"/>
        <v>66.524576797200581</v>
      </c>
      <c r="L825" s="14">
        <f>C825/B825</f>
        <v>1.0926835411157285</v>
      </c>
      <c r="M825" s="14">
        <f t="shared" si="105"/>
        <v>1.0933320954540346</v>
      </c>
      <c r="N825" s="14">
        <f t="shared" si="109"/>
        <v>1.0924861471481717</v>
      </c>
      <c r="O825" s="14">
        <f t="shared" si="110"/>
        <v>1.092223447418422</v>
      </c>
      <c r="P825" s="14">
        <f t="shared" si="103"/>
        <v>1.0920028533778714</v>
      </c>
      <c r="Q825" s="4" t="str">
        <f t="shared" si="108"/>
        <v>OVER</v>
      </c>
      <c r="R825" s="4" t="str">
        <f t="shared" si="108"/>
        <v>OVER</v>
      </c>
      <c r="S825" s="4" t="str">
        <f t="shared" si="106"/>
        <v>OVER</v>
      </c>
      <c r="T825" s="4" t="str">
        <f t="shared" si="106"/>
        <v>OVER</v>
      </c>
      <c r="U825" s="2">
        <f>IF(Q825="OVER",$J825,$K825)</f>
        <v>-66.524576797200581</v>
      </c>
      <c r="V825" s="2">
        <f>IF(R825="OVER",$J825,$K825)</f>
        <v>-66.524576797200581</v>
      </c>
      <c r="W825" s="2">
        <f>IF(S825="OVER",$J825,$K825)</f>
        <v>-66.524576797200581</v>
      </c>
      <c r="X825" s="2">
        <f>IF(T825="OVER",$J825,$K825)</f>
        <v>-66.524576797200581</v>
      </c>
      <c r="Y825" s="9">
        <f t="shared" si="107"/>
        <v>-34195.261611916314</v>
      </c>
      <c r="Z825" s="9">
        <f t="shared" si="107"/>
        <v>-33326.73883440216</v>
      </c>
      <c r="AA825" s="9">
        <f t="shared" si="107"/>
        <v>46595.009397129572</v>
      </c>
      <c r="AB825" s="9">
        <f t="shared" si="104"/>
        <v>17011.930291081804</v>
      </c>
    </row>
    <row r="826" spans="1:28" x14ac:dyDescent="0.3">
      <c r="A826" s="1">
        <v>45610</v>
      </c>
      <c r="B826" s="2">
        <v>78.849999999999994</v>
      </c>
      <c r="C826" s="2">
        <v>86.27</v>
      </c>
      <c r="D826" s="9">
        <f>B826-B825</f>
        <v>-0.56000000000000227</v>
      </c>
      <c r="E826" s="9">
        <f>C826-C825</f>
        <v>-0.5</v>
      </c>
      <c r="F826" s="3">
        <f>F$1/B826</f>
        <v>1268.2308180088778</v>
      </c>
      <c r="G826" s="3">
        <f>F$1/C826</f>
        <v>1159.1515011011941</v>
      </c>
      <c r="H826" s="2">
        <f>D826*F825</f>
        <v>-705.20085631532845</v>
      </c>
      <c r="I826" s="2">
        <f>E826*G825</f>
        <v>-576.23602627636285</v>
      </c>
      <c r="J826" s="2">
        <f>I826-H826</f>
        <v>128.9648300389656</v>
      </c>
      <c r="K826" s="2">
        <f t="shared" si="102"/>
        <v>-128.9648300389656</v>
      </c>
      <c r="L826" s="14">
        <f>C826/B826</f>
        <v>1.0941027266962589</v>
      </c>
      <c r="M826" s="14">
        <f t="shared" si="105"/>
        <v>1.0933909745315793</v>
      </c>
      <c r="N826" s="14">
        <f t="shared" si="109"/>
        <v>1.0926475916525815</v>
      </c>
      <c r="O826" s="14">
        <f t="shared" si="110"/>
        <v>1.0922113971488536</v>
      </c>
      <c r="P826" s="14">
        <f t="shared" si="103"/>
        <v>1.0920256582680297</v>
      </c>
      <c r="Q826" s="4" t="str">
        <f t="shared" si="108"/>
        <v>UNDER</v>
      </c>
      <c r="R826" s="4" t="str">
        <f t="shared" si="108"/>
        <v>OVER</v>
      </c>
      <c r="S826" s="4" t="str">
        <f t="shared" si="106"/>
        <v>OVER</v>
      </c>
      <c r="T826" s="4" t="str">
        <f t="shared" si="106"/>
        <v>OVER</v>
      </c>
      <c r="U826" s="2">
        <f>IF(Q826="OVER",$J826,$K826)</f>
        <v>-128.9648300389656</v>
      </c>
      <c r="V826" s="2">
        <f>IF(R826="OVER",$J826,$K826)</f>
        <v>128.9648300389656</v>
      </c>
      <c r="W826" s="2">
        <f>IF(S826="OVER",$J826,$K826)</f>
        <v>128.9648300389656</v>
      </c>
      <c r="X826" s="2">
        <f>IF(T826="OVER",$J826,$K826)</f>
        <v>128.9648300389656</v>
      </c>
      <c r="Y826" s="9">
        <f t="shared" si="107"/>
        <v>-34324.226441955281</v>
      </c>
      <c r="Z826" s="9">
        <f t="shared" si="107"/>
        <v>-33197.774004363193</v>
      </c>
      <c r="AA826" s="9">
        <f t="shared" si="107"/>
        <v>46723.974227168539</v>
      </c>
      <c r="AB826" s="9">
        <f t="shared" si="104"/>
        <v>17140.895121120771</v>
      </c>
    </row>
    <row r="827" spans="1:28" x14ac:dyDescent="0.3">
      <c r="A827" s="1">
        <v>45611</v>
      </c>
      <c r="B827" s="2">
        <v>78.739999999999995</v>
      </c>
      <c r="C827" s="2">
        <v>86.04</v>
      </c>
      <c r="D827" s="9">
        <f>B827-B826</f>
        <v>-0.10999999999999943</v>
      </c>
      <c r="E827" s="9">
        <f>C827-C826</f>
        <v>-0.22999999999998977</v>
      </c>
      <c r="F827" s="3">
        <f>F$1/B827</f>
        <v>1270.0025400050802</v>
      </c>
      <c r="G827" s="3">
        <f>F$1/C827</f>
        <v>1162.2501162250114</v>
      </c>
      <c r="H827" s="2">
        <f>D827*F826</f>
        <v>-139.50538998097585</v>
      </c>
      <c r="I827" s="2">
        <f>E827*G826</f>
        <v>-266.60484525326279</v>
      </c>
      <c r="J827" s="2">
        <f>I827-H827</f>
        <v>-127.09945527228695</v>
      </c>
      <c r="K827" s="2">
        <f t="shared" si="102"/>
        <v>127.09945527228695</v>
      </c>
      <c r="L827" s="14">
        <f>C827/B827</f>
        <v>1.0927101854203709</v>
      </c>
      <c r="M827" s="14">
        <f t="shared" si="105"/>
        <v>1.0934596990173078</v>
      </c>
      <c r="N827" s="14">
        <f t="shared" si="109"/>
        <v>1.0927464213869205</v>
      </c>
      <c r="O827" s="14">
        <f t="shared" si="110"/>
        <v>1.0921860563381225</v>
      </c>
      <c r="P827" s="14">
        <f t="shared" si="103"/>
        <v>1.0920655514770106</v>
      </c>
      <c r="Q827" s="4" t="str">
        <f t="shared" si="108"/>
        <v>OVER</v>
      </c>
      <c r="R827" s="4" t="str">
        <f t="shared" si="108"/>
        <v>OVER</v>
      </c>
      <c r="S827" s="4" t="str">
        <f t="shared" si="106"/>
        <v>OVER</v>
      </c>
      <c r="T827" s="4" t="str">
        <f t="shared" si="106"/>
        <v>OVER</v>
      </c>
      <c r="U827" s="2">
        <f>IF(Q827="OVER",$J827,$K827)</f>
        <v>-127.09945527228695</v>
      </c>
      <c r="V827" s="2">
        <f>IF(R827="OVER",$J827,$K827)</f>
        <v>-127.09945527228695</v>
      </c>
      <c r="W827" s="2">
        <f>IF(S827="OVER",$J827,$K827)</f>
        <v>-127.09945527228695</v>
      </c>
      <c r="X827" s="2">
        <f>IF(T827="OVER",$J827,$K827)</f>
        <v>-127.09945527228695</v>
      </c>
      <c r="Y827" s="9">
        <f t="shared" si="107"/>
        <v>-34451.325897227565</v>
      </c>
      <c r="Z827" s="9">
        <f t="shared" si="107"/>
        <v>-33324.873459635477</v>
      </c>
      <c r="AA827" s="9">
        <f t="shared" si="107"/>
        <v>46596.874771896255</v>
      </c>
      <c r="AB827" s="9">
        <f t="shared" si="104"/>
        <v>17013.795665848484</v>
      </c>
    </row>
    <row r="828" spans="1:28" x14ac:dyDescent="0.3">
      <c r="A828" s="1">
        <v>45614</v>
      </c>
      <c r="B828" s="2">
        <v>79.209999999999994</v>
      </c>
      <c r="C828" s="2">
        <v>86.51</v>
      </c>
      <c r="D828" s="9">
        <f>B828-B827</f>
        <v>0.46999999999999886</v>
      </c>
      <c r="E828" s="9">
        <f>C828-C827</f>
        <v>0.46999999999999886</v>
      </c>
      <c r="F828" s="3">
        <f>F$1/B828</f>
        <v>1262.4668602449187</v>
      </c>
      <c r="G828" s="3">
        <f>F$1/C828</f>
        <v>1155.9357299734133</v>
      </c>
      <c r="H828" s="2">
        <f>D828*F827</f>
        <v>596.90119380238627</v>
      </c>
      <c r="I828" s="2">
        <f>E828*G827</f>
        <v>546.2575546257541</v>
      </c>
      <c r="J828" s="2">
        <f>I828-H828</f>
        <v>-50.643639176632178</v>
      </c>
      <c r="K828" s="2">
        <f t="shared" si="102"/>
        <v>50.643639176632178</v>
      </c>
      <c r="L828" s="14">
        <f>C828/B828</f>
        <v>1.0921600807978793</v>
      </c>
      <c r="M828" s="14">
        <f t="shared" si="105"/>
        <v>1.0936013441225767</v>
      </c>
      <c r="N828" s="14">
        <f t="shared" si="109"/>
        <v>1.092810731093524</v>
      </c>
      <c r="O828" s="14">
        <f t="shared" si="110"/>
        <v>1.0921693017177565</v>
      </c>
      <c r="P828" s="14">
        <f t="shared" si="103"/>
        <v>1.0920951605048277</v>
      </c>
      <c r="Q828" s="4" t="str">
        <f t="shared" si="108"/>
        <v>UNDER</v>
      </c>
      <c r="R828" s="4" t="str">
        <f t="shared" si="108"/>
        <v>UNDER</v>
      </c>
      <c r="S828" s="4" t="str">
        <f t="shared" si="106"/>
        <v>UNDER</v>
      </c>
      <c r="T828" s="4" t="str">
        <f t="shared" si="106"/>
        <v>OVER</v>
      </c>
      <c r="U828" s="2">
        <f>IF(Q828="OVER",$J828,$K828)</f>
        <v>50.643639176632178</v>
      </c>
      <c r="V828" s="2">
        <f>IF(R828="OVER",$J828,$K828)</f>
        <v>50.643639176632178</v>
      </c>
      <c r="W828" s="2">
        <f>IF(S828="OVER",$J828,$K828)</f>
        <v>50.643639176632178</v>
      </c>
      <c r="X828" s="2">
        <f>IF(T828="OVER",$J828,$K828)</f>
        <v>-50.643639176632178</v>
      </c>
      <c r="Y828" s="9">
        <f t="shared" si="107"/>
        <v>-34400.682258050932</v>
      </c>
      <c r="Z828" s="9">
        <f t="shared" si="107"/>
        <v>-33274.229820458844</v>
      </c>
      <c r="AA828" s="9">
        <f t="shared" si="107"/>
        <v>46647.518411072888</v>
      </c>
      <c r="AB828" s="9">
        <f t="shared" si="104"/>
        <v>16963.152026671851</v>
      </c>
    </row>
    <row r="829" spans="1:28" x14ac:dyDescent="0.3">
      <c r="A829" s="1">
        <v>45615</v>
      </c>
      <c r="B829" s="2">
        <v>79.89</v>
      </c>
      <c r="C829" s="2">
        <v>87.29</v>
      </c>
      <c r="D829" s="9">
        <f>B829-B828</f>
        <v>0.68000000000000682</v>
      </c>
      <c r="E829" s="9">
        <f>C829-C828</f>
        <v>0.78000000000000114</v>
      </c>
      <c r="F829" s="3">
        <f>F$1/B829</f>
        <v>1251.721116535236</v>
      </c>
      <c r="G829" s="3">
        <f>F$1/C829</f>
        <v>1145.6065986940084</v>
      </c>
      <c r="H829" s="2">
        <f>D829*F828</f>
        <v>858.47746496655338</v>
      </c>
      <c r="I829" s="2">
        <f>E829*G828</f>
        <v>901.62986937926371</v>
      </c>
      <c r="J829" s="2">
        <f>I829-H829</f>
        <v>43.152404412710325</v>
      </c>
      <c r="K829" s="2">
        <f t="shared" si="102"/>
        <v>-43.152404412710325</v>
      </c>
      <c r="L829" s="14">
        <f>C829/B829</f>
        <v>1.0926273626236076</v>
      </c>
      <c r="M829" s="14">
        <f t="shared" si="105"/>
        <v>1.0935290255108252</v>
      </c>
      <c r="N829" s="14">
        <f t="shared" si="109"/>
        <v>1.0929318398363961</v>
      </c>
      <c r="O829" s="14">
        <f t="shared" si="110"/>
        <v>1.0921144845761857</v>
      </c>
      <c r="P829" s="14">
        <f t="shared" si="103"/>
        <v>1.0921136806324891</v>
      </c>
      <c r="Q829" s="4" t="str">
        <f t="shared" si="108"/>
        <v>UNDER</v>
      </c>
      <c r="R829" s="4" t="str">
        <f t="shared" si="108"/>
        <v>UNDER</v>
      </c>
      <c r="S829" s="4" t="str">
        <f t="shared" si="106"/>
        <v>OVER</v>
      </c>
      <c r="T829" s="4" t="str">
        <f t="shared" si="106"/>
        <v>OVER</v>
      </c>
      <c r="U829" s="2">
        <f>IF(Q829="OVER",$J829,$K829)</f>
        <v>-43.152404412710325</v>
      </c>
      <c r="V829" s="2">
        <f>IF(R829="OVER",$J829,$K829)</f>
        <v>-43.152404412710325</v>
      </c>
      <c r="W829" s="2">
        <f>IF(S829="OVER",$J829,$K829)</f>
        <v>43.152404412710325</v>
      </c>
      <c r="X829" s="2">
        <f>IF(T829="OVER",$J829,$K829)</f>
        <v>43.152404412710325</v>
      </c>
      <c r="Y829" s="9">
        <f t="shared" si="107"/>
        <v>-34443.83466246364</v>
      </c>
      <c r="Z829" s="9">
        <f t="shared" si="107"/>
        <v>-33317.382224871551</v>
      </c>
      <c r="AA829" s="9">
        <f t="shared" si="107"/>
        <v>46690.670815485595</v>
      </c>
      <c r="AB829" s="9">
        <f t="shared" si="104"/>
        <v>17006.304431084562</v>
      </c>
    </row>
    <row r="830" spans="1:28" x14ac:dyDescent="0.3">
      <c r="A830" s="1">
        <v>45616</v>
      </c>
      <c r="B830" s="2">
        <v>80.27</v>
      </c>
      <c r="C830" s="2">
        <v>87.63</v>
      </c>
      <c r="D830" s="9">
        <f>B830-B829</f>
        <v>0.37999999999999545</v>
      </c>
      <c r="E830" s="9">
        <f>C830-C829</f>
        <v>0.3399999999999892</v>
      </c>
      <c r="F830" s="3">
        <f>F$1/B830</f>
        <v>1245.7954403886883</v>
      </c>
      <c r="G830" s="3">
        <f>F$1/C830</f>
        <v>1141.1617026132603</v>
      </c>
      <c r="H830" s="2">
        <f>D830*F829</f>
        <v>475.65402428338399</v>
      </c>
      <c r="I830" s="2">
        <f>E830*G829</f>
        <v>389.5062435559505</v>
      </c>
      <c r="J830" s="2">
        <f>I830-H830</f>
        <v>-86.147780727433485</v>
      </c>
      <c r="K830" s="2">
        <f t="shared" si="102"/>
        <v>86.147780727433485</v>
      </c>
      <c r="L830" s="14">
        <f>C830/B830</f>
        <v>1.0916905444126075</v>
      </c>
      <c r="M830" s="14">
        <f t="shared" si="105"/>
        <v>1.0929282589802189</v>
      </c>
      <c r="N830" s="14">
        <f t="shared" si="109"/>
        <v>1.0929656010222302</v>
      </c>
      <c r="O830" s="14">
        <f t="shared" si="110"/>
        <v>1.092105440260204</v>
      </c>
      <c r="P830" s="14">
        <f t="shared" si="103"/>
        <v>1.0921321725867223</v>
      </c>
      <c r="Q830" s="4" t="str">
        <f t="shared" si="108"/>
        <v>UNDER</v>
      </c>
      <c r="R830" s="4" t="str">
        <f t="shared" si="108"/>
        <v>UNDER</v>
      </c>
      <c r="S830" s="4" t="str">
        <f t="shared" si="106"/>
        <v>UNDER</v>
      </c>
      <c r="T830" s="4" t="str">
        <f t="shared" si="106"/>
        <v>UNDER</v>
      </c>
      <c r="U830" s="2">
        <f>IF(Q830="OVER",$J830,$K830)</f>
        <v>86.147780727433485</v>
      </c>
      <c r="V830" s="2">
        <f>IF(R830="OVER",$J830,$K830)</f>
        <v>86.147780727433485</v>
      </c>
      <c r="W830" s="2">
        <f>IF(S830="OVER",$J830,$K830)</f>
        <v>86.147780727433485</v>
      </c>
      <c r="X830" s="2">
        <f>IF(T830="OVER",$J830,$K830)</f>
        <v>86.147780727433485</v>
      </c>
      <c r="Y830" s="9">
        <f t="shared" si="107"/>
        <v>-34357.686881736205</v>
      </c>
      <c r="Z830" s="9">
        <f t="shared" si="107"/>
        <v>-33231.234444144116</v>
      </c>
      <c r="AA830" s="9">
        <f t="shared" si="107"/>
        <v>46776.81859621303</v>
      </c>
      <c r="AB830" s="9">
        <f t="shared" si="104"/>
        <v>17092.452211811997</v>
      </c>
    </row>
    <row r="831" spans="1:28" x14ac:dyDescent="0.3">
      <c r="A831" s="1">
        <v>45617</v>
      </c>
      <c r="B831" s="2">
        <v>80.56</v>
      </c>
      <c r="C831" s="2">
        <v>87.94</v>
      </c>
      <c r="D831" s="9">
        <f>B831-B830</f>
        <v>0.29000000000000625</v>
      </c>
      <c r="E831" s="9">
        <f>C831-C830</f>
        <v>0.31000000000000227</v>
      </c>
      <c r="F831" s="3">
        <f>F$1/B831</f>
        <v>1241.3108242303872</v>
      </c>
      <c r="G831" s="3">
        <f>F$1/C831</f>
        <v>1137.1389583807143</v>
      </c>
      <c r="H831" s="2">
        <f>D831*F830</f>
        <v>361.28067771272742</v>
      </c>
      <c r="I831" s="2">
        <f>E831*G830</f>
        <v>353.76012781011332</v>
      </c>
      <c r="J831" s="2">
        <f>I831-H831</f>
        <v>-7.5205499026141069</v>
      </c>
      <c r="K831" s="2">
        <f t="shared" si="102"/>
        <v>7.5205499026141069</v>
      </c>
      <c r="L831" s="14">
        <f>C831/B831</f>
        <v>1.0916087388282025</v>
      </c>
      <c r="M831" s="14">
        <f t="shared" si="105"/>
        <v>1.0924695883917326</v>
      </c>
      <c r="N831" s="14">
        <f t="shared" si="109"/>
        <v>1.0930188099206963</v>
      </c>
      <c r="O831" s="14">
        <f t="shared" si="110"/>
        <v>1.0920758913187323</v>
      </c>
      <c r="P831" s="14">
        <f t="shared" si="103"/>
        <v>1.0921546128687531</v>
      </c>
      <c r="Q831" s="4" t="str">
        <f t="shared" si="108"/>
        <v>UNDER</v>
      </c>
      <c r="R831" s="4" t="str">
        <f t="shared" si="108"/>
        <v>UNDER</v>
      </c>
      <c r="S831" s="4" t="str">
        <f t="shared" si="106"/>
        <v>UNDER</v>
      </c>
      <c r="T831" s="4" t="str">
        <f t="shared" si="106"/>
        <v>UNDER</v>
      </c>
      <c r="U831" s="2">
        <f>IF(Q831="OVER",$J831,$K831)</f>
        <v>7.5205499026141069</v>
      </c>
      <c r="V831" s="2">
        <f>IF(R831="OVER",$J831,$K831)</f>
        <v>7.5205499026141069</v>
      </c>
      <c r="W831" s="2">
        <f>IF(S831="OVER",$J831,$K831)</f>
        <v>7.5205499026141069</v>
      </c>
      <c r="X831" s="2">
        <f>IF(T831="OVER",$J831,$K831)</f>
        <v>7.5205499026141069</v>
      </c>
      <c r="Y831" s="9">
        <f t="shared" si="107"/>
        <v>-34350.166331833592</v>
      </c>
      <c r="Z831" s="9">
        <f t="shared" si="107"/>
        <v>-33223.713894241504</v>
      </c>
      <c r="AA831" s="9">
        <f t="shared" si="107"/>
        <v>46784.339146115643</v>
      </c>
      <c r="AB831" s="9">
        <f t="shared" si="104"/>
        <v>17099.972761714609</v>
      </c>
    </row>
    <row r="832" spans="1:28" x14ac:dyDescent="0.3">
      <c r="A832" s="1">
        <v>45618</v>
      </c>
      <c r="B832" s="2">
        <v>81.12</v>
      </c>
      <c r="C832" s="2">
        <v>88.57</v>
      </c>
      <c r="D832" s="9">
        <f>B832-B831</f>
        <v>0.56000000000000227</v>
      </c>
      <c r="E832" s="9">
        <f>C832-C831</f>
        <v>0.62999999999999545</v>
      </c>
      <c r="F832" s="3">
        <f>F$1/B832</f>
        <v>1232.7416173570018</v>
      </c>
      <c r="G832" s="3">
        <f>F$1/C832</f>
        <v>1129.0504685559445</v>
      </c>
      <c r="H832" s="2">
        <f>D832*F831</f>
        <v>695.13406156901965</v>
      </c>
      <c r="I832" s="2">
        <f>E832*G831</f>
        <v>716.3975437798448</v>
      </c>
      <c r="J832" s="2">
        <f>I832-H832</f>
        <v>21.263482210825146</v>
      </c>
      <c r="K832" s="2">
        <f t="shared" si="102"/>
        <v>-21.263482210825146</v>
      </c>
      <c r="L832" s="14">
        <f>C832/B832</f>
        <v>1.0918392504930965</v>
      </c>
      <c r="M832" s="14">
        <f t="shared" si="105"/>
        <v>1.0924278132762975</v>
      </c>
      <c r="N832" s="14">
        <f t="shared" si="109"/>
        <v>1.0929528299732083</v>
      </c>
      <c r="O832" s="14">
        <f t="shared" si="110"/>
        <v>1.0920695812184384</v>
      </c>
      <c r="P832" s="14">
        <f t="shared" si="103"/>
        <v>1.0921726121831534</v>
      </c>
      <c r="Q832" s="4" t="str">
        <f t="shared" si="108"/>
        <v>UNDER</v>
      </c>
      <c r="R832" s="4" t="str">
        <f t="shared" si="108"/>
        <v>UNDER</v>
      </c>
      <c r="S832" s="4" t="str">
        <f t="shared" si="106"/>
        <v>UNDER</v>
      </c>
      <c r="T832" s="4" t="str">
        <f t="shared" si="106"/>
        <v>UNDER</v>
      </c>
      <c r="U832" s="2">
        <f>IF(Q832="OVER",$J832,$K832)</f>
        <v>-21.263482210825146</v>
      </c>
      <c r="V832" s="2">
        <f>IF(R832="OVER",$J832,$K832)</f>
        <v>-21.263482210825146</v>
      </c>
      <c r="W832" s="2">
        <f>IF(S832="OVER",$J832,$K832)</f>
        <v>-21.263482210825146</v>
      </c>
      <c r="X832" s="2">
        <f>IF(T832="OVER",$J832,$K832)</f>
        <v>-21.263482210825146</v>
      </c>
      <c r="Y832" s="9">
        <f t="shared" si="107"/>
        <v>-34371.429814044415</v>
      </c>
      <c r="Z832" s="9">
        <f t="shared" si="107"/>
        <v>-33244.977376452327</v>
      </c>
      <c r="AA832" s="9">
        <f t="shared" si="107"/>
        <v>46763.07566390482</v>
      </c>
      <c r="AB832" s="9">
        <f t="shared" si="104"/>
        <v>17078.709279503782</v>
      </c>
    </row>
    <row r="833" spans="1:28" x14ac:dyDescent="0.3">
      <c r="A833" s="1">
        <v>45621</v>
      </c>
      <c r="B833" s="2">
        <v>81.61</v>
      </c>
      <c r="C833" s="2">
        <v>88.97</v>
      </c>
      <c r="D833" s="9">
        <f>B833-B832</f>
        <v>0.48999999999999488</v>
      </c>
      <c r="E833" s="9">
        <f>C833-C832</f>
        <v>0.40000000000000568</v>
      </c>
      <c r="F833" s="3">
        <f>F$1/B833</f>
        <v>1225.3400318588408</v>
      </c>
      <c r="G833" s="3">
        <f>F$1/C833</f>
        <v>1123.9743733842868</v>
      </c>
      <c r="H833" s="2">
        <f>D833*F832</f>
        <v>604.04339250492455</v>
      </c>
      <c r="I833" s="2">
        <f>E833*G832</f>
        <v>451.62018742238422</v>
      </c>
      <c r="J833" s="2">
        <f>I833-H833</f>
        <v>-152.42320508254033</v>
      </c>
      <c r="K833" s="2">
        <f t="shared" si="102"/>
        <v>152.42320508254033</v>
      </c>
      <c r="L833" s="14">
        <f>C833/B833</f>
        <v>1.0901850263448107</v>
      </c>
      <c r="M833" s="14">
        <f t="shared" si="105"/>
        <v>1.0923019576420772</v>
      </c>
      <c r="N833" s="14">
        <f t="shared" si="109"/>
        <v>1.0927627121646601</v>
      </c>
      <c r="O833" s="14">
        <f t="shared" si="110"/>
        <v>1.0920363557846975</v>
      </c>
      <c r="P833" s="14">
        <f t="shared" si="103"/>
        <v>1.0921792622940847</v>
      </c>
      <c r="Q833" s="4" t="str">
        <f t="shared" si="108"/>
        <v>UNDER</v>
      </c>
      <c r="R833" s="4" t="str">
        <f t="shared" si="108"/>
        <v>UNDER</v>
      </c>
      <c r="S833" s="4" t="str">
        <f t="shared" si="106"/>
        <v>UNDER</v>
      </c>
      <c r="T833" s="4" t="str">
        <f t="shared" si="106"/>
        <v>UNDER</v>
      </c>
      <c r="U833" s="2">
        <f>IF(Q833="OVER",$J833,$K833)</f>
        <v>152.42320508254033</v>
      </c>
      <c r="V833" s="2">
        <f>IF(R833="OVER",$J833,$K833)</f>
        <v>152.42320508254033</v>
      </c>
      <c r="W833" s="2">
        <f>IF(S833="OVER",$J833,$K833)</f>
        <v>152.42320508254033</v>
      </c>
      <c r="X833" s="2">
        <f>IF(T833="OVER",$J833,$K833)</f>
        <v>152.42320508254033</v>
      </c>
      <c r="Y833" s="9">
        <f t="shared" si="107"/>
        <v>-34219.006608961878</v>
      </c>
      <c r="Z833" s="9">
        <f t="shared" si="107"/>
        <v>-33092.554171369789</v>
      </c>
      <c r="AA833" s="9">
        <f t="shared" si="107"/>
        <v>46915.498868987357</v>
      </c>
      <c r="AB833" s="9">
        <f t="shared" si="104"/>
        <v>17231.132484586324</v>
      </c>
    </row>
    <row r="834" spans="1:28" x14ac:dyDescent="0.3">
      <c r="A834" s="1">
        <v>45622</v>
      </c>
      <c r="B834" s="2">
        <v>81.28</v>
      </c>
      <c r="C834" s="2">
        <v>88.63</v>
      </c>
      <c r="D834" s="9">
        <f>B834-B833</f>
        <v>-0.32999999999999829</v>
      </c>
      <c r="E834" s="9">
        <f>C834-C833</f>
        <v>-0.34000000000000341</v>
      </c>
      <c r="F834" s="3">
        <f>F$1/B834</f>
        <v>1230.3149606299212</v>
      </c>
      <c r="G834" s="3">
        <f>F$1/C834</f>
        <v>1128.286133363421</v>
      </c>
      <c r="H834" s="2">
        <f>D834*F833</f>
        <v>-404.36221051341539</v>
      </c>
      <c r="I834" s="2">
        <f>E834*G833</f>
        <v>-382.15128695066136</v>
      </c>
      <c r="J834" s="2">
        <f>I834-H834</f>
        <v>22.210923562754033</v>
      </c>
      <c r="K834" s="2">
        <f t="shared" si="102"/>
        <v>-22.210923562754033</v>
      </c>
      <c r="L834" s="14">
        <f>C834/B834</f>
        <v>1.0904281496062991</v>
      </c>
      <c r="M834" s="14">
        <f t="shared" si="105"/>
        <v>1.092003560633886</v>
      </c>
      <c r="N834" s="14">
        <f t="shared" si="109"/>
        <v>1.0926208069514767</v>
      </c>
      <c r="O834" s="14">
        <f t="shared" si="110"/>
        <v>1.0919764344143534</v>
      </c>
      <c r="P834" s="14">
        <f t="shared" si="103"/>
        <v>1.0921823302494231</v>
      </c>
      <c r="Q834" s="4" t="str">
        <f t="shared" si="108"/>
        <v>UNDER</v>
      </c>
      <c r="R834" s="4" t="str">
        <f t="shared" si="108"/>
        <v>UNDER</v>
      </c>
      <c r="S834" s="4" t="str">
        <f t="shared" si="106"/>
        <v>UNDER</v>
      </c>
      <c r="T834" s="4" t="str">
        <f t="shared" si="106"/>
        <v>UNDER</v>
      </c>
      <c r="U834" s="2">
        <f>IF(Q834="OVER",$J834,$K834)</f>
        <v>-22.210923562754033</v>
      </c>
      <c r="V834" s="2">
        <f>IF(R834="OVER",$J834,$K834)</f>
        <v>-22.210923562754033</v>
      </c>
      <c r="W834" s="2">
        <f>IF(S834="OVER",$J834,$K834)</f>
        <v>-22.210923562754033</v>
      </c>
      <c r="X834" s="2">
        <f>IF(T834="OVER",$J834,$K834)</f>
        <v>-22.210923562754033</v>
      </c>
      <c r="Y834" s="9">
        <f t="shared" si="107"/>
        <v>-34241.217532524635</v>
      </c>
      <c r="Z834" s="9">
        <f t="shared" si="107"/>
        <v>-33114.765094932547</v>
      </c>
      <c r="AA834" s="9">
        <f t="shared" si="107"/>
        <v>46893.287945424599</v>
      </c>
      <c r="AB834" s="9">
        <f t="shared" si="104"/>
        <v>17208.92156102357</v>
      </c>
    </row>
    <row r="835" spans="1:28" x14ac:dyDescent="0.3">
      <c r="A835" s="1">
        <v>45623</v>
      </c>
      <c r="B835" s="2">
        <v>81.56</v>
      </c>
      <c r="C835" s="2">
        <v>89.07</v>
      </c>
      <c r="D835" s="9">
        <f>B835-B834</f>
        <v>0.28000000000000114</v>
      </c>
      <c r="E835" s="9">
        <f>C835-C834</f>
        <v>0.43999999999999773</v>
      </c>
      <c r="F835" s="3">
        <f>F$1/B835</f>
        <v>1226.0912211868563</v>
      </c>
      <c r="G835" s="3">
        <f>F$1/C835</f>
        <v>1122.7124733355788</v>
      </c>
      <c r="H835" s="2">
        <f>D835*F834</f>
        <v>344.48818897637932</v>
      </c>
      <c r="I835" s="2">
        <f>E835*G834</f>
        <v>496.44589867990265</v>
      </c>
      <c r="J835" s="2">
        <f>I835-H835</f>
        <v>151.95770970352334</v>
      </c>
      <c r="K835" s="2">
        <f t="shared" si="102"/>
        <v>-151.95770970352334</v>
      </c>
      <c r="L835" s="14">
        <f>C835/B835</f>
        <v>1.0920794507111329</v>
      </c>
      <c r="M835" s="14">
        <f t="shared" si="105"/>
        <v>1.0919431515934268</v>
      </c>
      <c r="N835" s="14">
        <f t="shared" si="109"/>
        <v>1.0926376235237307</v>
      </c>
      <c r="O835" s="14">
        <f t="shared" si="110"/>
        <v>1.0919560651621234</v>
      </c>
      <c r="P835" s="14">
        <f t="shared" si="103"/>
        <v>1.0921947991715115</v>
      </c>
      <c r="Q835" s="4" t="str">
        <f t="shared" si="108"/>
        <v>UNDER</v>
      </c>
      <c r="R835" s="4" t="str">
        <f t="shared" si="108"/>
        <v>UNDER</v>
      </c>
      <c r="S835" s="4" t="str">
        <f t="shared" si="106"/>
        <v>OVER</v>
      </c>
      <c r="T835" s="4" t="str">
        <f t="shared" si="106"/>
        <v>UNDER</v>
      </c>
      <c r="U835" s="2">
        <f>IF(Q835="OVER",$J835,$K835)</f>
        <v>-151.95770970352334</v>
      </c>
      <c r="V835" s="2">
        <f>IF(R835="OVER",$J835,$K835)</f>
        <v>-151.95770970352334</v>
      </c>
      <c r="W835" s="2">
        <f>IF(S835="OVER",$J835,$K835)</f>
        <v>151.95770970352334</v>
      </c>
      <c r="X835" s="2">
        <f>IF(T835="OVER",$J835,$K835)</f>
        <v>-151.95770970352334</v>
      </c>
      <c r="Y835" s="9">
        <f t="shared" si="107"/>
        <v>-34393.175242228157</v>
      </c>
      <c r="Z835" s="9">
        <f t="shared" si="107"/>
        <v>-33266.722804636069</v>
      </c>
      <c r="AA835" s="9">
        <f t="shared" si="107"/>
        <v>47045.245655128121</v>
      </c>
      <c r="AB835" s="9">
        <f t="shared" si="104"/>
        <v>17056.963851320048</v>
      </c>
    </row>
    <row r="836" spans="1:28" x14ac:dyDescent="0.3">
      <c r="A836" s="1">
        <v>45625</v>
      </c>
      <c r="B836" s="2">
        <v>81.86</v>
      </c>
      <c r="C836" s="2">
        <v>89.28</v>
      </c>
      <c r="D836" s="9">
        <f>B836-B835</f>
        <v>0.29999999999999716</v>
      </c>
      <c r="E836" s="9">
        <f>C836-C835</f>
        <v>0.21000000000000796</v>
      </c>
      <c r="F836" s="3">
        <f>F$1/B836</f>
        <v>1221.597849987784</v>
      </c>
      <c r="G836" s="3">
        <f>F$1/C836</f>
        <v>1120.0716845878137</v>
      </c>
      <c r="H836" s="2">
        <f>D836*F835</f>
        <v>367.8273663560534</v>
      </c>
      <c r="I836" s="2">
        <f>E836*G835</f>
        <v>235.76961940048048</v>
      </c>
      <c r="J836" s="2">
        <f>I836-H836</f>
        <v>-132.05774695557292</v>
      </c>
      <c r="K836" s="2">
        <f t="shared" si="102"/>
        <v>132.05774695557292</v>
      </c>
      <c r="L836" s="14">
        <f>C836/B836</f>
        <v>1.0906425604690937</v>
      </c>
      <c r="M836" s="14">
        <f t="shared" si="105"/>
        <v>1.0915971349707101</v>
      </c>
      <c r="N836" s="14">
        <f t="shared" si="109"/>
        <v>1.0924940547511446</v>
      </c>
      <c r="O836" s="14">
        <f t="shared" si="110"/>
        <v>1.0918861266605533</v>
      </c>
      <c r="P836" s="14">
        <f t="shared" si="103"/>
        <v>1.092204833313118</v>
      </c>
      <c r="Q836" s="4" t="str">
        <f t="shared" si="108"/>
        <v>OVER</v>
      </c>
      <c r="R836" s="4" t="str">
        <f t="shared" si="108"/>
        <v>UNDER</v>
      </c>
      <c r="S836" s="4" t="str">
        <f t="shared" si="106"/>
        <v>UNDER</v>
      </c>
      <c r="T836" s="4" t="str">
        <f t="shared" si="106"/>
        <v>UNDER</v>
      </c>
      <c r="U836" s="2">
        <f>IF(Q836="OVER",$J836,$K836)</f>
        <v>-132.05774695557292</v>
      </c>
      <c r="V836" s="2">
        <f>IF(R836="OVER",$J836,$K836)</f>
        <v>132.05774695557292</v>
      </c>
      <c r="W836" s="2">
        <f>IF(S836="OVER",$J836,$K836)</f>
        <v>132.05774695557292</v>
      </c>
      <c r="X836" s="2">
        <f>IF(T836="OVER",$J836,$K836)</f>
        <v>132.05774695557292</v>
      </c>
      <c r="Y836" s="9">
        <f t="shared" si="107"/>
        <v>-34525.232989183729</v>
      </c>
      <c r="Z836" s="9">
        <f t="shared" si="107"/>
        <v>-33134.665057680497</v>
      </c>
      <c r="AA836" s="9">
        <f t="shared" si="107"/>
        <v>47177.303402083693</v>
      </c>
      <c r="AB836" s="9">
        <f t="shared" si="104"/>
        <v>17189.02159827562</v>
      </c>
    </row>
    <row r="837" spans="1:28" x14ac:dyDescent="0.3">
      <c r="A837" s="1">
        <v>45628</v>
      </c>
      <c r="B837" s="2">
        <v>82.24</v>
      </c>
      <c r="C837" s="2">
        <v>88.96</v>
      </c>
      <c r="D837" s="9">
        <f>B837-B836</f>
        <v>0.37999999999999545</v>
      </c>
      <c r="E837" s="9">
        <f>C837-C836</f>
        <v>-0.32000000000000739</v>
      </c>
      <c r="F837" s="3">
        <f>F$1/B837</f>
        <v>1215.9533073929963</v>
      </c>
      <c r="G837" s="3">
        <f>F$1/C837</f>
        <v>1124.1007194244605</v>
      </c>
      <c r="H837" s="2">
        <f>D837*F836</f>
        <v>464.20718299535235</v>
      </c>
      <c r="I837" s="2">
        <f>E837*G836</f>
        <v>-358.42293906810869</v>
      </c>
      <c r="J837" s="2">
        <f>I837-H837</f>
        <v>-822.63012206346104</v>
      </c>
      <c r="K837" s="2">
        <f t="shared" ref="K837:K900" si="111">H837-I837</f>
        <v>822.63012206346104</v>
      </c>
      <c r="L837" s="14">
        <f>C837/B837</f>
        <v>1.0817120622568093</v>
      </c>
      <c r="M837" s="14">
        <f t="shared" si="105"/>
        <v>1.090497322654354</v>
      </c>
      <c r="N837" s="14">
        <f t="shared" si="109"/>
        <v>1.0919785108358309</v>
      </c>
      <c r="O837" s="14">
        <f t="shared" si="110"/>
        <v>1.0916193988362617</v>
      </c>
      <c r="P837" s="14">
        <f t="shared" si="103"/>
        <v>1.0921695492815133</v>
      </c>
      <c r="Q837" s="4" t="str">
        <f t="shared" si="108"/>
        <v>UNDER</v>
      </c>
      <c r="R837" s="4" t="str">
        <f t="shared" si="108"/>
        <v>UNDER</v>
      </c>
      <c r="S837" s="4" t="str">
        <f t="shared" si="106"/>
        <v>UNDER</v>
      </c>
      <c r="T837" s="4" t="str">
        <f t="shared" si="106"/>
        <v>UNDER</v>
      </c>
      <c r="U837" s="2">
        <f>IF(Q837="OVER",$J837,$K837)</f>
        <v>822.63012206346104</v>
      </c>
      <c r="V837" s="2">
        <f>IF(R837="OVER",$J837,$K837)</f>
        <v>822.63012206346104</v>
      </c>
      <c r="W837" s="2">
        <f>IF(S837="OVER",$J837,$K837)</f>
        <v>822.63012206346104</v>
      </c>
      <c r="X837" s="2">
        <f>IF(T837="OVER",$J837,$K837)</f>
        <v>822.63012206346104</v>
      </c>
      <c r="Y837" s="9">
        <f t="shared" si="107"/>
        <v>-33702.602867120266</v>
      </c>
      <c r="Z837" s="9">
        <f t="shared" si="107"/>
        <v>-32312.034935617037</v>
      </c>
      <c r="AA837" s="9">
        <f t="shared" si="107"/>
        <v>47999.933524147156</v>
      </c>
      <c r="AB837" s="9">
        <f t="shared" si="104"/>
        <v>18011.651720339079</v>
      </c>
    </row>
    <row r="838" spans="1:28" x14ac:dyDescent="0.3">
      <c r="A838" s="1">
        <v>45629</v>
      </c>
      <c r="B838" s="2">
        <v>81.3</v>
      </c>
      <c r="C838" s="2">
        <v>88.74</v>
      </c>
      <c r="D838" s="9">
        <f>B838-B837</f>
        <v>-0.93999999999999773</v>
      </c>
      <c r="E838" s="9">
        <f>C838-C837</f>
        <v>-0.21999999999999886</v>
      </c>
      <c r="F838" s="3">
        <f>F$1/B838</f>
        <v>1230.0123001230013</v>
      </c>
      <c r="G838" s="3">
        <f>F$1/C838</f>
        <v>1126.8875366238451</v>
      </c>
      <c r="H838" s="2">
        <f>D838*F837</f>
        <v>-1142.9961089494138</v>
      </c>
      <c r="I838" s="2">
        <f>E838*G837</f>
        <v>-247.30215827338003</v>
      </c>
      <c r="J838" s="2">
        <f>I838-H838</f>
        <v>895.69395067603386</v>
      </c>
      <c r="K838" s="2">
        <f t="shared" si="111"/>
        <v>-895.69395067603386</v>
      </c>
      <c r="L838" s="14">
        <f>C838/B838</f>
        <v>1.0915129151291512</v>
      </c>
      <c r="M838" s="14">
        <f t="shared" si="105"/>
        <v>1.0904326060874809</v>
      </c>
      <c r="N838" s="14">
        <f t="shared" si="109"/>
        <v>1.0920169751050288</v>
      </c>
      <c r="O838" s="14">
        <f t="shared" si="110"/>
        <v>1.0915734994251638</v>
      </c>
      <c r="P838" s="14">
        <f t="shared" si="103"/>
        <v>1.0921807225346727</v>
      </c>
      <c r="Q838" s="4" t="str">
        <f t="shared" si="108"/>
        <v>UNDER</v>
      </c>
      <c r="R838" s="4" t="str">
        <f t="shared" si="108"/>
        <v>UNDER</v>
      </c>
      <c r="S838" s="4" t="str">
        <f t="shared" si="106"/>
        <v>UNDER</v>
      </c>
      <c r="T838" s="4" t="str">
        <f t="shared" si="106"/>
        <v>UNDER</v>
      </c>
      <c r="U838" s="2">
        <f>IF(Q838="OVER",$J838,$K838)</f>
        <v>-895.69395067603386</v>
      </c>
      <c r="V838" s="2">
        <f>IF(R838="OVER",$J838,$K838)</f>
        <v>-895.69395067603386</v>
      </c>
      <c r="W838" s="2">
        <f>IF(S838="OVER",$J838,$K838)</f>
        <v>-895.69395067603386</v>
      </c>
      <c r="X838" s="2">
        <f>IF(T838="OVER",$J838,$K838)</f>
        <v>-895.69395067603386</v>
      </c>
      <c r="Y838" s="9">
        <f t="shared" si="107"/>
        <v>-34598.296817796298</v>
      </c>
      <c r="Z838" s="9">
        <f t="shared" si="107"/>
        <v>-33207.728886293073</v>
      </c>
      <c r="AA838" s="9">
        <f t="shared" si="107"/>
        <v>47104.239573471124</v>
      </c>
      <c r="AB838" s="9">
        <f t="shared" si="104"/>
        <v>17115.957769663044</v>
      </c>
    </row>
    <row r="839" spans="1:28" x14ac:dyDescent="0.3">
      <c r="A839" s="1">
        <v>45630</v>
      </c>
      <c r="B839" s="2">
        <v>81.64</v>
      </c>
      <c r="C839" s="2">
        <v>89.3</v>
      </c>
      <c r="D839" s="9">
        <f>B839-B838</f>
        <v>0.34000000000000341</v>
      </c>
      <c r="E839" s="9">
        <f>C839-C838</f>
        <v>0.56000000000000227</v>
      </c>
      <c r="F839" s="3">
        <f>F$1/B839</f>
        <v>1224.889759921607</v>
      </c>
      <c r="G839" s="3">
        <f>F$1/C839</f>
        <v>1119.8208286674133</v>
      </c>
      <c r="H839" s="2">
        <f>D839*F838</f>
        <v>418.20418204182465</v>
      </c>
      <c r="I839" s="2">
        <f>E839*G838</f>
        <v>631.05702050935577</v>
      </c>
      <c r="J839" s="2">
        <f>I839-H839</f>
        <v>212.85283846753111</v>
      </c>
      <c r="K839" s="2">
        <f t="shared" si="111"/>
        <v>-212.85283846753111</v>
      </c>
      <c r="L839" s="14">
        <f>C839/B839</f>
        <v>1.0938265556099951</v>
      </c>
      <c r="M839" s="14">
        <f t="shared" si="105"/>
        <v>1.0905525253861199</v>
      </c>
      <c r="N839" s="14">
        <f t="shared" si="109"/>
        <v>1.0920407754484722</v>
      </c>
      <c r="O839" s="14">
        <f t="shared" si="110"/>
        <v>1.0915937904109816</v>
      </c>
      <c r="P839" s="14">
        <f t="shared" si="103"/>
        <v>1.0922021670881101</v>
      </c>
      <c r="Q839" s="4" t="str">
        <f t="shared" si="108"/>
        <v>OVER</v>
      </c>
      <c r="R839" s="4" t="str">
        <f t="shared" si="108"/>
        <v>UNDER</v>
      </c>
      <c r="S839" s="4" t="str">
        <f t="shared" si="106"/>
        <v>OVER</v>
      </c>
      <c r="T839" s="4" t="str">
        <f t="shared" si="106"/>
        <v>OVER</v>
      </c>
      <c r="U839" s="2">
        <f>IF(Q839="OVER",$J839,$K839)</f>
        <v>212.85283846753111</v>
      </c>
      <c r="V839" s="2">
        <f>IF(R839="OVER",$J839,$K839)</f>
        <v>-212.85283846753111</v>
      </c>
      <c r="W839" s="2">
        <f>IF(S839="OVER",$J839,$K839)</f>
        <v>212.85283846753111</v>
      </c>
      <c r="X839" s="2">
        <f>IF(T839="OVER",$J839,$K839)</f>
        <v>212.85283846753111</v>
      </c>
      <c r="Y839" s="9">
        <f t="shared" si="107"/>
        <v>-34385.443979328767</v>
      </c>
      <c r="Z839" s="9">
        <f t="shared" si="107"/>
        <v>-33420.581724760603</v>
      </c>
      <c r="AA839" s="9">
        <f t="shared" si="107"/>
        <v>47317.092411938655</v>
      </c>
      <c r="AB839" s="9">
        <f t="shared" si="104"/>
        <v>17328.810608130574</v>
      </c>
    </row>
    <row r="840" spans="1:28" x14ac:dyDescent="0.3">
      <c r="A840" s="1">
        <v>45631</v>
      </c>
      <c r="B840" s="2">
        <v>81.45</v>
      </c>
      <c r="C840" s="2">
        <v>88.89</v>
      </c>
      <c r="D840" s="9">
        <f>B840-B839</f>
        <v>-0.18999999999999773</v>
      </c>
      <c r="E840" s="9">
        <f>C840-C839</f>
        <v>-0.40999999999999659</v>
      </c>
      <c r="F840" s="3">
        <f>F$1/B840</f>
        <v>1227.7470841006752</v>
      </c>
      <c r="G840" s="3">
        <f>F$1/C840</f>
        <v>1124.985937675779</v>
      </c>
      <c r="H840" s="2">
        <f>D840*F839</f>
        <v>-232.72905438510256</v>
      </c>
      <c r="I840" s="2">
        <f>E840*G839</f>
        <v>-459.1265397536356</v>
      </c>
      <c r="J840" s="2">
        <f>I840-H840</f>
        <v>-226.39748536853304</v>
      </c>
      <c r="K840" s="2">
        <f t="shared" si="111"/>
        <v>226.39748536853304</v>
      </c>
      <c r="L840" s="14">
        <f>C840/B840</f>
        <v>1.0913443830570901</v>
      </c>
      <c r="M840" s="14">
        <f t="shared" si="105"/>
        <v>1.0905179092505679</v>
      </c>
      <c r="N840" s="14">
        <f t="shared" si="109"/>
        <v>1.0917230841153933</v>
      </c>
      <c r="O840" s="14">
        <f t="shared" si="110"/>
        <v>1.0916005750474238</v>
      </c>
      <c r="P840" s="14">
        <f t="shared" si="103"/>
        <v>1.0922109059885337</v>
      </c>
      <c r="Q840" s="4" t="str">
        <f t="shared" si="108"/>
        <v>OVER</v>
      </c>
      <c r="R840" s="4" t="str">
        <f t="shared" si="108"/>
        <v>OVER</v>
      </c>
      <c r="S840" s="4" t="str">
        <f t="shared" si="106"/>
        <v>UNDER</v>
      </c>
      <c r="T840" s="4" t="str">
        <f t="shared" si="106"/>
        <v>UNDER</v>
      </c>
      <c r="U840" s="2">
        <f>IF(Q840="OVER",$J840,$K840)</f>
        <v>-226.39748536853304</v>
      </c>
      <c r="V840" s="2">
        <f>IF(R840="OVER",$J840,$K840)</f>
        <v>-226.39748536853304</v>
      </c>
      <c r="W840" s="2">
        <f>IF(S840="OVER",$J840,$K840)</f>
        <v>226.39748536853304</v>
      </c>
      <c r="X840" s="2">
        <f>IF(T840="OVER",$J840,$K840)</f>
        <v>226.39748536853304</v>
      </c>
      <c r="Y840" s="9">
        <f t="shared" si="107"/>
        <v>-34611.841464697303</v>
      </c>
      <c r="Z840" s="9">
        <f t="shared" si="107"/>
        <v>-33646.979210129139</v>
      </c>
      <c r="AA840" s="9">
        <f t="shared" si="107"/>
        <v>47543.48989730719</v>
      </c>
      <c r="AB840" s="9">
        <f t="shared" si="104"/>
        <v>17555.208093499106</v>
      </c>
    </row>
    <row r="841" spans="1:28" x14ac:dyDescent="0.3">
      <c r="A841" s="1">
        <v>45632</v>
      </c>
      <c r="B841" s="2">
        <v>81.78</v>
      </c>
      <c r="C841" s="2">
        <v>89.23</v>
      </c>
      <c r="D841" s="9">
        <f>B841-B840</f>
        <v>0.32999999999999829</v>
      </c>
      <c r="E841" s="9">
        <f>C841-C840</f>
        <v>0.34000000000000341</v>
      </c>
      <c r="F841" s="3">
        <f>F$1/B841</f>
        <v>1222.7928588897041</v>
      </c>
      <c r="G841" s="3">
        <f>F$1/C841</f>
        <v>1120.6993163734169</v>
      </c>
      <c r="H841" s="2">
        <f>D841*F840</f>
        <v>405.15653775322073</v>
      </c>
      <c r="I841" s="2">
        <f>E841*G840</f>
        <v>382.49521880976869</v>
      </c>
      <c r="J841" s="2">
        <f>I841-H841</f>
        <v>-22.661318943452045</v>
      </c>
      <c r="K841" s="2">
        <f t="shared" si="111"/>
        <v>22.661318943452045</v>
      </c>
      <c r="L841" s="14">
        <f>C841/B841</f>
        <v>1.091098067987283</v>
      </c>
      <c r="M841" s="14">
        <f t="shared" si="105"/>
        <v>1.0904668421664763</v>
      </c>
      <c r="N841" s="14">
        <f t="shared" si="109"/>
        <v>1.0914682152791042</v>
      </c>
      <c r="O841" s="14">
        <f t="shared" si="110"/>
        <v>1.0915855071459175</v>
      </c>
      <c r="P841" s="14">
        <f t="shared" si="103"/>
        <v>1.0922153854420003</v>
      </c>
      <c r="Q841" s="4" t="str">
        <f t="shared" si="108"/>
        <v>OVER</v>
      </c>
      <c r="R841" s="4" t="str">
        <f t="shared" si="108"/>
        <v>UNDER</v>
      </c>
      <c r="S841" s="4" t="str">
        <f t="shared" si="106"/>
        <v>UNDER</v>
      </c>
      <c r="T841" s="4" t="str">
        <f t="shared" si="106"/>
        <v>UNDER</v>
      </c>
      <c r="U841" s="2">
        <f>IF(Q841="OVER",$J841,$K841)</f>
        <v>-22.661318943452045</v>
      </c>
      <c r="V841" s="2">
        <f>IF(R841="OVER",$J841,$K841)</f>
        <v>22.661318943452045</v>
      </c>
      <c r="W841" s="2">
        <f>IF(S841="OVER",$J841,$K841)</f>
        <v>22.661318943452045</v>
      </c>
      <c r="X841" s="2">
        <f>IF(T841="OVER",$J841,$K841)</f>
        <v>22.661318943452045</v>
      </c>
      <c r="Y841" s="9">
        <f t="shared" si="107"/>
        <v>-34634.502783640753</v>
      </c>
      <c r="Z841" s="9">
        <f t="shared" si="107"/>
        <v>-33624.317891185688</v>
      </c>
      <c r="AA841" s="9">
        <f t="shared" si="107"/>
        <v>47566.151216250641</v>
      </c>
      <c r="AB841" s="9">
        <f t="shared" si="104"/>
        <v>17577.86941244256</v>
      </c>
    </row>
    <row r="842" spans="1:28" x14ac:dyDescent="0.3">
      <c r="A842" s="1">
        <v>45635</v>
      </c>
      <c r="B842" s="2">
        <v>81.42</v>
      </c>
      <c r="C842" s="2">
        <v>88.75</v>
      </c>
      <c r="D842" s="9">
        <f>B842-B841</f>
        <v>-0.35999999999999943</v>
      </c>
      <c r="E842" s="9">
        <f>C842-C841</f>
        <v>-0.48000000000000398</v>
      </c>
      <c r="F842" s="3">
        <f>F$1/B842</f>
        <v>1228.1994595922376</v>
      </c>
      <c r="G842" s="3">
        <f>F$1/C842</f>
        <v>1126.7605633802816</v>
      </c>
      <c r="H842" s="2">
        <f>D842*F841</f>
        <v>-440.20542920029277</v>
      </c>
      <c r="I842" s="2">
        <f>E842*G841</f>
        <v>-537.93567185924451</v>
      </c>
      <c r="J842" s="2">
        <f>I842-H842</f>
        <v>-97.730242658951738</v>
      </c>
      <c r="K842" s="2">
        <f t="shared" si="111"/>
        <v>97.730242658951738</v>
      </c>
      <c r="L842" s="14">
        <f>C842/B842</f>
        <v>1.0900270203881111</v>
      </c>
      <c r="M842" s="14">
        <f t="shared" si="105"/>
        <v>1.0902856191559775</v>
      </c>
      <c r="N842" s="14">
        <f t="shared" si="109"/>
        <v>1.0913567162161375</v>
      </c>
      <c r="O842" s="14">
        <f t="shared" si="110"/>
        <v>1.0915790231379596</v>
      </c>
      <c r="P842" s="14">
        <f t="shared" si="103"/>
        <v>1.09221783300869</v>
      </c>
      <c r="Q842" s="4" t="str">
        <f t="shared" si="108"/>
        <v>OVER</v>
      </c>
      <c r="R842" s="4" t="str">
        <f t="shared" si="108"/>
        <v>UNDER</v>
      </c>
      <c r="S842" s="4" t="str">
        <f t="shared" si="106"/>
        <v>UNDER</v>
      </c>
      <c r="T842" s="4" t="str">
        <f t="shared" si="106"/>
        <v>UNDER</v>
      </c>
      <c r="U842" s="2">
        <f>IF(Q842="OVER",$J842,$K842)</f>
        <v>-97.730242658951738</v>
      </c>
      <c r="V842" s="2">
        <f>IF(R842="OVER",$J842,$K842)</f>
        <v>97.730242658951738</v>
      </c>
      <c r="W842" s="2">
        <f>IF(S842="OVER",$J842,$K842)</f>
        <v>97.730242658951738</v>
      </c>
      <c r="X842" s="2">
        <f>IF(T842="OVER",$J842,$K842)</f>
        <v>97.730242658951738</v>
      </c>
      <c r="Y842" s="9">
        <f t="shared" si="107"/>
        <v>-34732.233026299706</v>
      </c>
      <c r="Z842" s="9">
        <f t="shared" si="107"/>
        <v>-33526.587648526736</v>
      </c>
      <c r="AA842" s="9">
        <f t="shared" si="107"/>
        <v>47663.881458909593</v>
      </c>
      <c r="AB842" s="9">
        <f t="shared" si="104"/>
        <v>17675.599655101512</v>
      </c>
    </row>
    <row r="843" spans="1:28" x14ac:dyDescent="0.3">
      <c r="A843" s="1">
        <v>45636</v>
      </c>
      <c r="B843" s="2">
        <v>80.599999999999994</v>
      </c>
      <c r="C843" s="2">
        <v>88.24</v>
      </c>
      <c r="D843" s="9">
        <f>B843-B842</f>
        <v>-0.82000000000000739</v>
      </c>
      <c r="E843" s="9">
        <f>C843-C842</f>
        <v>-0.51000000000000512</v>
      </c>
      <c r="F843" s="3">
        <f>F$1/B843</f>
        <v>1240.694789081886</v>
      </c>
      <c r="G843" s="3">
        <f>F$1/C843</f>
        <v>1133.2728921124208</v>
      </c>
      <c r="H843" s="2">
        <f>D843*F842</f>
        <v>-1007.123556865644</v>
      </c>
      <c r="I843" s="2">
        <f>E843*G842</f>
        <v>-574.64788732394936</v>
      </c>
      <c r="J843" s="2">
        <f>I843-H843</f>
        <v>432.47566954169463</v>
      </c>
      <c r="K843" s="2">
        <f t="shared" si="111"/>
        <v>-432.47566954169463</v>
      </c>
      <c r="L843" s="14">
        <f>C843/B843</f>
        <v>1.0947890818858561</v>
      </c>
      <c r="M843" s="14">
        <f t="shared" si="105"/>
        <v>1.0907460247100824</v>
      </c>
      <c r="N843" s="14">
        <f t="shared" si="109"/>
        <v>1.0915239911760797</v>
      </c>
      <c r="O843" s="14">
        <f t="shared" si="110"/>
        <v>1.0916259994486108</v>
      </c>
      <c r="P843" s="14">
        <f t="shared" ref="P843:P906" si="112">AVERAGE(L644:L843)</f>
        <v>1.0922405554774388</v>
      </c>
      <c r="Q843" s="4" t="str">
        <f t="shared" si="108"/>
        <v>UNDER</v>
      </c>
      <c r="R843" s="4" t="str">
        <f t="shared" si="108"/>
        <v>UNDER</v>
      </c>
      <c r="S843" s="4" t="str">
        <f t="shared" si="106"/>
        <v>OVER</v>
      </c>
      <c r="T843" s="4" t="str">
        <f t="shared" si="106"/>
        <v>OVER</v>
      </c>
      <c r="U843" s="2">
        <f>IF(Q843="OVER",$J843,$K843)</f>
        <v>-432.47566954169463</v>
      </c>
      <c r="V843" s="2">
        <f>IF(R843="OVER",$J843,$K843)</f>
        <v>-432.47566954169463</v>
      </c>
      <c r="W843" s="2">
        <f>IF(S843="OVER",$J843,$K843)</f>
        <v>432.47566954169463</v>
      </c>
      <c r="X843" s="2">
        <f>IF(T843="OVER",$J843,$K843)</f>
        <v>432.47566954169463</v>
      </c>
      <c r="Y843" s="9">
        <f t="shared" si="107"/>
        <v>-35164.7086958414</v>
      </c>
      <c r="Z843" s="9">
        <f t="shared" si="107"/>
        <v>-33959.063318068431</v>
      </c>
      <c r="AA843" s="9">
        <f t="shared" si="107"/>
        <v>48096.357128451287</v>
      </c>
      <c r="AB843" s="9">
        <f t="shared" si="104"/>
        <v>18108.075324643207</v>
      </c>
    </row>
    <row r="844" spans="1:28" x14ac:dyDescent="0.3">
      <c r="A844" s="1">
        <v>45637</v>
      </c>
      <c r="B844" s="2">
        <v>81.23</v>
      </c>
      <c r="C844" s="2">
        <v>88.67</v>
      </c>
      <c r="D844" s="9">
        <f>B844-B843</f>
        <v>0.63000000000000966</v>
      </c>
      <c r="E844" s="9">
        <f>C844-C843</f>
        <v>0.43000000000000682</v>
      </c>
      <c r="F844" s="3">
        <f>F$1/B844</f>
        <v>1231.0722639418934</v>
      </c>
      <c r="G844" s="3">
        <f>F$1/C844</f>
        <v>1127.7771512349159</v>
      </c>
      <c r="H844" s="2">
        <f>D844*F843</f>
        <v>781.63771712160019</v>
      </c>
      <c r="I844" s="2">
        <f>E844*G843</f>
        <v>487.30734360834867</v>
      </c>
      <c r="J844" s="2">
        <f>I844-H844</f>
        <v>-294.33037351325152</v>
      </c>
      <c r="K844" s="2">
        <f t="shared" si="111"/>
        <v>294.33037351325152</v>
      </c>
      <c r="L844" s="14">
        <f>C844/B844</f>
        <v>1.0915917764372769</v>
      </c>
      <c r="M844" s="14">
        <f t="shared" si="105"/>
        <v>1.09086238739318</v>
      </c>
      <c r="N844" s="14">
        <f t="shared" si="109"/>
        <v>1.0914329740135329</v>
      </c>
      <c r="O844" s="14">
        <f t="shared" si="110"/>
        <v>1.0916553723103404</v>
      </c>
      <c r="P844" s="14">
        <f t="shared" si="112"/>
        <v>1.0922428889228675</v>
      </c>
      <c r="Q844" s="4" t="str">
        <f t="shared" si="108"/>
        <v>OVER</v>
      </c>
      <c r="R844" s="4" t="str">
        <f t="shared" si="108"/>
        <v>OVER</v>
      </c>
      <c r="S844" s="4" t="str">
        <f t="shared" si="106"/>
        <v>UNDER</v>
      </c>
      <c r="T844" s="4" t="str">
        <f t="shared" si="106"/>
        <v>UNDER</v>
      </c>
      <c r="U844" s="2">
        <f>IF(Q844="OVER",$J844,$K844)</f>
        <v>-294.33037351325152</v>
      </c>
      <c r="V844" s="2">
        <f>IF(R844="OVER",$J844,$K844)</f>
        <v>-294.33037351325152</v>
      </c>
      <c r="W844" s="2">
        <f>IF(S844="OVER",$J844,$K844)</f>
        <v>294.33037351325152</v>
      </c>
      <c r="X844" s="2">
        <f>IF(T844="OVER",$J844,$K844)</f>
        <v>294.33037351325152</v>
      </c>
      <c r="Y844" s="9">
        <f t="shared" si="107"/>
        <v>-35459.039069354651</v>
      </c>
      <c r="Z844" s="9">
        <f t="shared" si="107"/>
        <v>-34253.393691581681</v>
      </c>
      <c r="AA844" s="9">
        <f t="shared" si="107"/>
        <v>48390.687501964538</v>
      </c>
      <c r="AB844" s="9">
        <f t="shared" si="107"/>
        <v>18402.405698156457</v>
      </c>
    </row>
    <row r="845" spans="1:28" x14ac:dyDescent="0.3">
      <c r="A845" s="1">
        <v>45638</v>
      </c>
      <c r="B845" s="2">
        <v>81.099999999999994</v>
      </c>
      <c r="C845" s="2">
        <v>88.35</v>
      </c>
      <c r="D845" s="9">
        <f>B845-B844</f>
        <v>-0.13000000000000966</v>
      </c>
      <c r="E845" s="9">
        <f>C845-C844</f>
        <v>-0.32000000000000739</v>
      </c>
      <c r="F845" s="3">
        <f>F$1/B845</f>
        <v>1233.0456226880397</v>
      </c>
      <c r="G845" s="3">
        <f>F$1/C845</f>
        <v>1131.8619128466328</v>
      </c>
      <c r="H845" s="2">
        <f>D845*F844</f>
        <v>-160.03939431245803</v>
      </c>
      <c r="I845" s="2">
        <f>E845*G844</f>
        <v>-360.88868839518142</v>
      </c>
      <c r="J845" s="2">
        <f>I845-H845</f>
        <v>-200.84929408272339</v>
      </c>
      <c r="K845" s="2">
        <f t="shared" si="111"/>
        <v>200.84929408272339</v>
      </c>
      <c r="L845" s="14">
        <f>C845/B845</f>
        <v>1.0893958076448829</v>
      </c>
      <c r="M845" s="14">
        <f t="shared" ref="M845:M908" si="113">AVERAGE(L836:L845)</f>
        <v>1.0905940230865547</v>
      </c>
      <c r="N845" s="14">
        <f t="shared" si="109"/>
        <v>1.0912685873399908</v>
      </c>
      <c r="O845" s="14">
        <f t="shared" si="110"/>
        <v>1.0916360437921253</v>
      </c>
      <c r="P845" s="14">
        <f t="shared" si="112"/>
        <v>1.0922373571204149</v>
      </c>
      <c r="Q845" s="4" t="str">
        <f t="shared" si="108"/>
        <v>OVER</v>
      </c>
      <c r="R845" s="4" t="str">
        <f t="shared" si="108"/>
        <v>OVER</v>
      </c>
      <c r="S845" s="4" t="str">
        <f t="shared" ref="S845:T908" si="114">IF($L845&gt;O845,"OVER","UNDER")</f>
        <v>UNDER</v>
      </c>
      <c r="T845" s="4" t="str">
        <f t="shared" si="114"/>
        <v>UNDER</v>
      </c>
      <c r="U845" s="2">
        <f>IF(Q845="OVER",$J845,$K845)</f>
        <v>-200.84929408272339</v>
      </c>
      <c r="V845" s="2">
        <f>IF(R845="OVER",$J845,$K845)</f>
        <v>-200.84929408272339</v>
      </c>
      <c r="W845" s="2">
        <f>IF(S845="OVER",$J845,$K845)</f>
        <v>200.84929408272339</v>
      </c>
      <c r="X845" s="2">
        <f>IF(T845="OVER",$J845,$K845)</f>
        <v>200.84929408272339</v>
      </c>
      <c r="Y845" s="9">
        <f t="shared" ref="Y845:AB908" si="115">Y844+U845</f>
        <v>-35659.888363437371</v>
      </c>
      <c r="Z845" s="9">
        <f t="shared" si="115"/>
        <v>-34454.242985664401</v>
      </c>
      <c r="AA845" s="9">
        <f t="shared" si="115"/>
        <v>48591.536796047258</v>
      </c>
      <c r="AB845" s="9">
        <f t="shared" si="115"/>
        <v>18603.254992239181</v>
      </c>
    </row>
    <row r="846" spans="1:28" x14ac:dyDescent="0.3">
      <c r="A846" s="1">
        <v>45639</v>
      </c>
      <c r="B846" s="2">
        <v>81</v>
      </c>
      <c r="C846" s="2">
        <v>88.29</v>
      </c>
      <c r="D846" s="9">
        <f>B846-B845</f>
        <v>-9.9999999999994316E-2</v>
      </c>
      <c r="E846" s="9">
        <f>C846-C845</f>
        <v>-5.9999999999988063E-2</v>
      </c>
      <c r="F846" s="3">
        <f>F$1/B846</f>
        <v>1234.5679012345679</v>
      </c>
      <c r="G846" s="3">
        <f>F$1/C846</f>
        <v>1132.6311020500623</v>
      </c>
      <c r="H846" s="2">
        <f>D846*F845</f>
        <v>-123.30456226879696</v>
      </c>
      <c r="I846" s="2">
        <f>E846*G845</f>
        <v>-67.911714770784457</v>
      </c>
      <c r="J846" s="2">
        <f>I846-H846</f>
        <v>55.3928474980125</v>
      </c>
      <c r="K846" s="2">
        <f t="shared" si="111"/>
        <v>-55.3928474980125</v>
      </c>
      <c r="L846" s="14">
        <f>C846/B846</f>
        <v>1.0900000000000001</v>
      </c>
      <c r="M846" s="14">
        <f t="shared" si="113"/>
        <v>1.0905297670396454</v>
      </c>
      <c r="N846" s="14">
        <f t="shared" si="109"/>
        <v>1.0910634510051778</v>
      </c>
      <c r="O846" s="14">
        <f t="shared" si="110"/>
        <v>1.0916305064610663</v>
      </c>
      <c r="P846" s="14">
        <f t="shared" si="112"/>
        <v>1.0922346506472007</v>
      </c>
      <c r="Q846" s="4" t="str">
        <f t="shared" ref="Q846:R909" si="116">IF($L845&gt;M845,"OVER","UNDER")</f>
        <v>UNDER</v>
      </c>
      <c r="R846" s="4" t="str">
        <f t="shared" si="116"/>
        <v>UNDER</v>
      </c>
      <c r="S846" s="4" t="str">
        <f t="shared" si="114"/>
        <v>UNDER</v>
      </c>
      <c r="T846" s="4" t="str">
        <f t="shared" si="114"/>
        <v>UNDER</v>
      </c>
      <c r="U846" s="2">
        <f>IF(Q846="OVER",$J846,$K846)</f>
        <v>-55.3928474980125</v>
      </c>
      <c r="V846" s="2">
        <f>IF(R846="OVER",$J846,$K846)</f>
        <v>-55.3928474980125</v>
      </c>
      <c r="W846" s="2">
        <f>IF(S846="OVER",$J846,$K846)</f>
        <v>-55.3928474980125</v>
      </c>
      <c r="X846" s="2">
        <f>IF(T846="OVER",$J846,$K846)</f>
        <v>-55.3928474980125</v>
      </c>
      <c r="Y846" s="9">
        <f t="shared" si="115"/>
        <v>-35715.281210935384</v>
      </c>
      <c r="Z846" s="9">
        <f t="shared" si="115"/>
        <v>-34509.635833162414</v>
      </c>
      <c r="AA846" s="9">
        <f t="shared" si="115"/>
        <v>48536.143948549245</v>
      </c>
      <c r="AB846" s="9">
        <f t="shared" si="115"/>
        <v>18547.862144741168</v>
      </c>
    </row>
    <row r="847" spans="1:28" x14ac:dyDescent="0.3">
      <c r="A847" s="1">
        <v>45642</v>
      </c>
      <c r="B847" s="2">
        <v>81.19</v>
      </c>
      <c r="C847" s="2">
        <v>88.52</v>
      </c>
      <c r="D847" s="9">
        <f>B847-B846</f>
        <v>0.18999999999999773</v>
      </c>
      <c r="E847" s="9">
        <f>C847-C846</f>
        <v>0.22999999999998977</v>
      </c>
      <c r="F847" s="3">
        <f>F$1/B847</f>
        <v>1231.6787781746521</v>
      </c>
      <c r="G847" s="3">
        <f>F$1/C847</f>
        <v>1129.6882060551288</v>
      </c>
      <c r="H847" s="2">
        <f>D847*F846</f>
        <v>234.56790123456508</v>
      </c>
      <c r="I847" s="2">
        <f>E847*G846</f>
        <v>260.50515347150275</v>
      </c>
      <c r="J847" s="2">
        <f>I847-H847</f>
        <v>25.937252236937667</v>
      </c>
      <c r="K847" s="2">
        <f t="shared" si="111"/>
        <v>-25.937252236937667</v>
      </c>
      <c r="L847" s="14">
        <f>C847/B847</f>
        <v>1.0902820544402019</v>
      </c>
      <c r="M847" s="14">
        <f t="shared" si="113"/>
        <v>1.0913867662579846</v>
      </c>
      <c r="N847" s="14">
        <f t="shared" si="109"/>
        <v>1.0909420444561693</v>
      </c>
      <c r="O847" s="14">
        <f t="shared" si="110"/>
        <v>1.0916281642469745</v>
      </c>
      <c r="P847" s="14">
        <f t="shared" si="112"/>
        <v>1.092228926002075</v>
      </c>
      <c r="Q847" s="4" t="str">
        <f t="shared" si="116"/>
        <v>UNDER</v>
      </c>
      <c r="R847" s="4" t="str">
        <f t="shared" si="116"/>
        <v>UNDER</v>
      </c>
      <c r="S847" s="4" t="str">
        <f t="shared" si="114"/>
        <v>UNDER</v>
      </c>
      <c r="T847" s="4" t="str">
        <f t="shared" si="114"/>
        <v>UNDER</v>
      </c>
      <c r="U847" s="2">
        <f>IF(Q847="OVER",$J847,$K847)</f>
        <v>-25.937252236937667</v>
      </c>
      <c r="V847" s="2">
        <f>IF(R847="OVER",$J847,$K847)</f>
        <v>-25.937252236937667</v>
      </c>
      <c r="W847" s="2">
        <f>IF(S847="OVER",$J847,$K847)</f>
        <v>-25.937252236937667</v>
      </c>
      <c r="X847" s="2">
        <f>IF(T847="OVER",$J847,$K847)</f>
        <v>-25.937252236937667</v>
      </c>
      <c r="Y847" s="9">
        <f t="shared" si="115"/>
        <v>-35741.218463172321</v>
      </c>
      <c r="Z847" s="9">
        <f t="shared" si="115"/>
        <v>-34535.573085399352</v>
      </c>
      <c r="AA847" s="9">
        <f t="shared" si="115"/>
        <v>48510.206696312307</v>
      </c>
      <c r="AB847" s="9">
        <f t="shared" si="115"/>
        <v>18521.92489250423</v>
      </c>
    </row>
    <row r="848" spans="1:28" x14ac:dyDescent="0.3">
      <c r="A848" s="1">
        <v>45643</v>
      </c>
      <c r="B848" s="2">
        <v>80.77</v>
      </c>
      <c r="C848" s="2">
        <v>88.05</v>
      </c>
      <c r="D848" s="9">
        <f>B848-B847</f>
        <v>-0.42000000000000171</v>
      </c>
      <c r="E848" s="9">
        <f>C848-C847</f>
        <v>-0.46999999999999886</v>
      </c>
      <c r="F848" s="3">
        <f>F$1/B848</f>
        <v>1238.0834468243161</v>
      </c>
      <c r="G848" s="3">
        <f>F$1/C848</f>
        <v>1135.7183418512209</v>
      </c>
      <c r="H848" s="2">
        <f>D848*F847</f>
        <v>-517.30508683335597</v>
      </c>
      <c r="I848" s="2">
        <f>E848*G847</f>
        <v>-530.95345684590927</v>
      </c>
      <c r="J848" s="2">
        <f>I848-H848</f>
        <v>-13.648370012553301</v>
      </c>
      <c r="K848" s="2">
        <f t="shared" si="111"/>
        <v>13.648370012553301</v>
      </c>
      <c r="L848" s="14">
        <f>C848/B848</f>
        <v>1.0901324749288102</v>
      </c>
      <c r="M848" s="14">
        <f t="shared" si="113"/>
        <v>1.0912487222379508</v>
      </c>
      <c r="N848" s="14">
        <f t="shared" si="109"/>
        <v>1.090840664162716</v>
      </c>
      <c r="O848" s="14">
        <f t="shared" si="110"/>
        <v>1.0915926362121651</v>
      </c>
      <c r="P848" s="14">
        <f t="shared" si="112"/>
        <v>1.0922192995680549</v>
      </c>
      <c r="Q848" s="4" t="str">
        <f t="shared" si="116"/>
        <v>UNDER</v>
      </c>
      <c r="R848" s="4" t="str">
        <f t="shared" si="116"/>
        <v>UNDER</v>
      </c>
      <c r="S848" s="4" t="str">
        <f t="shared" si="114"/>
        <v>UNDER</v>
      </c>
      <c r="T848" s="4" t="str">
        <f t="shared" si="114"/>
        <v>UNDER</v>
      </c>
      <c r="U848" s="2">
        <f>IF(Q848="OVER",$J848,$K848)</f>
        <v>13.648370012553301</v>
      </c>
      <c r="V848" s="2">
        <f>IF(R848="OVER",$J848,$K848)</f>
        <v>13.648370012553301</v>
      </c>
      <c r="W848" s="2">
        <f>IF(S848="OVER",$J848,$K848)</f>
        <v>13.648370012553301</v>
      </c>
      <c r="X848" s="2">
        <f>IF(T848="OVER",$J848,$K848)</f>
        <v>13.648370012553301</v>
      </c>
      <c r="Y848" s="9">
        <f t="shared" si="115"/>
        <v>-35727.570093159768</v>
      </c>
      <c r="Z848" s="9">
        <f t="shared" si="115"/>
        <v>-34521.924715386798</v>
      </c>
      <c r="AA848" s="9">
        <f t="shared" si="115"/>
        <v>48523.855066324861</v>
      </c>
      <c r="AB848" s="9">
        <f t="shared" si="115"/>
        <v>18535.573262516784</v>
      </c>
    </row>
    <row r="849" spans="1:28" x14ac:dyDescent="0.3">
      <c r="A849" s="1">
        <v>45644</v>
      </c>
      <c r="B849" s="2">
        <v>78.84</v>
      </c>
      <c r="C849" s="2">
        <v>85.88</v>
      </c>
      <c r="D849" s="9">
        <f>B849-B848</f>
        <v>-1.9299999999999926</v>
      </c>
      <c r="E849" s="9">
        <f>C849-C848</f>
        <v>-2.1700000000000017</v>
      </c>
      <c r="F849" s="3">
        <f>F$1/B849</f>
        <v>1268.3916793505834</v>
      </c>
      <c r="G849" s="3">
        <f>F$1/C849</f>
        <v>1164.4154634373544</v>
      </c>
      <c r="H849" s="2">
        <f>D849*F848</f>
        <v>-2389.5010523709207</v>
      </c>
      <c r="I849" s="2">
        <f>E849*G848</f>
        <v>-2464.5088018171514</v>
      </c>
      <c r="J849" s="2">
        <f>I849-H849</f>
        <v>-75.007749446230719</v>
      </c>
      <c r="K849" s="2">
        <f t="shared" si="111"/>
        <v>75.007749446230719</v>
      </c>
      <c r="L849" s="14">
        <f>C849/B849</f>
        <v>1.0892947742262811</v>
      </c>
      <c r="M849" s="14">
        <f t="shared" si="113"/>
        <v>1.0907955440995791</v>
      </c>
      <c r="N849" s="14">
        <f t="shared" si="109"/>
        <v>1.0906740347428499</v>
      </c>
      <c r="O849" s="14">
        <f t="shared" si="110"/>
        <v>1.091529396023563</v>
      </c>
      <c r="P849" s="14">
        <f t="shared" si="112"/>
        <v>1.0922030826930014</v>
      </c>
      <c r="Q849" s="4" t="str">
        <f t="shared" si="116"/>
        <v>UNDER</v>
      </c>
      <c r="R849" s="4" t="str">
        <f t="shared" si="116"/>
        <v>UNDER</v>
      </c>
      <c r="S849" s="4" t="str">
        <f t="shared" si="114"/>
        <v>UNDER</v>
      </c>
      <c r="T849" s="4" t="str">
        <f t="shared" si="114"/>
        <v>UNDER</v>
      </c>
      <c r="U849" s="2">
        <f>IF(Q849="OVER",$J849,$K849)</f>
        <v>75.007749446230719</v>
      </c>
      <c r="V849" s="2">
        <f>IF(R849="OVER",$J849,$K849)</f>
        <v>75.007749446230719</v>
      </c>
      <c r="W849" s="2">
        <f>IF(S849="OVER",$J849,$K849)</f>
        <v>75.007749446230719</v>
      </c>
      <c r="X849" s="2">
        <f>IF(T849="OVER",$J849,$K849)</f>
        <v>75.007749446230719</v>
      </c>
      <c r="Y849" s="9">
        <f t="shared" si="115"/>
        <v>-35652.562343713536</v>
      </c>
      <c r="Z849" s="9">
        <f t="shared" si="115"/>
        <v>-34446.916965940567</v>
      </c>
      <c r="AA849" s="9">
        <f t="shared" si="115"/>
        <v>48598.862815771092</v>
      </c>
      <c r="AB849" s="9">
        <f t="shared" si="115"/>
        <v>18610.581011963015</v>
      </c>
    </row>
    <row r="850" spans="1:28" x14ac:dyDescent="0.3">
      <c r="A850" s="1">
        <v>45645</v>
      </c>
      <c r="B850" s="2">
        <v>78.069999999999993</v>
      </c>
      <c r="C850" s="2">
        <v>85.4</v>
      </c>
      <c r="D850" s="9">
        <f>B850-B849</f>
        <v>-0.77000000000001023</v>
      </c>
      <c r="E850" s="9">
        <f>C850-C849</f>
        <v>-0.47999999999998977</v>
      </c>
      <c r="F850" s="3">
        <f>F$1/B850</f>
        <v>1280.9017548354043</v>
      </c>
      <c r="G850" s="3">
        <f>F$1/C850</f>
        <v>1170.9601873536299</v>
      </c>
      <c r="H850" s="2">
        <f>D850*F849</f>
        <v>-976.66159309996226</v>
      </c>
      <c r="I850" s="2">
        <f>E850*G849</f>
        <v>-558.91942244991822</v>
      </c>
      <c r="J850" s="2">
        <f>I850-H850</f>
        <v>417.74217065004405</v>
      </c>
      <c r="K850" s="2">
        <f t="shared" si="111"/>
        <v>-417.74217065004405</v>
      </c>
      <c r="L850" s="14">
        <f>C850/B850</f>
        <v>1.0938900986294353</v>
      </c>
      <c r="M850" s="14">
        <f t="shared" si="113"/>
        <v>1.091050115656814</v>
      </c>
      <c r="N850" s="14">
        <f t="shared" si="109"/>
        <v>1.0907840124536912</v>
      </c>
      <c r="O850" s="14">
        <f t="shared" si="110"/>
        <v>1.0915947143189515</v>
      </c>
      <c r="P850" s="14">
        <f t="shared" si="112"/>
        <v>1.0922196371638178</v>
      </c>
      <c r="Q850" s="4" t="str">
        <f t="shared" si="116"/>
        <v>UNDER</v>
      </c>
      <c r="R850" s="4" t="str">
        <f t="shared" si="116"/>
        <v>UNDER</v>
      </c>
      <c r="S850" s="4" t="str">
        <f t="shared" si="114"/>
        <v>OVER</v>
      </c>
      <c r="T850" s="4" t="str">
        <f t="shared" si="114"/>
        <v>OVER</v>
      </c>
      <c r="U850" s="2">
        <f>IF(Q850="OVER",$J850,$K850)</f>
        <v>-417.74217065004405</v>
      </c>
      <c r="V850" s="2">
        <f>IF(R850="OVER",$J850,$K850)</f>
        <v>-417.74217065004405</v>
      </c>
      <c r="W850" s="2">
        <f>IF(S850="OVER",$J850,$K850)</f>
        <v>417.74217065004405</v>
      </c>
      <c r="X850" s="2">
        <f>IF(T850="OVER",$J850,$K850)</f>
        <v>417.74217065004405</v>
      </c>
      <c r="Y850" s="9">
        <f t="shared" si="115"/>
        <v>-36070.304514363583</v>
      </c>
      <c r="Z850" s="9">
        <f t="shared" si="115"/>
        <v>-34864.659136590613</v>
      </c>
      <c r="AA850" s="9">
        <f t="shared" si="115"/>
        <v>49016.604986421138</v>
      </c>
      <c r="AB850" s="9">
        <f t="shared" si="115"/>
        <v>19028.323182613058</v>
      </c>
    </row>
    <row r="851" spans="1:28" x14ac:dyDescent="0.3">
      <c r="A851" s="1">
        <v>45646</v>
      </c>
      <c r="B851" s="2">
        <v>78.97</v>
      </c>
      <c r="C851" s="2">
        <v>86.16</v>
      </c>
      <c r="D851" s="9">
        <f>B851-B850</f>
        <v>0.90000000000000568</v>
      </c>
      <c r="E851" s="9">
        <f>C851-C850</f>
        <v>0.75999999999999091</v>
      </c>
      <c r="F851" s="3">
        <f>F$1/B851</f>
        <v>1266.3036596175764</v>
      </c>
      <c r="G851" s="3">
        <f>F$1/C851</f>
        <v>1160.6313834726091</v>
      </c>
      <c r="H851" s="2">
        <f>D851*F850</f>
        <v>1152.8115793518712</v>
      </c>
      <c r="I851" s="2">
        <f>E851*G850</f>
        <v>889.92974238874808</v>
      </c>
      <c r="J851" s="2">
        <f>I851-H851</f>
        <v>-262.88183696312308</v>
      </c>
      <c r="K851" s="2">
        <f t="shared" si="111"/>
        <v>262.88183696312308</v>
      </c>
      <c r="L851" s="14">
        <f>C851/B851</f>
        <v>1.0910472331265038</v>
      </c>
      <c r="M851" s="14">
        <f t="shared" si="113"/>
        <v>1.0910450321707359</v>
      </c>
      <c r="N851" s="14">
        <f t="shared" si="109"/>
        <v>1.0907559371686062</v>
      </c>
      <c r="O851" s="14">
        <f t="shared" si="110"/>
        <v>1.0915879827412729</v>
      </c>
      <c r="P851" s="14">
        <f t="shared" si="112"/>
        <v>1.0922266357496557</v>
      </c>
      <c r="Q851" s="4" t="str">
        <f t="shared" si="116"/>
        <v>OVER</v>
      </c>
      <c r="R851" s="4" t="str">
        <f t="shared" si="116"/>
        <v>OVER</v>
      </c>
      <c r="S851" s="4" t="str">
        <f t="shared" si="114"/>
        <v>UNDER</v>
      </c>
      <c r="T851" s="4" t="str">
        <f t="shared" si="114"/>
        <v>UNDER</v>
      </c>
      <c r="U851" s="2">
        <f>IF(Q851="OVER",$J851,$K851)</f>
        <v>-262.88183696312308</v>
      </c>
      <c r="V851" s="2">
        <f>IF(R851="OVER",$J851,$K851)</f>
        <v>-262.88183696312308</v>
      </c>
      <c r="W851" s="2">
        <f>IF(S851="OVER",$J851,$K851)</f>
        <v>262.88183696312308</v>
      </c>
      <c r="X851" s="2">
        <f>IF(T851="OVER",$J851,$K851)</f>
        <v>262.88183696312308</v>
      </c>
      <c r="Y851" s="9">
        <f t="shared" si="115"/>
        <v>-36333.186351326709</v>
      </c>
      <c r="Z851" s="9">
        <f t="shared" si="115"/>
        <v>-35127.54097355374</v>
      </c>
      <c r="AA851" s="9">
        <f t="shared" si="115"/>
        <v>49279.486823384264</v>
      </c>
      <c r="AB851" s="9">
        <f t="shared" si="115"/>
        <v>19291.20501957618</v>
      </c>
    </row>
    <row r="852" spans="1:28" x14ac:dyDescent="0.3">
      <c r="A852" s="1">
        <v>45649</v>
      </c>
      <c r="B852" s="2">
        <v>78.739999999999995</v>
      </c>
      <c r="C852" s="2">
        <v>85.91</v>
      </c>
      <c r="D852" s="9">
        <f>B852-B851</f>
        <v>-0.23000000000000398</v>
      </c>
      <c r="E852" s="9">
        <f>C852-C851</f>
        <v>-0.25</v>
      </c>
      <c r="F852" s="3">
        <f>F$1/B852</f>
        <v>1270.0025400050802</v>
      </c>
      <c r="G852" s="3">
        <f>F$1/C852</f>
        <v>1164.0088464672333</v>
      </c>
      <c r="H852" s="2">
        <f>D852*F851</f>
        <v>-291.24984171204761</v>
      </c>
      <c r="I852" s="2">
        <f>E852*G851</f>
        <v>-290.15784586815226</v>
      </c>
      <c r="J852" s="2">
        <f>I852-H852</f>
        <v>1.0919958438953472</v>
      </c>
      <c r="K852" s="2">
        <f t="shared" si="111"/>
        <v>-1.0919958438953472</v>
      </c>
      <c r="L852" s="14">
        <f>C852/B852</f>
        <v>1.0910591821183642</v>
      </c>
      <c r="M852" s="14">
        <f t="shared" si="113"/>
        <v>1.0911482483437616</v>
      </c>
      <c r="N852" s="14">
        <f t="shared" si="109"/>
        <v>1.0907169337498694</v>
      </c>
      <c r="O852" s="14">
        <f t="shared" si="110"/>
        <v>1.0916273716773781</v>
      </c>
      <c r="P852" s="14">
        <f t="shared" si="112"/>
        <v>1.0922338707184192</v>
      </c>
      <c r="Q852" s="4" t="str">
        <f t="shared" si="116"/>
        <v>OVER</v>
      </c>
      <c r="R852" s="4" t="str">
        <f t="shared" si="116"/>
        <v>OVER</v>
      </c>
      <c r="S852" s="4" t="str">
        <f t="shared" si="114"/>
        <v>UNDER</v>
      </c>
      <c r="T852" s="4" t="str">
        <f t="shared" si="114"/>
        <v>UNDER</v>
      </c>
      <c r="U852" s="2">
        <f>IF(Q852="OVER",$J852,$K852)</f>
        <v>1.0919958438953472</v>
      </c>
      <c r="V852" s="2">
        <f>IF(R852="OVER",$J852,$K852)</f>
        <v>1.0919958438953472</v>
      </c>
      <c r="W852" s="2">
        <f>IF(S852="OVER",$J852,$K852)</f>
        <v>-1.0919958438953472</v>
      </c>
      <c r="X852" s="2">
        <f>IF(T852="OVER",$J852,$K852)</f>
        <v>-1.0919958438953472</v>
      </c>
      <c r="Y852" s="9">
        <f t="shared" si="115"/>
        <v>-36332.094355482812</v>
      </c>
      <c r="Z852" s="9">
        <f t="shared" si="115"/>
        <v>-35126.448977709842</v>
      </c>
      <c r="AA852" s="9">
        <f t="shared" si="115"/>
        <v>49278.394827540367</v>
      </c>
      <c r="AB852" s="9">
        <f t="shared" si="115"/>
        <v>19290.113023732287</v>
      </c>
    </row>
    <row r="853" spans="1:28" x14ac:dyDescent="0.3">
      <c r="A853" s="1">
        <v>45650</v>
      </c>
      <c r="B853" s="2">
        <v>79.3</v>
      </c>
      <c r="C853" s="2">
        <v>86.42</v>
      </c>
      <c r="D853" s="9">
        <f>B853-B852</f>
        <v>0.56000000000000227</v>
      </c>
      <c r="E853" s="9">
        <f>C853-C852</f>
        <v>0.51000000000000512</v>
      </c>
      <c r="F853" s="3">
        <f>F$1/B853</f>
        <v>1261.0340479192939</v>
      </c>
      <c r="G853" s="3">
        <f>F$1/C853</f>
        <v>1157.1395510298541</v>
      </c>
      <c r="H853" s="2">
        <f>D853*F852</f>
        <v>711.20142240284781</v>
      </c>
      <c r="I853" s="2">
        <f>E853*G852</f>
        <v>593.64451169829499</v>
      </c>
      <c r="J853" s="2">
        <f>I853-H853</f>
        <v>-117.55691070455282</v>
      </c>
      <c r="K853" s="2">
        <f t="shared" si="111"/>
        <v>117.55691070455282</v>
      </c>
      <c r="L853" s="14">
        <f>C853/B853</f>
        <v>1.0897856242118538</v>
      </c>
      <c r="M853" s="14">
        <f t="shared" si="113"/>
        <v>1.0906479025763609</v>
      </c>
      <c r="N853" s="14">
        <f t="shared" si="109"/>
        <v>1.0906969636432218</v>
      </c>
      <c r="O853" s="14">
        <f t="shared" si="110"/>
        <v>1.0916243744841956</v>
      </c>
      <c r="P853" s="14">
        <f t="shared" si="112"/>
        <v>1.0922388930223041</v>
      </c>
      <c r="Q853" s="4" t="str">
        <f t="shared" si="116"/>
        <v>UNDER</v>
      </c>
      <c r="R853" s="4" t="str">
        <f t="shared" si="116"/>
        <v>OVER</v>
      </c>
      <c r="S853" s="4" t="str">
        <f t="shared" si="114"/>
        <v>UNDER</v>
      </c>
      <c r="T853" s="4" t="str">
        <f t="shared" si="114"/>
        <v>UNDER</v>
      </c>
      <c r="U853" s="2">
        <f>IF(Q853="OVER",$J853,$K853)</f>
        <v>117.55691070455282</v>
      </c>
      <c r="V853" s="2">
        <f>IF(R853="OVER",$J853,$K853)</f>
        <v>-117.55691070455282</v>
      </c>
      <c r="W853" s="2">
        <f>IF(S853="OVER",$J853,$K853)</f>
        <v>117.55691070455282</v>
      </c>
      <c r="X853" s="2">
        <f>IF(T853="OVER",$J853,$K853)</f>
        <v>117.55691070455282</v>
      </c>
      <c r="Y853" s="9">
        <f t="shared" si="115"/>
        <v>-36214.53744477826</v>
      </c>
      <c r="Z853" s="9">
        <f t="shared" si="115"/>
        <v>-35244.005888414395</v>
      </c>
      <c r="AA853" s="9">
        <f t="shared" si="115"/>
        <v>49395.951738244919</v>
      </c>
      <c r="AB853" s="9">
        <f t="shared" si="115"/>
        <v>19407.669934436839</v>
      </c>
    </row>
    <row r="854" spans="1:28" x14ac:dyDescent="0.3">
      <c r="A854" s="1">
        <v>45652</v>
      </c>
      <c r="B854" s="2">
        <v>79.44</v>
      </c>
      <c r="C854" s="2">
        <v>86.61</v>
      </c>
      <c r="D854" s="9">
        <f>B854-B853</f>
        <v>0.14000000000000057</v>
      </c>
      <c r="E854" s="9">
        <f>C854-C853</f>
        <v>0.18999999999999773</v>
      </c>
      <c r="F854" s="3">
        <f>F$1/B854</f>
        <v>1258.8116817724069</v>
      </c>
      <c r="G854" s="3">
        <f>F$1/C854</f>
        <v>1154.6010853250202</v>
      </c>
      <c r="H854" s="2">
        <f>D854*F853</f>
        <v>176.54476670870187</v>
      </c>
      <c r="I854" s="2">
        <f>E854*G853</f>
        <v>219.85651469566966</v>
      </c>
      <c r="J854" s="2">
        <f>I854-H854</f>
        <v>43.311747986967788</v>
      </c>
      <c r="K854" s="2">
        <f t="shared" si="111"/>
        <v>-43.311747986967788</v>
      </c>
      <c r="L854" s="14">
        <f>C854/B854</f>
        <v>1.0902567975830817</v>
      </c>
      <c r="M854" s="14">
        <f t="shared" si="113"/>
        <v>1.0905144046909414</v>
      </c>
      <c r="N854" s="14">
        <f t="shared" si="109"/>
        <v>1.0906883960420606</v>
      </c>
      <c r="O854" s="14">
        <f t="shared" si="110"/>
        <v>1.0916315254190658</v>
      </c>
      <c r="P854" s="14">
        <f t="shared" si="112"/>
        <v>1.0922525130588181</v>
      </c>
      <c r="Q854" s="4" t="str">
        <f t="shared" si="116"/>
        <v>UNDER</v>
      </c>
      <c r="R854" s="4" t="str">
        <f t="shared" si="116"/>
        <v>UNDER</v>
      </c>
      <c r="S854" s="4" t="str">
        <f t="shared" si="114"/>
        <v>UNDER</v>
      </c>
      <c r="T854" s="4" t="str">
        <f t="shared" si="114"/>
        <v>UNDER</v>
      </c>
      <c r="U854" s="2">
        <f>IF(Q854="OVER",$J854,$K854)</f>
        <v>-43.311747986967788</v>
      </c>
      <c r="V854" s="2">
        <f>IF(R854="OVER",$J854,$K854)</f>
        <v>-43.311747986967788</v>
      </c>
      <c r="W854" s="2">
        <f>IF(S854="OVER",$J854,$K854)</f>
        <v>-43.311747986967788</v>
      </c>
      <c r="X854" s="2">
        <f>IF(T854="OVER",$J854,$K854)</f>
        <v>-43.311747986967788</v>
      </c>
      <c r="Y854" s="9">
        <f t="shared" si="115"/>
        <v>-36257.849192765229</v>
      </c>
      <c r="Z854" s="9">
        <f t="shared" si="115"/>
        <v>-35287.317636401363</v>
      </c>
      <c r="AA854" s="9">
        <f t="shared" si="115"/>
        <v>49352.639990257951</v>
      </c>
      <c r="AB854" s="9">
        <f t="shared" si="115"/>
        <v>19364.35818644987</v>
      </c>
    </row>
    <row r="855" spans="1:28" x14ac:dyDescent="0.3">
      <c r="A855" s="1">
        <v>45653</v>
      </c>
      <c r="B855" s="2">
        <v>78.73</v>
      </c>
      <c r="C855" s="2">
        <v>85.83</v>
      </c>
      <c r="D855" s="9">
        <f>B855-B854</f>
        <v>-0.70999999999999375</v>
      </c>
      <c r="E855" s="9">
        <f>C855-C854</f>
        <v>-0.78000000000000114</v>
      </c>
      <c r="F855" s="3">
        <f>F$1/B855</f>
        <v>1270.1638511367967</v>
      </c>
      <c r="G855" s="3">
        <f>F$1/C855</f>
        <v>1165.093790050099</v>
      </c>
      <c r="H855" s="2">
        <f>D855*F854</f>
        <v>-893.75629405840107</v>
      </c>
      <c r="I855" s="2">
        <f>E855*G854</f>
        <v>-900.5888465535171</v>
      </c>
      <c r="J855" s="2">
        <f>I855-H855</f>
        <v>-6.8325524951160332</v>
      </c>
      <c r="K855" s="2">
        <f t="shared" si="111"/>
        <v>6.8325524951160332</v>
      </c>
      <c r="L855" s="14">
        <f>C855/B855</f>
        <v>1.0901816334307124</v>
      </c>
      <c r="M855" s="14">
        <f t="shared" si="113"/>
        <v>1.0905929872695244</v>
      </c>
      <c r="N855" s="14">
        <f t="shared" ref="N855:N918" si="117">AVERAGE(L836:L855)</f>
        <v>1.0905935051780395</v>
      </c>
      <c r="O855" s="14">
        <f t="shared" si="110"/>
        <v>1.09162049124917</v>
      </c>
      <c r="P855" s="14">
        <f t="shared" si="112"/>
        <v>1.092262021969671</v>
      </c>
      <c r="Q855" s="4" t="str">
        <f t="shared" si="116"/>
        <v>UNDER</v>
      </c>
      <c r="R855" s="4" t="str">
        <f t="shared" si="116"/>
        <v>UNDER</v>
      </c>
      <c r="S855" s="4" t="str">
        <f t="shared" si="114"/>
        <v>UNDER</v>
      </c>
      <c r="T855" s="4" t="str">
        <f t="shared" si="114"/>
        <v>UNDER</v>
      </c>
      <c r="U855" s="2">
        <f>IF(Q855="OVER",$J855,$K855)</f>
        <v>6.8325524951160332</v>
      </c>
      <c r="V855" s="2">
        <f>IF(R855="OVER",$J855,$K855)</f>
        <v>6.8325524951160332</v>
      </c>
      <c r="W855" s="2">
        <f>IF(S855="OVER",$J855,$K855)</f>
        <v>6.8325524951160332</v>
      </c>
      <c r="X855" s="2">
        <f>IF(T855="OVER",$J855,$K855)</f>
        <v>6.8325524951160332</v>
      </c>
      <c r="Y855" s="9">
        <f t="shared" si="115"/>
        <v>-36251.016640270114</v>
      </c>
      <c r="Z855" s="9">
        <f t="shared" si="115"/>
        <v>-35280.485083906249</v>
      </c>
      <c r="AA855" s="9">
        <f t="shared" si="115"/>
        <v>49359.472542753065</v>
      </c>
      <c r="AB855" s="9">
        <f t="shared" si="115"/>
        <v>19371.190738944984</v>
      </c>
    </row>
    <row r="856" spans="1:28" x14ac:dyDescent="0.3">
      <c r="A856" s="1">
        <v>45656</v>
      </c>
      <c r="B856" s="2">
        <v>78.17</v>
      </c>
      <c r="C856" s="2">
        <v>85.1</v>
      </c>
      <c r="D856" s="9">
        <f>B856-B855</f>
        <v>-0.56000000000000227</v>
      </c>
      <c r="E856" s="9">
        <f>C856-C855</f>
        <v>-0.73000000000000398</v>
      </c>
      <c r="F856" s="3">
        <f>F$1/B856</f>
        <v>1279.263144428809</v>
      </c>
      <c r="G856" s="3">
        <f>F$1/C856</f>
        <v>1175.0881316098707</v>
      </c>
      <c r="H856" s="2">
        <f>D856*F855</f>
        <v>-711.29175663660897</v>
      </c>
      <c r="I856" s="2">
        <f>E856*G855</f>
        <v>-850.5184667365769</v>
      </c>
      <c r="J856" s="2">
        <f>I856-H856</f>
        <v>-139.22671009996793</v>
      </c>
      <c r="K856" s="2">
        <f t="shared" si="111"/>
        <v>139.22671009996793</v>
      </c>
      <c r="L856" s="14">
        <f>C856/B856</f>
        <v>1.0886529359089163</v>
      </c>
      <c r="M856" s="14">
        <f t="shared" si="113"/>
        <v>1.0904582808604162</v>
      </c>
      <c r="N856" s="14">
        <f t="shared" si="117"/>
        <v>1.0904940239500305</v>
      </c>
      <c r="O856" s="14">
        <f t="shared" si="110"/>
        <v>1.0915760732351871</v>
      </c>
      <c r="P856" s="14">
        <f t="shared" si="112"/>
        <v>1.0922439400157993</v>
      </c>
      <c r="Q856" s="4" t="str">
        <f t="shared" si="116"/>
        <v>UNDER</v>
      </c>
      <c r="R856" s="4" t="str">
        <f t="shared" si="116"/>
        <v>UNDER</v>
      </c>
      <c r="S856" s="4" t="str">
        <f t="shared" si="114"/>
        <v>UNDER</v>
      </c>
      <c r="T856" s="4" t="str">
        <f t="shared" si="114"/>
        <v>UNDER</v>
      </c>
      <c r="U856" s="2">
        <f>IF(Q856="OVER",$J856,$K856)</f>
        <v>139.22671009996793</v>
      </c>
      <c r="V856" s="2">
        <f>IF(R856="OVER",$J856,$K856)</f>
        <v>139.22671009996793</v>
      </c>
      <c r="W856" s="2">
        <f>IF(S856="OVER",$J856,$K856)</f>
        <v>139.22671009996793</v>
      </c>
      <c r="X856" s="2">
        <f>IF(T856="OVER",$J856,$K856)</f>
        <v>139.22671009996793</v>
      </c>
      <c r="Y856" s="9">
        <f t="shared" si="115"/>
        <v>-36111.789930170147</v>
      </c>
      <c r="Z856" s="9">
        <f t="shared" si="115"/>
        <v>-35141.258373806282</v>
      </c>
      <c r="AA856" s="9">
        <f t="shared" si="115"/>
        <v>49498.699252853032</v>
      </c>
      <c r="AB856" s="9">
        <f t="shared" si="115"/>
        <v>19510.417449044951</v>
      </c>
    </row>
    <row r="857" spans="1:28" x14ac:dyDescent="0.3">
      <c r="A857" s="1">
        <v>45657</v>
      </c>
      <c r="B857" s="2">
        <v>77.89</v>
      </c>
      <c r="C857" s="2">
        <v>84.97</v>
      </c>
      <c r="D857" s="9">
        <f>B857-B856</f>
        <v>-0.28000000000000114</v>
      </c>
      <c r="E857" s="9">
        <f>C857-C856</f>
        <v>-0.12999999999999545</v>
      </c>
      <c r="F857" s="3">
        <f>F$1/B857</f>
        <v>1283.8618564642445</v>
      </c>
      <c r="G857" s="3">
        <f>F$1/C857</f>
        <v>1176.8859597505002</v>
      </c>
      <c r="H857" s="2">
        <f>D857*F856</f>
        <v>-358.19368044006796</v>
      </c>
      <c r="I857" s="2">
        <f>E857*G856</f>
        <v>-152.76145710927784</v>
      </c>
      <c r="J857" s="2">
        <f>I857-H857</f>
        <v>205.43222333079012</v>
      </c>
      <c r="K857" s="2">
        <f t="shared" si="111"/>
        <v>-205.43222333079012</v>
      </c>
      <c r="L857" s="14">
        <f>C857/B857</f>
        <v>1.0908974194376684</v>
      </c>
      <c r="M857" s="14">
        <f t="shared" si="113"/>
        <v>1.0905198173601627</v>
      </c>
      <c r="N857" s="14">
        <f t="shared" si="117"/>
        <v>1.0909532918090736</v>
      </c>
      <c r="O857" s="14">
        <f t="shared" si="110"/>
        <v>1.0915793498092683</v>
      </c>
      <c r="P857" s="14">
        <f t="shared" si="112"/>
        <v>1.0922326145520629</v>
      </c>
      <c r="Q857" s="4" t="str">
        <f t="shared" si="116"/>
        <v>UNDER</v>
      </c>
      <c r="R857" s="4" t="str">
        <f t="shared" si="116"/>
        <v>UNDER</v>
      </c>
      <c r="S857" s="4" t="str">
        <f t="shared" si="114"/>
        <v>UNDER</v>
      </c>
      <c r="T857" s="4" t="str">
        <f t="shared" si="114"/>
        <v>UNDER</v>
      </c>
      <c r="U857" s="2">
        <f>IF(Q857="OVER",$J857,$K857)</f>
        <v>-205.43222333079012</v>
      </c>
      <c r="V857" s="2">
        <f>IF(R857="OVER",$J857,$K857)</f>
        <v>-205.43222333079012</v>
      </c>
      <c r="W857" s="2">
        <f>IF(S857="OVER",$J857,$K857)</f>
        <v>-205.43222333079012</v>
      </c>
      <c r="X857" s="2">
        <f>IF(T857="OVER",$J857,$K857)</f>
        <v>-205.43222333079012</v>
      </c>
      <c r="Y857" s="9">
        <f t="shared" si="115"/>
        <v>-36317.222153500938</v>
      </c>
      <c r="Z857" s="9">
        <f t="shared" si="115"/>
        <v>-35346.690597137072</v>
      </c>
      <c r="AA857" s="9">
        <f t="shared" si="115"/>
        <v>49293.267029522242</v>
      </c>
      <c r="AB857" s="9">
        <f t="shared" si="115"/>
        <v>19304.985225714161</v>
      </c>
    </row>
    <row r="858" spans="1:28" x14ac:dyDescent="0.3">
      <c r="A858" s="1">
        <v>45659</v>
      </c>
      <c r="B858" s="2">
        <v>78</v>
      </c>
      <c r="C858" s="2">
        <v>85.02</v>
      </c>
      <c r="D858" s="9">
        <f>B858-B857</f>
        <v>0.10999999999999943</v>
      </c>
      <c r="E858" s="9">
        <f>C858-C857</f>
        <v>4.9999999999997158E-2</v>
      </c>
      <c r="F858" s="3">
        <f>F$1/B858</f>
        <v>1282.051282051282</v>
      </c>
      <c r="G858" s="3">
        <f>F$1/C858</f>
        <v>1176.1938367442956</v>
      </c>
      <c r="H858" s="2">
        <f>D858*F857</f>
        <v>141.22480421106616</v>
      </c>
      <c r="I858" s="2">
        <f>E858*G857</f>
        <v>58.844297987521664</v>
      </c>
      <c r="J858" s="2">
        <f>I858-H858</f>
        <v>-82.380506223544501</v>
      </c>
      <c r="K858" s="2">
        <f t="shared" si="111"/>
        <v>82.380506223544501</v>
      </c>
      <c r="L858" s="14">
        <f>C858/B858</f>
        <v>1.0899999999999999</v>
      </c>
      <c r="M858" s="14">
        <f t="shared" si="113"/>
        <v>1.0905065698672816</v>
      </c>
      <c r="N858" s="14">
        <f t="shared" si="117"/>
        <v>1.0908776460526162</v>
      </c>
      <c r="O858" s="14">
        <f t="shared" si="110"/>
        <v>1.0915618720759523</v>
      </c>
      <c r="P858" s="14">
        <f t="shared" si="112"/>
        <v>1.0922155202966251</v>
      </c>
      <c r="Q858" s="4" t="str">
        <f t="shared" si="116"/>
        <v>OVER</v>
      </c>
      <c r="R858" s="4" t="str">
        <f t="shared" si="116"/>
        <v>UNDER</v>
      </c>
      <c r="S858" s="4" t="str">
        <f t="shared" si="114"/>
        <v>UNDER</v>
      </c>
      <c r="T858" s="4" t="str">
        <f t="shared" si="114"/>
        <v>UNDER</v>
      </c>
      <c r="U858" s="2">
        <f>IF(Q858="OVER",$J858,$K858)</f>
        <v>-82.380506223544501</v>
      </c>
      <c r="V858" s="2">
        <f>IF(R858="OVER",$J858,$K858)</f>
        <v>82.380506223544501</v>
      </c>
      <c r="W858" s="2">
        <f>IF(S858="OVER",$J858,$K858)</f>
        <v>82.380506223544501</v>
      </c>
      <c r="X858" s="2">
        <f>IF(T858="OVER",$J858,$K858)</f>
        <v>82.380506223544501</v>
      </c>
      <c r="Y858" s="9">
        <f t="shared" si="115"/>
        <v>-36399.602659724485</v>
      </c>
      <c r="Z858" s="9">
        <f t="shared" si="115"/>
        <v>-35264.310090913525</v>
      </c>
      <c r="AA858" s="9">
        <f t="shared" si="115"/>
        <v>49375.647535745789</v>
      </c>
      <c r="AB858" s="9">
        <f t="shared" si="115"/>
        <v>19387.365731937705</v>
      </c>
    </row>
    <row r="859" spans="1:28" x14ac:dyDescent="0.3">
      <c r="A859" s="1">
        <v>45660</v>
      </c>
      <c r="B859" s="2">
        <v>79.02</v>
      </c>
      <c r="C859" s="2">
        <v>86.29</v>
      </c>
      <c r="D859" s="9">
        <f>B859-B858</f>
        <v>1.019999999999996</v>
      </c>
      <c r="E859" s="9">
        <f>C859-C858</f>
        <v>1.2700000000000102</v>
      </c>
      <c r="F859" s="3">
        <f>F$1/B859</f>
        <v>1265.5024044545685</v>
      </c>
      <c r="G859" s="3">
        <f>F$1/C859</f>
        <v>1158.8828369451849</v>
      </c>
      <c r="H859" s="2">
        <f>D859*F858</f>
        <v>1307.6923076923026</v>
      </c>
      <c r="I859" s="2">
        <f>E859*G858</f>
        <v>1493.7661726652675</v>
      </c>
      <c r="J859" s="2">
        <f>I859-H859</f>
        <v>186.07386497296488</v>
      </c>
      <c r="K859" s="2">
        <f t="shared" si="111"/>
        <v>-186.07386497296488</v>
      </c>
      <c r="L859" s="14">
        <f>C859/B859</f>
        <v>1.0920020248038473</v>
      </c>
      <c r="M859" s="14">
        <f t="shared" si="113"/>
        <v>1.0907772949250383</v>
      </c>
      <c r="N859" s="14">
        <f t="shared" si="117"/>
        <v>1.0907864195123087</v>
      </c>
      <c r="O859" s="14">
        <f t="shared" si="110"/>
        <v>1.091597808816706</v>
      </c>
      <c r="P859" s="14">
        <f t="shared" si="112"/>
        <v>1.0922065186953511</v>
      </c>
      <c r="Q859" s="4" t="str">
        <f t="shared" si="116"/>
        <v>UNDER</v>
      </c>
      <c r="R859" s="4" t="str">
        <f t="shared" si="116"/>
        <v>UNDER</v>
      </c>
      <c r="S859" s="4" t="str">
        <f t="shared" si="114"/>
        <v>OVER</v>
      </c>
      <c r="T859" s="4" t="str">
        <f t="shared" si="114"/>
        <v>UNDER</v>
      </c>
      <c r="U859" s="2">
        <f>IF(Q859="OVER",$J859,$K859)</f>
        <v>-186.07386497296488</v>
      </c>
      <c r="V859" s="2">
        <f>IF(R859="OVER",$J859,$K859)</f>
        <v>-186.07386497296488</v>
      </c>
      <c r="W859" s="2">
        <f>IF(S859="OVER",$J859,$K859)</f>
        <v>186.07386497296488</v>
      </c>
      <c r="X859" s="2">
        <f>IF(T859="OVER",$J859,$K859)</f>
        <v>-186.07386497296488</v>
      </c>
      <c r="Y859" s="9">
        <f t="shared" si="115"/>
        <v>-36585.676524697454</v>
      </c>
      <c r="Z859" s="9">
        <f t="shared" si="115"/>
        <v>-35450.383955886493</v>
      </c>
      <c r="AA859" s="9">
        <f t="shared" si="115"/>
        <v>49561.721400718758</v>
      </c>
      <c r="AB859" s="9">
        <f t="shared" si="115"/>
        <v>19201.291866964741</v>
      </c>
    </row>
    <row r="860" spans="1:28" x14ac:dyDescent="0.3">
      <c r="A860" s="1">
        <v>45663</v>
      </c>
      <c r="B860" s="2">
        <v>79.53</v>
      </c>
      <c r="C860" s="2">
        <v>86.82</v>
      </c>
      <c r="D860" s="9">
        <f>B860-B859</f>
        <v>0.51000000000000512</v>
      </c>
      <c r="E860" s="9">
        <f>C860-C859</f>
        <v>0.52999999999998693</v>
      </c>
      <c r="F860" s="3">
        <f>F$1/B860</f>
        <v>1257.387149503332</v>
      </c>
      <c r="G860" s="3">
        <f>F$1/C860</f>
        <v>1151.808339092375</v>
      </c>
      <c r="H860" s="2">
        <f>D860*F859</f>
        <v>645.40622627183643</v>
      </c>
      <c r="I860" s="2">
        <f>E860*G859</f>
        <v>614.20790358093279</v>
      </c>
      <c r="J860" s="2">
        <f>I860-H860</f>
        <v>-31.198322690903638</v>
      </c>
      <c r="K860" s="2">
        <f t="shared" si="111"/>
        <v>31.198322690903638</v>
      </c>
      <c r="L860" s="14">
        <f>C860/B860</f>
        <v>1.0916635231987928</v>
      </c>
      <c r="M860" s="14">
        <f t="shared" si="113"/>
        <v>1.0905546373819741</v>
      </c>
      <c r="N860" s="14">
        <f t="shared" si="117"/>
        <v>1.0908023765193939</v>
      </c>
      <c r="O860" s="14">
        <f t="shared" si="110"/>
        <v>1.0916107728667632</v>
      </c>
      <c r="P860" s="14">
        <f t="shared" si="112"/>
        <v>1.092198031332092</v>
      </c>
      <c r="Q860" s="4" t="str">
        <f t="shared" si="116"/>
        <v>OVER</v>
      </c>
      <c r="R860" s="4" t="str">
        <f t="shared" si="116"/>
        <v>OVER</v>
      </c>
      <c r="S860" s="4" t="str">
        <f t="shared" si="114"/>
        <v>OVER</v>
      </c>
      <c r="T860" s="4" t="str">
        <f t="shared" si="114"/>
        <v>UNDER</v>
      </c>
      <c r="U860" s="2">
        <f>IF(Q860="OVER",$J860,$K860)</f>
        <v>-31.198322690903638</v>
      </c>
      <c r="V860" s="2">
        <f>IF(R860="OVER",$J860,$K860)</f>
        <v>-31.198322690903638</v>
      </c>
      <c r="W860" s="2">
        <f>IF(S860="OVER",$J860,$K860)</f>
        <v>-31.198322690903638</v>
      </c>
      <c r="X860" s="2">
        <f>IF(T860="OVER",$J860,$K860)</f>
        <v>31.198322690903638</v>
      </c>
      <c r="Y860" s="9">
        <f t="shared" si="115"/>
        <v>-36616.874847388361</v>
      </c>
      <c r="Z860" s="9">
        <f t="shared" si="115"/>
        <v>-35481.5822785774</v>
      </c>
      <c r="AA860" s="9">
        <f t="shared" si="115"/>
        <v>49530.523078027851</v>
      </c>
      <c r="AB860" s="9">
        <f t="shared" si="115"/>
        <v>19232.490189655644</v>
      </c>
    </row>
    <row r="861" spans="1:28" x14ac:dyDescent="0.3">
      <c r="A861" s="1">
        <v>45664</v>
      </c>
      <c r="B861" s="2">
        <v>78.77</v>
      </c>
      <c r="C861" s="2">
        <v>85.9</v>
      </c>
      <c r="D861" s="9">
        <f>B861-B860</f>
        <v>-0.76000000000000512</v>
      </c>
      <c r="E861" s="9">
        <f>C861-C860</f>
        <v>-0.91999999999998749</v>
      </c>
      <c r="F861" s="3">
        <f>F$1/B861</f>
        <v>1269.5188523549575</v>
      </c>
      <c r="G861" s="3">
        <f>F$1/C861</f>
        <v>1164.1443538998835</v>
      </c>
      <c r="H861" s="2">
        <f>D861*F860</f>
        <v>-955.61423362253879</v>
      </c>
      <c r="I861" s="2">
        <f>E861*G860</f>
        <v>-1059.6636719649707</v>
      </c>
      <c r="J861" s="2">
        <f>I861-H861</f>
        <v>-104.04943834243193</v>
      </c>
      <c r="K861" s="2">
        <f t="shared" si="111"/>
        <v>104.04943834243193</v>
      </c>
      <c r="L861" s="14">
        <f>C861/B861</f>
        <v>1.0905166941729085</v>
      </c>
      <c r="M861" s="14">
        <f t="shared" si="113"/>
        <v>1.0905015834866147</v>
      </c>
      <c r="N861" s="14">
        <f t="shared" si="117"/>
        <v>1.0907733078286752</v>
      </c>
      <c r="O861" s="14">
        <f t="shared" si="110"/>
        <v>1.0916102155330438</v>
      </c>
      <c r="P861" s="14">
        <f t="shared" si="112"/>
        <v>1.0921853064329126</v>
      </c>
      <c r="Q861" s="4" t="str">
        <f t="shared" si="116"/>
        <v>OVER</v>
      </c>
      <c r="R861" s="4" t="str">
        <f t="shared" si="116"/>
        <v>OVER</v>
      </c>
      <c r="S861" s="4" t="str">
        <f t="shared" si="114"/>
        <v>UNDER</v>
      </c>
      <c r="T861" s="4" t="str">
        <f t="shared" si="114"/>
        <v>UNDER</v>
      </c>
      <c r="U861" s="2">
        <f>IF(Q861="OVER",$J861,$K861)</f>
        <v>-104.04943834243193</v>
      </c>
      <c r="V861" s="2">
        <f>IF(R861="OVER",$J861,$K861)</f>
        <v>-104.04943834243193</v>
      </c>
      <c r="W861" s="2">
        <f>IF(S861="OVER",$J861,$K861)</f>
        <v>104.04943834243193</v>
      </c>
      <c r="X861" s="2">
        <f>IF(T861="OVER",$J861,$K861)</f>
        <v>104.04943834243193</v>
      </c>
      <c r="Y861" s="9">
        <f t="shared" si="115"/>
        <v>-36720.924285730791</v>
      </c>
      <c r="Z861" s="9">
        <f t="shared" si="115"/>
        <v>-35585.63171691983</v>
      </c>
      <c r="AA861" s="9">
        <f t="shared" si="115"/>
        <v>49634.572516370281</v>
      </c>
      <c r="AB861" s="9">
        <f t="shared" si="115"/>
        <v>19336.539627998074</v>
      </c>
    </row>
    <row r="862" spans="1:28" x14ac:dyDescent="0.3">
      <c r="A862" s="1">
        <v>45665</v>
      </c>
      <c r="B862" s="2">
        <v>78.48</v>
      </c>
      <c r="C862" s="2">
        <v>85.58</v>
      </c>
      <c r="D862" s="9">
        <f>B862-B861</f>
        <v>-0.28999999999999204</v>
      </c>
      <c r="E862" s="9">
        <f>C862-C861</f>
        <v>-0.32000000000000739</v>
      </c>
      <c r="F862" s="3">
        <f>F$1/B862</f>
        <v>1274.20998980632</v>
      </c>
      <c r="G862" s="3">
        <f>F$1/C862</f>
        <v>1168.4973124561814</v>
      </c>
      <c r="H862" s="2">
        <f>D862*F861</f>
        <v>-368.16046718292756</v>
      </c>
      <c r="I862" s="2">
        <f>E862*G861</f>
        <v>-372.52619324797132</v>
      </c>
      <c r="J862" s="2">
        <f>I862-H862</f>
        <v>-4.3657260650437593</v>
      </c>
      <c r="K862" s="2">
        <f t="shared" si="111"/>
        <v>4.3657260650437593</v>
      </c>
      <c r="L862" s="14">
        <f>C862/B862</f>
        <v>1.0904689092762487</v>
      </c>
      <c r="M862" s="14">
        <f t="shared" si="113"/>
        <v>1.0904425562024032</v>
      </c>
      <c r="N862" s="14">
        <f t="shared" si="117"/>
        <v>1.0907954022730824</v>
      </c>
      <c r="O862" s="14">
        <f t="shared" si="110"/>
        <v>1.0915564167297116</v>
      </c>
      <c r="P862" s="14">
        <f t="shared" si="112"/>
        <v>1.0921669815521027</v>
      </c>
      <c r="Q862" s="4" t="str">
        <f t="shared" si="116"/>
        <v>OVER</v>
      </c>
      <c r="R862" s="4" t="str">
        <f t="shared" si="116"/>
        <v>UNDER</v>
      </c>
      <c r="S862" s="4" t="str">
        <f t="shared" si="114"/>
        <v>UNDER</v>
      </c>
      <c r="T862" s="4" t="str">
        <f t="shared" si="114"/>
        <v>UNDER</v>
      </c>
      <c r="U862" s="2">
        <f>IF(Q862="OVER",$J862,$K862)</f>
        <v>-4.3657260650437593</v>
      </c>
      <c r="V862" s="2">
        <f>IF(R862="OVER",$J862,$K862)</f>
        <v>4.3657260650437593</v>
      </c>
      <c r="W862" s="2">
        <f>IF(S862="OVER",$J862,$K862)</f>
        <v>4.3657260650437593</v>
      </c>
      <c r="X862" s="2">
        <f>IF(T862="OVER",$J862,$K862)</f>
        <v>4.3657260650437593</v>
      </c>
      <c r="Y862" s="9">
        <f t="shared" si="115"/>
        <v>-36725.290011795834</v>
      </c>
      <c r="Z862" s="9">
        <f t="shared" si="115"/>
        <v>-35581.265990854787</v>
      </c>
      <c r="AA862" s="9">
        <f t="shared" si="115"/>
        <v>49638.938242435324</v>
      </c>
      <c r="AB862" s="9">
        <f t="shared" si="115"/>
        <v>19340.905354063118</v>
      </c>
    </row>
    <row r="863" spans="1:28" x14ac:dyDescent="0.3">
      <c r="A863" s="1">
        <v>45667</v>
      </c>
      <c r="B863" s="2">
        <v>77.849999999999994</v>
      </c>
      <c r="C863" s="2">
        <v>84.9</v>
      </c>
      <c r="D863" s="9">
        <f>B863-B862</f>
        <v>-0.63000000000000966</v>
      </c>
      <c r="E863" s="9">
        <f>C863-C862</f>
        <v>-0.67999999999999261</v>
      </c>
      <c r="F863" s="3">
        <f>F$1/B863</f>
        <v>1284.5215157353887</v>
      </c>
      <c r="G863" s="3">
        <f>F$1/C863</f>
        <v>1177.8563015312131</v>
      </c>
      <c r="H863" s="2">
        <f>D863*F862</f>
        <v>-802.7522935779939</v>
      </c>
      <c r="I863" s="2">
        <f>E863*G862</f>
        <v>-794.57817247019466</v>
      </c>
      <c r="J863" s="2">
        <f>I863-H863</f>
        <v>8.1741211077992375</v>
      </c>
      <c r="K863" s="2">
        <f t="shared" si="111"/>
        <v>-8.1741211077992375</v>
      </c>
      <c r="L863" s="14">
        <f>C863/B863</f>
        <v>1.0905587668593451</v>
      </c>
      <c r="M863" s="14">
        <f t="shared" si="113"/>
        <v>1.0905198704671522</v>
      </c>
      <c r="N863" s="14">
        <f t="shared" si="117"/>
        <v>1.0905838865217565</v>
      </c>
      <c r="O863" s="14">
        <f t="shared" si="110"/>
        <v>1.091487844416583</v>
      </c>
      <c r="P863" s="14">
        <f t="shared" si="112"/>
        <v>1.0921573595556999</v>
      </c>
      <c r="Q863" s="4" t="str">
        <f t="shared" si="116"/>
        <v>OVER</v>
      </c>
      <c r="R863" s="4" t="str">
        <f t="shared" si="116"/>
        <v>UNDER</v>
      </c>
      <c r="S863" s="4" t="str">
        <f t="shared" si="114"/>
        <v>UNDER</v>
      </c>
      <c r="T863" s="4" t="str">
        <f t="shared" si="114"/>
        <v>UNDER</v>
      </c>
      <c r="U863" s="2">
        <f>IF(Q863="OVER",$J863,$K863)</f>
        <v>8.1741211077992375</v>
      </c>
      <c r="V863" s="2">
        <f>IF(R863="OVER",$J863,$K863)</f>
        <v>-8.1741211077992375</v>
      </c>
      <c r="W863" s="2">
        <f>IF(S863="OVER",$J863,$K863)</f>
        <v>-8.1741211077992375</v>
      </c>
      <c r="X863" s="2">
        <f>IF(T863="OVER",$J863,$K863)</f>
        <v>-8.1741211077992375</v>
      </c>
      <c r="Y863" s="9">
        <f t="shared" si="115"/>
        <v>-36717.115890688037</v>
      </c>
      <c r="Z863" s="9">
        <f t="shared" si="115"/>
        <v>-35589.440111962584</v>
      </c>
      <c r="AA863" s="9">
        <f t="shared" si="115"/>
        <v>49630.764121327527</v>
      </c>
      <c r="AB863" s="9">
        <f t="shared" si="115"/>
        <v>19332.731232955317</v>
      </c>
    </row>
    <row r="864" spans="1:28" x14ac:dyDescent="0.3">
      <c r="A864" s="1">
        <v>45670</v>
      </c>
      <c r="B864" s="2">
        <v>77.55</v>
      </c>
      <c r="C864" s="2">
        <v>84.61</v>
      </c>
      <c r="D864" s="9">
        <f>B864-B863</f>
        <v>-0.29999999999999716</v>
      </c>
      <c r="E864" s="9">
        <f>C864-C863</f>
        <v>-0.29000000000000625</v>
      </c>
      <c r="F864" s="3">
        <f>F$1/B864</f>
        <v>1289.4906511927788</v>
      </c>
      <c r="G864" s="3">
        <f>F$1/C864</f>
        <v>1181.8933932159318</v>
      </c>
      <c r="H864" s="2">
        <f>D864*F863</f>
        <v>-385.35645472061293</v>
      </c>
      <c r="I864" s="2">
        <f>E864*G863</f>
        <v>-341.5783274440592</v>
      </c>
      <c r="J864" s="2">
        <f>I864-H864</f>
        <v>43.778127276553732</v>
      </c>
      <c r="K864" s="2">
        <f t="shared" si="111"/>
        <v>-43.778127276553732</v>
      </c>
      <c r="L864" s="14">
        <f>C864/B864</f>
        <v>1.0910380399742101</v>
      </c>
      <c r="M864" s="14">
        <f t="shared" si="113"/>
        <v>1.0905979947062652</v>
      </c>
      <c r="N864" s="14">
        <f t="shared" si="117"/>
        <v>1.0905561996986033</v>
      </c>
      <c r="O864" s="14">
        <f t="shared" si="110"/>
        <v>1.0914432801386678</v>
      </c>
      <c r="P864" s="14">
        <f t="shared" si="112"/>
        <v>1.0921439500578936</v>
      </c>
      <c r="Q864" s="4" t="str">
        <f t="shared" si="116"/>
        <v>OVER</v>
      </c>
      <c r="R864" s="4" t="str">
        <f t="shared" si="116"/>
        <v>UNDER</v>
      </c>
      <c r="S864" s="4" t="str">
        <f t="shared" si="114"/>
        <v>UNDER</v>
      </c>
      <c r="T864" s="4" t="str">
        <f t="shared" si="114"/>
        <v>UNDER</v>
      </c>
      <c r="U864" s="2">
        <f>IF(Q864="OVER",$J864,$K864)</f>
        <v>43.778127276553732</v>
      </c>
      <c r="V864" s="2">
        <f>IF(R864="OVER",$J864,$K864)</f>
        <v>-43.778127276553732</v>
      </c>
      <c r="W864" s="2">
        <f>IF(S864="OVER",$J864,$K864)</f>
        <v>-43.778127276553732</v>
      </c>
      <c r="X864" s="2">
        <f>IF(T864="OVER",$J864,$K864)</f>
        <v>-43.778127276553732</v>
      </c>
      <c r="Y864" s="9">
        <f t="shared" si="115"/>
        <v>-36673.33776341148</v>
      </c>
      <c r="Z864" s="9">
        <f t="shared" si="115"/>
        <v>-35633.218239239141</v>
      </c>
      <c r="AA864" s="9">
        <f t="shared" si="115"/>
        <v>49586.98599405097</v>
      </c>
      <c r="AB864" s="9">
        <f t="shared" si="115"/>
        <v>19288.953105678764</v>
      </c>
    </row>
    <row r="865" spans="1:28" x14ac:dyDescent="0.3">
      <c r="A865" s="1">
        <v>45671</v>
      </c>
      <c r="B865" s="2">
        <v>77.98</v>
      </c>
      <c r="C865" s="2">
        <v>85.13</v>
      </c>
      <c r="D865" s="9">
        <f>B865-B864</f>
        <v>0.43000000000000682</v>
      </c>
      <c r="E865" s="9">
        <f>C865-C864</f>
        <v>0.51999999999999602</v>
      </c>
      <c r="F865" s="3">
        <f>F$1/B865</f>
        <v>1282.3800974608873</v>
      </c>
      <c r="G865" s="3">
        <f>F$1/C865</f>
        <v>1174.6740279572418</v>
      </c>
      <c r="H865" s="2">
        <f>D865*F864</f>
        <v>554.48098001290373</v>
      </c>
      <c r="I865" s="2">
        <f>E865*G864</f>
        <v>614.58456447227991</v>
      </c>
      <c r="J865" s="2">
        <f>I865-H865</f>
        <v>60.103584459376179</v>
      </c>
      <c r="K865" s="2">
        <f t="shared" si="111"/>
        <v>-60.103584459376179</v>
      </c>
      <c r="L865" s="14">
        <f>C865/B865</f>
        <v>1.0916901769684533</v>
      </c>
      <c r="M865" s="14">
        <f t="shared" si="113"/>
        <v>1.0907488490600392</v>
      </c>
      <c r="N865" s="14">
        <f t="shared" si="117"/>
        <v>1.0906709181647818</v>
      </c>
      <c r="O865" s="14">
        <f t="shared" si="110"/>
        <v>1.0914422212927157</v>
      </c>
      <c r="P865" s="14">
        <f t="shared" si="112"/>
        <v>1.0921323271520826</v>
      </c>
      <c r="Q865" s="4" t="str">
        <f t="shared" si="116"/>
        <v>OVER</v>
      </c>
      <c r="R865" s="4" t="str">
        <f t="shared" si="116"/>
        <v>OVER</v>
      </c>
      <c r="S865" s="4" t="str">
        <f t="shared" si="114"/>
        <v>OVER</v>
      </c>
      <c r="T865" s="4" t="str">
        <f t="shared" si="114"/>
        <v>UNDER</v>
      </c>
      <c r="U865" s="2">
        <f>IF(Q865="OVER",$J865,$K865)</f>
        <v>60.103584459376179</v>
      </c>
      <c r="V865" s="2">
        <f>IF(R865="OVER",$J865,$K865)</f>
        <v>60.103584459376179</v>
      </c>
      <c r="W865" s="2">
        <f>IF(S865="OVER",$J865,$K865)</f>
        <v>60.103584459376179</v>
      </c>
      <c r="X865" s="2">
        <f>IF(T865="OVER",$J865,$K865)</f>
        <v>-60.103584459376179</v>
      </c>
      <c r="Y865" s="9">
        <f t="shared" si="115"/>
        <v>-36613.234178952102</v>
      </c>
      <c r="Z865" s="9">
        <f t="shared" si="115"/>
        <v>-35573.114654779762</v>
      </c>
      <c r="AA865" s="9">
        <f t="shared" si="115"/>
        <v>49647.089578510349</v>
      </c>
      <c r="AB865" s="9">
        <f t="shared" si="115"/>
        <v>19228.849521219388</v>
      </c>
    </row>
    <row r="866" spans="1:28" x14ac:dyDescent="0.3">
      <c r="A866" s="1">
        <v>45672</v>
      </c>
      <c r="B866" s="2">
        <v>78.900000000000006</v>
      </c>
      <c r="C866" s="2">
        <v>85.87</v>
      </c>
      <c r="D866" s="9">
        <f>B866-B865</f>
        <v>0.92000000000000171</v>
      </c>
      <c r="E866" s="9">
        <f>C866-C865</f>
        <v>0.74000000000000909</v>
      </c>
      <c r="F866" s="3">
        <f>F$1/B866</f>
        <v>1267.4271229404308</v>
      </c>
      <c r="G866" s="3">
        <f>F$1/C866</f>
        <v>1164.5510655642249</v>
      </c>
      <c r="H866" s="2">
        <f>D866*F865</f>
        <v>1179.7896896640186</v>
      </c>
      <c r="I866" s="2">
        <f>E866*G865</f>
        <v>869.2587806883696</v>
      </c>
      <c r="J866" s="2">
        <f>I866-H866</f>
        <v>-310.53090897564903</v>
      </c>
      <c r="K866" s="2">
        <f t="shared" si="111"/>
        <v>310.53090897564903</v>
      </c>
      <c r="L866" s="14">
        <f>C866/B866</f>
        <v>1.0883396704689481</v>
      </c>
      <c r="M866" s="14">
        <f t="shared" si="113"/>
        <v>1.0907175225160421</v>
      </c>
      <c r="N866" s="14">
        <f t="shared" si="117"/>
        <v>1.0905879016882294</v>
      </c>
      <c r="O866" s="14">
        <f t="shared" si="110"/>
        <v>1.0913387359836784</v>
      </c>
      <c r="P866" s="14">
        <f t="shared" si="112"/>
        <v>1.0921092117037703</v>
      </c>
      <c r="Q866" s="4" t="str">
        <f t="shared" si="116"/>
        <v>OVER</v>
      </c>
      <c r="R866" s="4" t="str">
        <f t="shared" si="116"/>
        <v>OVER</v>
      </c>
      <c r="S866" s="4" t="str">
        <f t="shared" si="114"/>
        <v>UNDER</v>
      </c>
      <c r="T866" s="4" t="str">
        <f t="shared" si="114"/>
        <v>UNDER</v>
      </c>
      <c r="U866" s="2">
        <f>IF(Q866="OVER",$J866,$K866)</f>
        <v>-310.53090897564903</v>
      </c>
      <c r="V866" s="2">
        <f>IF(R866="OVER",$J866,$K866)</f>
        <v>-310.53090897564903</v>
      </c>
      <c r="W866" s="2">
        <f>IF(S866="OVER",$J866,$K866)</f>
        <v>310.53090897564903</v>
      </c>
      <c r="X866" s="2">
        <f>IF(T866="OVER",$J866,$K866)</f>
        <v>310.53090897564903</v>
      </c>
      <c r="Y866" s="9">
        <f t="shared" si="115"/>
        <v>-36923.76508792775</v>
      </c>
      <c r="Z866" s="9">
        <f t="shared" si="115"/>
        <v>-35883.64556375541</v>
      </c>
      <c r="AA866" s="9">
        <f t="shared" si="115"/>
        <v>49957.620487485998</v>
      </c>
      <c r="AB866" s="9">
        <f t="shared" si="115"/>
        <v>19539.380430195037</v>
      </c>
    </row>
    <row r="867" spans="1:28" x14ac:dyDescent="0.3">
      <c r="A867" s="1">
        <v>45673</v>
      </c>
      <c r="B867" s="2">
        <v>79.27</v>
      </c>
      <c r="C867" s="2">
        <v>86.33</v>
      </c>
      <c r="D867" s="9">
        <f>B867-B866</f>
        <v>0.36999999999999034</v>
      </c>
      <c r="E867" s="9">
        <f>C867-C866</f>
        <v>0.45999999999999375</v>
      </c>
      <c r="F867" s="3">
        <f>F$1/B867</f>
        <v>1261.5112905260503</v>
      </c>
      <c r="G867" s="3">
        <f>F$1/C867</f>
        <v>1158.3458820803892</v>
      </c>
      <c r="H867" s="2">
        <f>D867*F866</f>
        <v>468.94803548794715</v>
      </c>
      <c r="I867" s="2">
        <f>E867*G866</f>
        <v>535.69349015953617</v>
      </c>
      <c r="J867" s="2">
        <f>I867-H867</f>
        <v>66.745454671589016</v>
      </c>
      <c r="K867" s="2">
        <f t="shared" si="111"/>
        <v>-66.745454671589016</v>
      </c>
      <c r="L867" s="14">
        <f>C867/B867</f>
        <v>1.0890626971111392</v>
      </c>
      <c r="M867" s="14">
        <f t="shared" si="113"/>
        <v>1.0905340502833893</v>
      </c>
      <c r="N867" s="14">
        <f t="shared" si="117"/>
        <v>1.090526933821776</v>
      </c>
      <c r="O867" s="14">
        <f t="shared" si="110"/>
        <v>1.0912795311146395</v>
      </c>
      <c r="P867" s="14">
        <f t="shared" si="112"/>
        <v>1.0920866768793507</v>
      </c>
      <c r="Q867" s="4" t="str">
        <f t="shared" si="116"/>
        <v>UNDER</v>
      </c>
      <c r="R867" s="4" t="str">
        <f t="shared" si="116"/>
        <v>UNDER</v>
      </c>
      <c r="S867" s="4" t="str">
        <f t="shared" si="114"/>
        <v>UNDER</v>
      </c>
      <c r="T867" s="4" t="str">
        <f t="shared" si="114"/>
        <v>UNDER</v>
      </c>
      <c r="U867" s="2">
        <f>IF(Q867="OVER",$J867,$K867)</f>
        <v>-66.745454671589016</v>
      </c>
      <c r="V867" s="2">
        <f>IF(R867="OVER",$J867,$K867)</f>
        <v>-66.745454671589016</v>
      </c>
      <c r="W867" s="2">
        <f>IF(S867="OVER",$J867,$K867)</f>
        <v>-66.745454671589016</v>
      </c>
      <c r="X867" s="2">
        <f>IF(T867="OVER",$J867,$K867)</f>
        <v>-66.745454671589016</v>
      </c>
      <c r="Y867" s="9">
        <f t="shared" si="115"/>
        <v>-36990.510542599339</v>
      </c>
      <c r="Z867" s="9">
        <f t="shared" si="115"/>
        <v>-35950.391018426999</v>
      </c>
      <c r="AA867" s="9">
        <f t="shared" si="115"/>
        <v>49890.875032814409</v>
      </c>
      <c r="AB867" s="9">
        <f t="shared" si="115"/>
        <v>19472.634975523448</v>
      </c>
    </row>
    <row r="868" spans="1:28" x14ac:dyDescent="0.3">
      <c r="A868" s="1">
        <v>45674</v>
      </c>
      <c r="B868" s="2">
        <v>79.900000000000006</v>
      </c>
      <c r="C868" s="2">
        <v>87.04</v>
      </c>
      <c r="D868" s="9">
        <f>B868-B867</f>
        <v>0.63000000000000966</v>
      </c>
      <c r="E868" s="9">
        <f>C868-C867</f>
        <v>0.71000000000000796</v>
      </c>
      <c r="F868" s="3">
        <f>F$1/B868</f>
        <v>1251.5644555694616</v>
      </c>
      <c r="G868" s="3">
        <f>F$1/C868</f>
        <v>1148.8970588235293</v>
      </c>
      <c r="H868" s="2">
        <f>D868*F867</f>
        <v>794.75211303142385</v>
      </c>
      <c r="I868" s="2">
        <f>E868*G867</f>
        <v>822.4255762770855</v>
      </c>
      <c r="J868" s="2">
        <f>I868-H868</f>
        <v>27.673463245661651</v>
      </c>
      <c r="K868" s="2">
        <f t="shared" si="111"/>
        <v>-27.673463245661651</v>
      </c>
      <c r="L868" s="14">
        <f>C868/B868</f>
        <v>1.0893617021276596</v>
      </c>
      <c r="M868" s="14">
        <f t="shared" si="113"/>
        <v>1.0904702204961552</v>
      </c>
      <c r="N868" s="14">
        <f t="shared" si="117"/>
        <v>1.0904883951817186</v>
      </c>
      <c r="O868" s="14">
        <f t="shared" si="110"/>
        <v>1.0912518925622889</v>
      </c>
      <c r="P868" s="14">
        <f t="shared" si="112"/>
        <v>1.0920729590741995</v>
      </c>
      <c r="Q868" s="4" t="str">
        <f t="shared" si="116"/>
        <v>UNDER</v>
      </c>
      <c r="R868" s="4" t="str">
        <f t="shared" si="116"/>
        <v>UNDER</v>
      </c>
      <c r="S868" s="4" t="str">
        <f t="shared" si="114"/>
        <v>UNDER</v>
      </c>
      <c r="T868" s="4" t="str">
        <f t="shared" si="114"/>
        <v>UNDER</v>
      </c>
      <c r="U868" s="2">
        <f>IF(Q868="OVER",$J868,$K868)</f>
        <v>-27.673463245661651</v>
      </c>
      <c r="V868" s="2">
        <f>IF(R868="OVER",$J868,$K868)</f>
        <v>-27.673463245661651</v>
      </c>
      <c r="W868" s="2">
        <f>IF(S868="OVER",$J868,$K868)</f>
        <v>-27.673463245661651</v>
      </c>
      <c r="X868" s="2">
        <f>IF(T868="OVER",$J868,$K868)</f>
        <v>-27.673463245661651</v>
      </c>
      <c r="Y868" s="9">
        <f t="shared" si="115"/>
        <v>-37018.184005845003</v>
      </c>
      <c r="Z868" s="9">
        <f t="shared" si="115"/>
        <v>-35978.064481672664</v>
      </c>
      <c r="AA868" s="9">
        <f t="shared" si="115"/>
        <v>49863.201569568744</v>
      </c>
      <c r="AB868" s="9">
        <f t="shared" si="115"/>
        <v>19444.961512277787</v>
      </c>
    </row>
    <row r="869" spans="1:28" x14ac:dyDescent="0.3">
      <c r="A869" s="1">
        <v>45678</v>
      </c>
      <c r="B869" s="2">
        <v>80.45</v>
      </c>
      <c r="C869" s="2">
        <v>87.72</v>
      </c>
      <c r="D869" s="9">
        <f>B869-B868</f>
        <v>0.54999999999999716</v>
      </c>
      <c r="E869" s="9">
        <f>C869-C868</f>
        <v>0.67999999999999261</v>
      </c>
      <c r="F869" s="3">
        <f>F$1/B869</f>
        <v>1243.0080795525171</v>
      </c>
      <c r="G869" s="3">
        <f>F$1/C869</f>
        <v>1139.9908800729595</v>
      </c>
      <c r="H869" s="2">
        <f>D869*F868</f>
        <v>688.3604505632004</v>
      </c>
      <c r="I869" s="2">
        <f>E869*G868</f>
        <v>781.24999999999147</v>
      </c>
      <c r="J869" s="2">
        <f>I869-H869</f>
        <v>92.889549436791071</v>
      </c>
      <c r="K869" s="2">
        <f t="shared" si="111"/>
        <v>-92.889549436791071</v>
      </c>
      <c r="L869" s="14">
        <f>C869/B869</f>
        <v>1.0903666873834679</v>
      </c>
      <c r="M869" s="14">
        <f t="shared" si="113"/>
        <v>1.0903066867541173</v>
      </c>
      <c r="N869" s="14">
        <f t="shared" si="117"/>
        <v>1.0905419908395779</v>
      </c>
      <c r="O869" s="14">
        <f t="shared" si="110"/>
        <v>1.0911922153351357</v>
      </c>
      <c r="P869" s="14">
        <f t="shared" si="112"/>
        <v>1.0920598049661403</v>
      </c>
      <c r="Q869" s="4" t="str">
        <f t="shared" si="116"/>
        <v>UNDER</v>
      </c>
      <c r="R869" s="4" t="str">
        <f t="shared" si="116"/>
        <v>UNDER</v>
      </c>
      <c r="S869" s="4" t="str">
        <f t="shared" si="114"/>
        <v>UNDER</v>
      </c>
      <c r="T869" s="4" t="str">
        <f t="shared" si="114"/>
        <v>UNDER</v>
      </c>
      <c r="U869" s="2">
        <f>IF(Q869="OVER",$J869,$K869)</f>
        <v>-92.889549436791071</v>
      </c>
      <c r="V869" s="2">
        <f>IF(R869="OVER",$J869,$K869)</f>
        <v>-92.889549436791071</v>
      </c>
      <c r="W869" s="2">
        <f>IF(S869="OVER",$J869,$K869)</f>
        <v>-92.889549436791071</v>
      </c>
      <c r="X869" s="2">
        <f>IF(T869="OVER",$J869,$K869)</f>
        <v>-92.889549436791071</v>
      </c>
      <c r="Y869" s="9">
        <f t="shared" si="115"/>
        <v>-37111.073555281793</v>
      </c>
      <c r="Z869" s="9">
        <f t="shared" si="115"/>
        <v>-36070.954031109453</v>
      </c>
      <c r="AA869" s="9">
        <f t="shared" si="115"/>
        <v>49770.312020131954</v>
      </c>
      <c r="AB869" s="9">
        <f t="shared" si="115"/>
        <v>19352.071962840997</v>
      </c>
    </row>
    <row r="870" spans="1:28" x14ac:dyDescent="0.3">
      <c r="A870" s="1">
        <v>45679</v>
      </c>
      <c r="B870" s="2">
        <v>80.33</v>
      </c>
      <c r="C870" s="2">
        <v>87.57</v>
      </c>
      <c r="D870" s="9">
        <f>B870-B869</f>
        <v>-0.12000000000000455</v>
      </c>
      <c r="E870" s="9">
        <f>C870-C869</f>
        <v>-0.15000000000000568</v>
      </c>
      <c r="F870" s="3">
        <f>F$1/B870</f>
        <v>1244.8649321548612</v>
      </c>
      <c r="G870" s="3">
        <f>F$1/C870</f>
        <v>1141.9435879867535</v>
      </c>
      <c r="H870" s="2">
        <f>D870*F869</f>
        <v>-149.16096954630771</v>
      </c>
      <c r="I870" s="2">
        <f>E870*G869</f>
        <v>-170.99863201095042</v>
      </c>
      <c r="J870" s="2">
        <f>I870-H870</f>
        <v>-21.837662464642705</v>
      </c>
      <c r="K870" s="2">
        <f t="shared" si="111"/>
        <v>21.837662464642705</v>
      </c>
      <c r="L870" s="14">
        <f>C870/B870</f>
        <v>1.0901282210880119</v>
      </c>
      <c r="M870" s="14">
        <f t="shared" si="113"/>
        <v>1.0901531565430393</v>
      </c>
      <c r="N870" s="14">
        <f t="shared" si="117"/>
        <v>1.0903538969625068</v>
      </c>
      <c r="O870" s="14">
        <f t="shared" si="110"/>
        <v>1.0910408155625226</v>
      </c>
      <c r="P870" s="14">
        <f t="shared" si="112"/>
        <v>1.092048383814771</v>
      </c>
      <c r="Q870" s="4" t="str">
        <f t="shared" si="116"/>
        <v>OVER</v>
      </c>
      <c r="R870" s="4" t="str">
        <f t="shared" si="116"/>
        <v>UNDER</v>
      </c>
      <c r="S870" s="4" t="str">
        <f t="shared" si="114"/>
        <v>UNDER</v>
      </c>
      <c r="T870" s="4" t="str">
        <f t="shared" si="114"/>
        <v>UNDER</v>
      </c>
      <c r="U870" s="2">
        <f>IF(Q870="OVER",$J870,$K870)</f>
        <v>-21.837662464642705</v>
      </c>
      <c r="V870" s="2">
        <f>IF(R870="OVER",$J870,$K870)</f>
        <v>21.837662464642705</v>
      </c>
      <c r="W870" s="2">
        <f>IF(S870="OVER",$J870,$K870)</f>
        <v>21.837662464642705</v>
      </c>
      <c r="X870" s="2">
        <f>IF(T870="OVER",$J870,$K870)</f>
        <v>21.837662464642705</v>
      </c>
      <c r="Y870" s="9">
        <f t="shared" si="115"/>
        <v>-37132.911217746434</v>
      </c>
      <c r="Z870" s="9">
        <f t="shared" si="115"/>
        <v>-36049.116368644813</v>
      </c>
      <c r="AA870" s="9">
        <f t="shared" si="115"/>
        <v>49792.149682596595</v>
      </c>
      <c r="AB870" s="9">
        <f t="shared" si="115"/>
        <v>19373.909625305641</v>
      </c>
    </row>
    <row r="871" spans="1:28" x14ac:dyDescent="0.3">
      <c r="A871" s="1">
        <v>45680</v>
      </c>
      <c r="B871" s="2">
        <v>80.47</v>
      </c>
      <c r="C871" s="2">
        <v>87.7</v>
      </c>
      <c r="D871" s="9">
        <f>B871-B870</f>
        <v>0.14000000000000057</v>
      </c>
      <c r="E871" s="9">
        <f>C871-C870</f>
        <v>0.13000000000000966</v>
      </c>
      <c r="F871" s="3">
        <f>F$1/B871</f>
        <v>1242.6991425375916</v>
      </c>
      <c r="G871" s="3">
        <f>F$1/C871</f>
        <v>1140.2508551881413</v>
      </c>
      <c r="H871" s="2">
        <f>D871*F870</f>
        <v>174.28109050168126</v>
      </c>
      <c r="I871" s="2">
        <f>E871*G870</f>
        <v>148.45266643828899</v>
      </c>
      <c r="J871" s="2">
        <f>I871-H871</f>
        <v>-25.828424063392276</v>
      </c>
      <c r="K871" s="2">
        <f t="shared" si="111"/>
        <v>25.828424063392276</v>
      </c>
      <c r="L871" s="14">
        <f>C871/B871</f>
        <v>1.0898471480054679</v>
      </c>
      <c r="M871" s="14">
        <f t="shared" si="113"/>
        <v>1.0900862019262951</v>
      </c>
      <c r="N871" s="14">
        <f t="shared" si="117"/>
        <v>1.0902938927064549</v>
      </c>
      <c r="O871" s="14">
        <f t="shared" si="110"/>
        <v>1.0909138496283708</v>
      </c>
      <c r="P871" s="14">
        <f t="shared" si="112"/>
        <v>1.0920360704154313</v>
      </c>
      <c r="Q871" s="4" t="str">
        <f t="shared" si="116"/>
        <v>UNDER</v>
      </c>
      <c r="R871" s="4" t="str">
        <f t="shared" si="116"/>
        <v>UNDER</v>
      </c>
      <c r="S871" s="4" t="str">
        <f t="shared" si="114"/>
        <v>UNDER</v>
      </c>
      <c r="T871" s="4" t="str">
        <f t="shared" si="114"/>
        <v>UNDER</v>
      </c>
      <c r="U871" s="2">
        <f>IF(Q871="OVER",$J871,$K871)</f>
        <v>25.828424063392276</v>
      </c>
      <c r="V871" s="2">
        <f>IF(R871="OVER",$J871,$K871)</f>
        <v>25.828424063392276</v>
      </c>
      <c r="W871" s="2">
        <f>IF(S871="OVER",$J871,$K871)</f>
        <v>25.828424063392276</v>
      </c>
      <c r="X871" s="2">
        <f>IF(T871="OVER",$J871,$K871)</f>
        <v>25.828424063392276</v>
      </c>
      <c r="Y871" s="9">
        <f t="shared" si="115"/>
        <v>-37107.082793683039</v>
      </c>
      <c r="Z871" s="9">
        <f t="shared" si="115"/>
        <v>-36023.287944581418</v>
      </c>
      <c r="AA871" s="9">
        <f t="shared" si="115"/>
        <v>49817.97810665999</v>
      </c>
      <c r="AB871" s="9">
        <f t="shared" si="115"/>
        <v>19399.738049369033</v>
      </c>
    </row>
    <row r="872" spans="1:28" x14ac:dyDescent="0.3">
      <c r="A872" s="1">
        <v>45681</v>
      </c>
      <c r="B872" s="2">
        <v>80.540000000000006</v>
      </c>
      <c r="C872" s="2">
        <v>87.72</v>
      </c>
      <c r="D872" s="9">
        <f>B872-B871</f>
        <v>7.000000000000739E-2</v>
      </c>
      <c r="E872" s="9">
        <f>C872-C871</f>
        <v>1.9999999999996021E-2</v>
      </c>
      <c r="F872" s="3">
        <f>F$1/B872</f>
        <v>1241.6190712689347</v>
      </c>
      <c r="G872" s="3">
        <f>F$1/C872</f>
        <v>1139.9908800729595</v>
      </c>
      <c r="H872" s="2">
        <f>D872*F871</f>
        <v>86.988939977640598</v>
      </c>
      <c r="I872" s="2">
        <f>E872*G871</f>
        <v>22.805017103758288</v>
      </c>
      <c r="J872" s="2">
        <f>I872-H872</f>
        <v>-64.18392287388231</v>
      </c>
      <c r="K872" s="2">
        <f t="shared" si="111"/>
        <v>64.18392287388231</v>
      </c>
      <c r="L872" s="14">
        <f>C872/B872</f>
        <v>1.0891482493171094</v>
      </c>
      <c r="M872" s="14">
        <f t="shared" si="113"/>
        <v>1.089954135930381</v>
      </c>
      <c r="N872" s="14">
        <f t="shared" si="117"/>
        <v>1.0901983460663922</v>
      </c>
      <c r="O872" s="14">
        <f t="shared" si="110"/>
        <v>1.0908516745817642</v>
      </c>
      <c r="P872" s="14">
        <f t="shared" si="112"/>
        <v>1.0920226138750182</v>
      </c>
      <c r="Q872" s="4" t="str">
        <f t="shared" si="116"/>
        <v>UNDER</v>
      </c>
      <c r="R872" s="4" t="str">
        <f t="shared" si="116"/>
        <v>UNDER</v>
      </c>
      <c r="S872" s="4" t="str">
        <f t="shared" si="114"/>
        <v>UNDER</v>
      </c>
      <c r="T872" s="4" t="str">
        <f t="shared" si="114"/>
        <v>UNDER</v>
      </c>
      <c r="U872" s="2">
        <f>IF(Q872="OVER",$J872,$K872)</f>
        <v>64.18392287388231</v>
      </c>
      <c r="V872" s="2">
        <f>IF(R872="OVER",$J872,$K872)</f>
        <v>64.18392287388231</v>
      </c>
      <c r="W872" s="2">
        <f>IF(S872="OVER",$J872,$K872)</f>
        <v>64.18392287388231</v>
      </c>
      <c r="X872" s="2">
        <f>IF(T872="OVER",$J872,$K872)</f>
        <v>64.18392287388231</v>
      </c>
      <c r="Y872" s="9">
        <f t="shared" si="115"/>
        <v>-37042.898870809157</v>
      </c>
      <c r="Z872" s="9">
        <f t="shared" si="115"/>
        <v>-35959.104021707535</v>
      </c>
      <c r="AA872" s="9">
        <f t="shared" si="115"/>
        <v>49882.162029533873</v>
      </c>
      <c r="AB872" s="9">
        <f t="shared" si="115"/>
        <v>19463.921972242915</v>
      </c>
    </row>
    <row r="873" spans="1:28" x14ac:dyDescent="0.3">
      <c r="A873" s="1">
        <v>45684</v>
      </c>
      <c r="B873" s="2">
        <v>79.88</v>
      </c>
      <c r="C873" s="2">
        <v>87.08</v>
      </c>
      <c r="D873" s="9">
        <f>B873-B872</f>
        <v>-0.6600000000000108</v>
      </c>
      <c r="E873" s="9">
        <f>C873-C872</f>
        <v>-0.64000000000000057</v>
      </c>
      <c r="F873" s="3">
        <f>F$1/B873</f>
        <v>1251.8778167250878</v>
      </c>
      <c r="G873" s="3">
        <f>F$1/C873</f>
        <v>1148.3693155718879</v>
      </c>
      <c r="H873" s="2">
        <f>D873*F872</f>
        <v>-819.46858703751036</v>
      </c>
      <c r="I873" s="2">
        <f>E873*G872</f>
        <v>-729.59416324669473</v>
      </c>
      <c r="J873" s="2">
        <f>I873-H873</f>
        <v>89.874423790815626</v>
      </c>
      <c r="K873" s="2">
        <f t="shared" si="111"/>
        <v>-89.874423790815626</v>
      </c>
      <c r="L873" s="14">
        <f>C873/B873</f>
        <v>1.0901352028042064</v>
      </c>
      <c r="M873" s="14">
        <f t="shared" si="113"/>
        <v>1.0899117795248672</v>
      </c>
      <c r="N873" s="14">
        <f t="shared" si="117"/>
        <v>1.0902158249960097</v>
      </c>
      <c r="O873" s="14">
        <f t="shared" si="110"/>
        <v>1.0908255069841077</v>
      </c>
      <c r="P873" s="14">
        <f t="shared" si="112"/>
        <v>1.0920101479784927</v>
      </c>
      <c r="Q873" s="4" t="str">
        <f t="shared" si="116"/>
        <v>UNDER</v>
      </c>
      <c r="R873" s="4" t="str">
        <f t="shared" si="116"/>
        <v>UNDER</v>
      </c>
      <c r="S873" s="4" t="str">
        <f t="shared" si="114"/>
        <v>UNDER</v>
      </c>
      <c r="T873" s="4" t="str">
        <f t="shared" si="114"/>
        <v>UNDER</v>
      </c>
      <c r="U873" s="2">
        <f>IF(Q873="OVER",$J873,$K873)</f>
        <v>-89.874423790815626</v>
      </c>
      <c r="V873" s="2">
        <f>IF(R873="OVER",$J873,$K873)</f>
        <v>-89.874423790815626</v>
      </c>
      <c r="W873" s="2">
        <f>IF(S873="OVER",$J873,$K873)</f>
        <v>-89.874423790815626</v>
      </c>
      <c r="X873" s="2">
        <f>IF(T873="OVER",$J873,$K873)</f>
        <v>-89.874423790815626</v>
      </c>
      <c r="Y873" s="9">
        <f t="shared" si="115"/>
        <v>-37132.773294599974</v>
      </c>
      <c r="Z873" s="9">
        <f t="shared" si="115"/>
        <v>-36048.978445498353</v>
      </c>
      <c r="AA873" s="9">
        <f t="shared" si="115"/>
        <v>49792.287605743055</v>
      </c>
      <c r="AB873" s="9">
        <f t="shared" si="115"/>
        <v>19374.047548452101</v>
      </c>
    </row>
    <row r="874" spans="1:28" x14ac:dyDescent="0.3">
      <c r="A874" s="1">
        <v>45685</v>
      </c>
      <c r="B874" s="2">
        <v>80.08</v>
      </c>
      <c r="C874" s="2">
        <v>87.45</v>
      </c>
      <c r="D874" s="9">
        <f>B874-B873</f>
        <v>0.20000000000000284</v>
      </c>
      <c r="E874" s="9">
        <f>C874-C873</f>
        <v>0.37000000000000455</v>
      </c>
      <c r="F874" s="3">
        <f>F$1/B874</f>
        <v>1248.7512487512488</v>
      </c>
      <c r="G874" s="3">
        <f>F$1/C874</f>
        <v>1143.5105774728415</v>
      </c>
      <c r="H874" s="2">
        <f>D874*F873</f>
        <v>250.37556334502111</v>
      </c>
      <c r="I874" s="2">
        <f>E874*G873</f>
        <v>424.89664676160373</v>
      </c>
      <c r="J874" s="2">
        <f>I874-H874</f>
        <v>174.52108341658263</v>
      </c>
      <c r="K874" s="2">
        <f t="shared" si="111"/>
        <v>-174.52108341658263</v>
      </c>
      <c r="L874" s="14">
        <f>C874/B874</f>
        <v>1.0920329670329672</v>
      </c>
      <c r="M874" s="14">
        <f t="shared" si="113"/>
        <v>1.0900112722307429</v>
      </c>
      <c r="N874" s="14">
        <f t="shared" si="117"/>
        <v>1.090304633468504</v>
      </c>
      <c r="O874" s="14">
        <f t="shared" si="110"/>
        <v>1.0907979239310028</v>
      </c>
      <c r="P874" s="14">
        <f t="shared" si="112"/>
        <v>1.0920144406802315</v>
      </c>
      <c r="Q874" s="4" t="str">
        <f t="shared" si="116"/>
        <v>OVER</v>
      </c>
      <c r="R874" s="4" t="str">
        <f t="shared" si="116"/>
        <v>UNDER</v>
      </c>
      <c r="S874" s="4" t="str">
        <f t="shared" si="114"/>
        <v>OVER</v>
      </c>
      <c r="T874" s="4" t="str">
        <f t="shared" si="114"/>
        <v>OVER</v>
      </c>
      <c r="U874" s="2">
        <f>IF(Q874="OVER",$J874,$K874)</f>
        <v>174.52108341658263</v>
      </c>
      <c r="V874" s="2">
        <f>IF(R874="OVER",$J874,$K874)</f>
        <v>-174.52108341658263</v>
      </c>
      <c r="W874" s="2">
        <f>IF(S874="OVER",$J874,$K874)</f>
        <v>174.52108341658263</v>
      </c>
      <c r="X874" s="2">
        <f>IF(T874="OVER",$J874,$K874)</f>
        <v>174.52108341658263</v>
      </c>
      <c r="Y874" s="9">
        <f t="shared" si="115"/>
        <v>-36958.25221118339</v>
      </c>
      <c r="Z874" s="9">
        <f t="shared" si="115"/>
        <v>-36223.499528914937</v>
      </c>
      <c r="AA874" s="9">
        <f t="shared" si="115"/>
        <v>49966.808689159639</v>
      </c>
      <c r="AB874" s="9">
        <f t="shared" si="115"/>
        <v>19548.568631868682</v>
      </c>
    </row>
    <row r="875" spans="1:28" x14ac:dyDescent="0.3">
      <c r="A875" s="1">
        <v>45686</v>
      </c>
      <c r="B875" s="2">
        <v>80.08</v>
      </c>
      <c r="C875" s="2">
        <v>87.41</v>
      </c>
      <c r="D875" s="9">
        <f>B875-B874</f>
        <v>0</v>
      </c>
      <c r="E875" s="9">
        <f>C875-C874</f>
        <v>-4.0000000000006253E-2</v>
      </c>
      <c r="F875" s="3">
        <f>F$1/B875</f>
        <v>1248.7512487512488</v>
      </c>
      <c r="G875" s="3">
        <f>F$1/C875</f>
        <v>1144.0338634023567</v>
      </c>
      <c r="H875" s="2">
        <f>D875*F874</f>
        <v>0</v>
      </c>
      <c r="I875" s="2">
        <f>E875*G874</f>
        <v>-45.740423098920814</v>
      </c>
      <c r="J875" s="2">
        <f>I875-H875</f>
        <v>-45.740423098920814</v>
      </c>
      <c r="K875" s="2">
        <f t="shared" si="111"/>
        <v>45.740423098920814</v>
      </c>
      <c r="L875" s="14">
        <f>C875/B875</f>
        <v>1.0915334665334666</v>
      </c>
      <c r="M875" s="14">
        <f t="shared" si="113"/>
        <v>1.0899956011872445</v>
      </c>
      <c r="N875" s="14">
        <f t="shared" si="117"/>
        <v>1.0903722251236416</v>
      </c>
      <c r="O875" s="14">
        <f t="shared" si="110"/>
        <v>1.0907749224393579</v>
      </c>
      <c r="P875" s="14">
        <f t="shared" si="112"/>
        <v>1.0920122661485625</v>
      </c>
      <c r="Q875" s="4" t="str">
        <f t="shared" si="116"/>
        <v>OVER</v>
      </c>
      <c r="R875" s="4" t="str">
        <f t="shared" si="116"/>
        <v>OVER</v>
      </c>
      <c r="S875" s="4" t="str">
        <f t="shared" si="114"/>
        <v>OVER</v>
      </c>
      <c r="T875" s="4" t="str">
        <f t="shared" si="114"/>
        <v>UNDER</v>
      </c>
      <c r="U875" s="2">
        <f>IF(Q875="OVER",$J875,$K875)</f>
        <v>-45.740423098920814</v>
      </c>
      <c r="V875" s="2">
        <f>IF(R875="OVER",$J875,$K875)</f>
        <v>-45.740423098920814</v>
      </c>
      <c r="W875" s="2">
        <f>IF(S875="OVER",$J875,$K875)</f>
        <v>-45.740423098920814</v>
      </c>
      <c r="X875" s="2">
        <f>IF(T875="OVER",$J875,$K875)</f>
        <v>45.740423098920814</v>
      </c>
      <c r="Y875" s="9">
        <f t="shared" si="115"/>
        <v>-37003.992634282309</v>
      </c>
      <c r="Z875" s="9">
        <f t="shared" si="115"/>
        <v>-36269.239952013857</v>
      </c>
      <c r="AA875" s="9">
        <f t="shared" si="115"/>
        <v>49921.06826606072</v>
      </c>
      <c r="AB875" s="9">
        <f t="shared" si="115"/>
        <v>19594.309054967602</v>
      </c>
    </row>
    <row r="876" spans="1:28" x14ac:dyDescent="0.3">
      <c r="A876" s="1">
        <v>45687</v>
      </c>
      <c r="B876" s="2">
        <v>80.64</v>
      </c>
      <c r="C876" s="2">
        <v>88.03</v>
      </c>
      <c r="D876" s="9">
        <f>B876-B875</f>
        <v>0.56000000000000227</v>
      </c>
      <c r="E876" s="9">
        <f>C876-C875</f>
        <v>0.62000000000000455</v>
      </c>
      <c r="F876" s="3">
        <f>F$1/B876</f>
        <v>1240.0793650793651</v>
      </c>
      <c r="G876" s="3">
        <f>F$1/C876</f>
        <v>1135.9763716914688</v>
      </c>
      <c r="H876" s="2">
        <f>D876*F875</f>
        <v>699.30069930070215</v>
      </c>
      <c r="I876" s="2">
        <f>E876*G875</f>
        <v>709.30099530946632</v>
      </c>
      <c r="J876" s="2">
        <f>I876-H876</f>
        <v>10.000296008764167</v>
      </c>
      <c r="K876" s="2">
        <f t="shared" si="111"/>
        <v>-10.000296008764167</v>
      </c>
      <c r="L876" s="14">
        <f>C876/B876</f>
        <v>1.0916418650793651</v>
      </c>
      <c r="M876" s="14">
        <f t="shared" si="113"/>
        <v>1.0903258206482862</v>
      </c>
      <c r="N876" s="14">
        <f t="shared" si="117"/>
        <v>1.090521671582164</v>
      </c>
      <c r="O876" s="14">
        <f t="shared" si="110"/>
        <v>1.0907257052070201</v>
      </c>
      <c r="P876" s="14">
        <f t="shared" si="112"/>
        <v>1.0920050163332684</v>
      </c>
      <c r="Q876" s="4" t="str">
        <f t="shared" si="116"/>
        <v>OVER</v>
      </c>
      <c r="R876" s="4" t="str">
        <f t="shared" si="116"/>
        <v>OVER</v>
      </c>
      <c r="S876" s="4" t="str">
        <f t="shared" si="114"/>
        <v>OVER</v>
      </c>
      <c r="T876" s="4" t="str">
        <f t="shared" si="114"/>
        <v>UNDER</v>
      </c>
      <c r="U876" s="2">
        <f>IF(Q876="OVER",$J876,$K876)</f>
        <v>10.000296008764167</v>
      </c>
      <c r="V876" s="2">
        <f>IF(R876="OVER",$J876,$K876)</f>
        <v>10.000296008764167</v>
      </c>
      <c r="W876" s="2">
        <f>IF(S876="OVER",$J876,$K876)</f>
        <v>10.000296008764167</v>
      </c>
      <c r="X876" s="2">
        <f>IF(T876="OVER",$J876,$K876)</f>
        <v>-10.000296008764167</v>
      </c>
      <c r="Y876" s="9">
        <f t="shared" si="115"/>
        <v>-36993.992338273543</v>
      </c>
      <c r="Z876" s="9">
        <f t="shared" si="115"/>
        <v>-36259.239656005091</v>
      </c>
      <c r="AA876" s="9">
        <f t="shared" si="115"/>
        <v>49931.068562069486</v>
      </c>
      <c r="AB876" s="9">
        <f t="shared" si="115"/>
        <v>19584.308758958836</v>
      </c>
    </row>
    <row r="877" spans="1:28" x14ac:dyDescent="0.3">
      <c r="A877" s="1">
        <v>45688</v>
      </c>
      <c r="B877" s="2">
        <v>80.27</v>
      </c>
      <c r="C877" s="2">
        <v>87.71</v>
      </c>
      <c r="D877" s="9">
        <f>B877-B876</f>
        <v>-0.37000000000000455</v>
      </c>
      <c r="E877" s="9">
        <f>C877-C876</f>
        <v>-0.32000000000000739</v>
      </c>
      <c r="F877" s="3">
        <f>F$1/B877</f>
        <v>1245.7954403886883</v>
      </c>
      <c r="G877" s="3">
        <f>F$1/C877</f>
        <v>1140.120852810398</v>
      </c>
      <c r="H877" s="2">
        <f>D877*F876</f>
        <v>-458.82936507937069</v>
      </c>
      <c r="I877" s="2">
        <f>E877*G876</f>
        <v>-363.51243894127839</v>
      </c>
      <c r="J877" s="2">
        <f>I877-H877</f>
        <v>95.316926138092299</v>
      </c>
      <c r="K877" s="2">
        <f t="shared" si="111"/>
        <v>-95.316926138092299</v>
      </c>
      <c r="L877" s="14">
        <f>C877/B877</f>
        <v>1.0926871807649183</v>
      </c>
      <c r="M877" s="14">
        <f t="shared" si="113"/>
        <v>1.0906882690136641</v>
      </c>
      <c r="N877" s="14">
        <f t="shared" si="117"/>
        <v>1.0906111596485266</v>
      </c>
      <c r="O877" s="14">
        <f t="shared" si="110"/>
        <v>1.0907252451139109</v>
      </c>
      <c r="P877" s="14">
        <f t="shared" si="112"/>
        <v>1.092002939889662</v>
      </c>
      <c r="Q877" s="4" t="str">
        <f t="shared" si="116"/>
        <v>OVER</v>
      </c>
      <c r="R877" s="4" t="str">
        <f t="shared" si="116"/>
        <v>OVER</v>
      </c>
      <c r="S877" s="4" t="str">
        <f t="shared" si="114"/>
        <v>OVER</v>
      </c>
      <c r="T877" s="4" t="str">
        <f t="shared" si="114"/>
        <v>OVER</v>
      </c>
      <c r="U877" s="2">
        <f>IF(Q877="OVER",$J877,$K877)</f>
        <v>95.316926138092299</v>
      </c>
      <c r="V877" s="2">
        <f>IF(R877="OVER",$J877,$K877)</f>
        <v>95.316926138092299</v>
      </c>
      <c r="W877" s="2">
        <f>IF(S877="OVER",$J877,$K877)</f>
        <v>95.316926138092299</v>
      </c>
      <c r="X877" s="2">
        <f>IF(T877="OVER",$J877,$K877)</f>
        <v>95.316926138092299</v>
      </c>
      <c r="Y877" s="9">
        <f t="shared" si="115"/>
        <v>-36898.675412135453</v>
      </c>
      <c r="Z877" s="9">
        <f t="shared" si="115"/>
        <v>-36163.922729867001</v>
      </c>
      <c r="AA877" s="9">
        <f t="shared" si="115"/>
        <v>50026.385488207576</v>
      </c>
      <c r="AB877" s="9">
        <f t="shared" si="115"/>
        <v>19679.625685096929</v>
      </c>
    </row>
    <row r="878" spans="1:28" x14ac:dyDescent="0.3">
      <c r="A878" s="1">
        <v>45691</v>
      </c>
      <c r="B878" s="2">
        <v>79.92</v>
      </c>
      <c r="C878" s="2">
        <v>87.27</v>
      </c>
      <c r="D878" s="9">
        <f>B878-B877</f>
        <v>-0.34999999999999432</v>
      </c>
      <c r="E878" s="9">
        <f>C878-C877</f>
        <v>-0.43999999999999773</v>
      </c>
      <c r="F878" s="3">
        <f>F$1/B878</f>
        <v>1251.2512512512512</v>
      </c>
      <c r="G878" s="3">
        <f>F$1/C878</f>
        <v>1145.8691417440129</v>
      </c>
      <c r="H878" s="2">
        <f>D878*F877</f>
        <v>-436.02840413603383</v>
      </c>
      <c r="I878" s="2">
        <f>E878*G877</f>
        <v>-501.65317523657251</v>
      </c>
      <c r="J878" s="2">
        <f>I878-H878</f>
        <v>-65.62477110053868</v>
      </c>
      <c r="K878" s="2">
        <f t="shared" si="111"/>
        <v>65.62477110053868</v>
      </c>
      <c r="L878" s="14">
        <f>C878/B878</f>
        <v>1.0919669669669669</v>
      </c>
      <c r="M878" s="14">
        <f t="shared" si="113"/>
        <v>1.0909487954975949</v>
      </c>
      <c r="N878" s="14">
        <f t="shared" si="117"/>
        <v>1.0907095079968749</v>
      </c>
      <c r="O878" s="14">
        <f t="shared" si="110"/>
        <v>1.0907213828372926</v>
      </c>
      <c r="P878" s="14">
        <f t="shared" si="112"/>
        <v>1.0919937128482493</v>
      </c>
      <c r="Q878" s="4" t="str">
        <f t="shared" si="116"/>
        <v>OVER</v>
      </c>
      <c r="R878" s="4" t="str">
        <f t="shared" si="116"/>
        <v>OVER</v>
      </c>
      <c r="S878" s="4" t="str">
        <f t="shared" si="114"/>
        <v>OVER</v>
      </c>
      <c r="T878" s="4" t="str">
        <f t="shared" si="114"/>
        <v>UNDER</v>
      </c>
      <c r="U878" s="2">
        <f>IF(Q878="OVER",$J878,$K878)</f>
        <v>-65.62477110053868</v>
      </c>
      <c r="V878" s="2">
        <f>IF(R878="OVER",$J878,$K878)</f>
        <v>-65.62477110053868</v>
      </c>
      <c r="W878" s="2">
        <f>IF(S878="OVER",$J878,$K878)</f>
        <v>-65.62477110053868</v>
      </c>
      <c r="X878" s="2">
        <f>IF(T878="OVER",$J878,$K878)</f>
        <v>65.62477110053868</v>
      </c>
      <c r="Y878" s="9">
        <f t="shared" si="115"/>
        <v>-36964.300183235995</v>
      </c>
      <c r="Z878" s="9">
        <f t="shared" si="115"/>
        <v>-36229.547500967543</v>
      </c>
      <c r="AA878" s="9">
        <f t="shared" si="115"/>
        <v>49960.760717107034</v>
      </c>
      <c r="AB878" s="9">
        <f t="shared" si="115"/>
        <v>19745.250456197467</v>
      </c>
    </row>
    <row r="879" spans="1:28" x14ac:dyDescent="0.3">
      <c r="A879" s="1">
        <v>45692</v>
      </c>
      <c r="B879" s="2">
        <v>80.180000000000007</v>
      </c>
      <c r="C879" s="2">
        <v>87.51</v>
      </c>
      <c r="D879" s="9">
        <f>B879-B878</f>
        <v>0.26000000000000512</v>
      </c>
      <c r="E879" s="9">
        <f>C879-C878</f>
        <v>0.24000000000000909</v>
      </c>
      <c r="F879" s="3">
        <f>F$1/B879</f>
        <v>1247.193813918683</v>
      </c>
      <c r="G879" s="3">
        <f>F$1/C879</f>
        <v>1142.7265455376528</v>
      </c>
      <c r="H879" s="2">
        <f>D879*F878</f>
        <v>325.32532532533173</v>
      </c>
      <c r="I879" s="2">
        <f>E879*G878</f>
        <v>275.00859401857355</v>
      </c>
      <c r="J879" s="2">
        <f>I879-H879</f>
        <v>-50.316731306758186</v>
      </c>
      <c r="K879" s="2">
        <f t="shared" si="111"/>
        <v>50.316731306758186</v>
      </c>
      <c r="L879" s="14">
        <f>C879/B879</f>
        <v>1.0914193065602393</v>
      </c>
      <c r="M879" s="14">
        <f t="shared" si="113"/>
        <v>1.0910540574152718</v>
      </c>
      <c r="N879" s="14">
        <f t="shared" si="117"/>
        <v>1.0906803720846947</v>
      </c>
      <c r="O879" s="14">
        <f t="shared" si="110"/>
        <v>1.0906972217160256</v>
      </c>
      <c r="P879" s="14">
        <f t="shared" si="112"/>
        <v>1.091978733963253</v>
      </c>
      <c r="Q879" s="4" t="str">
        <f t="shared" si="116"/>
        <v>OVER</v>
      </c>
      <c r="R879" s="4" t="str">
        <f t="shared" si="116"/>
        <v>OVER</v>
      </c>
      <c r="S879" s="4" t="str">
        <f t="shared" si="114"/>
        <v>OVER</v>
      </c>
      <c r="T879" s="4" t="str">
        <f t="shared" si="114"/>
        <v>UNDER</v>
      </c>
      <c r="U879" s="2">
        <f>IF(Q879="OVER",$J879,$K879)</f>
        <v>-50.316731306758186</v>
      </c>
      <c r="V879" s="2">
        <f>IF(R879="OVER",$J879,$K879)</f>
        <v>-50.316731306758186</v>
      </c>
      <c r="W879" s="2">
        <f>IF(S879="OVER",$J879,$K879)</f>
        <v>-50.316731306758186</v>
      </c>
      <c r="X879" s="2">
        <f>IF(T879="OVER",$J879,$K879)</f>
        <v>50.316731306758186</v>
      </c>
      <c r="Y879" s="9">
        <f t="shared" si="115"/>
        <v>-37014.616914542756</v>
      </c>
      <c r="Z879" s="9">
        <f t="shared" si="115"/>
        <v>-36279.864232274304</v>
      </c>
      <c r="AA879" s="9">
        <f t="shared" si="115"/>
        <v>49910.443985800273</v>
      </c>
      <c r="AB879" s="9">
        <f t="shared" si="115"/>
        <v>19795.567187504224</v>
      </c>
    </row>
    <row r="880" spans="1:28" x14ac:dyDescent="0.3">
      <c r="A880" s="1">
        <v>45693</v>
      </c>
      <c r="B880" s="2">
        <v>80.33</v>
      </c>
      <c r="C880" s="2">
        <v>87.76</v>
      </c>
      <c r="D880" s="9">
        <f>B880-B879</f>
        <v>0.14999999999999147</v>
      </c>
      <c r="E880" s="9">
        <f>C880-C879</f>
        <v>0.25</v>
      </c>
      <c r="F880" s="3">
        <f>F$1/B880</f>
        <v>1244.8649321548612</v>
      </c>
      <c r="G880" s="3">
        <f>F$1/C880</f>
        <v>1139.4712853236099</v>
      </c>
      <c r="H880" s="2">
        <f>D880*F879</f>
        <v>187.07907208779181</v>
      </c>
      <c r="I880" s="2">
        <f>E880*G879</f>
        <v>285.6816363844132</v>
      </c>
      <c r="J880" s="2">
        <f>I880-H880</f>
        <v>98.602564296621381</v>
      </c>
      <c r="K880" s="2">
        <f t="shared" si="111"/>
        <v>-98.602564296621381</v>
      </c>
      <c r="L880" s="14">
        <f>C880/B880</f>
        <v>1.0924934644591062</v>
      </c>
      <c r="M880" s="14">
        <f t="shared" si="113"/>
        <v>1.0912905817523815</v>
      </c>
      <c r="N880" s="14">
        <f t="shared" si="117"/>
        <v>1.0907218691477103</v>
      </c>
      <c r="O880" s="14">
        <f t="shared" si="110"/>
        <v>1.0907132801169555</v>
      </c>
      <c r="P880" s="14">
        <f t="shared" si="112"/>
        <v>1.0919762012855483</v>
      </c>
      <c r="Q880" s="4" t="str">
        <f t="shared" si="116"/>
        <v>OVER</v>
      </c>
      <c r="R880" s="4" t="str">
        <f t="shared" si="116"/>
        <v>OVER</v>
      </c>
      <c r="S880" s="4" t="str">
        <f t="shared" si="114"/>
        <v>OVER</v>
      </c>
      <c r="T880" s="4" t="str">
        <f t="shared" si="114"/>
        <v>OVER</v>
      </c>
      <c r="U880" s="2">
        <f>IF(Q880="OVER",$J880,$K880)</f>
        <v>98.602564296621381</v>
      </c>
      <c r="V880" s="2">
        <f>IF(R880="OVER",$J880,$K880)</f>
        <v>98.602564296621381</v>
      </c>
      <c r="W880" s="2">
        <f>IF(S880="OVER",$J880,$K880)</f>
        <v>98.602564296621381</v>
      </c>
      <c r="X880" s="2">
        <f>IF(T880="OVER",$J880,$K880)</f>
        <v>98.602564296621381</v>
      </c>
      <c r="Y880" s="9">
        <f t="shared" si="115"/>
        <v>-36916.014350246136</v>
      </c>
      <c r="Z880" s="9">
        <f t="shared" si="115"/>
        <v>-36181.261667977684</v>
      </c>
      <c r="AA880" s="9">
        <f t="shared" si="115"/>
        <v>50009.046550096893</v>
      </c>
      <c r="AB880" s="9">
        <f t="shared" si="115"/>
        <v>19894.169751800844</v>
      </c>
    </row>
    <row r="881" spans="1:28" x14ac:dyDescent="0.3">
      <c r="A881" s="1">
        <v>45694</v>
      </c>
      <c r="B881" s="2">
        <v>80.47</v>
      </c>
      <c r="C881" s="2">
        <v>87.84</v>
      </c>
      <c r="D881" s="9">
        <f>B881-B880</f>
        <v>0.14000000000000057</v>
      </c>
      <c r="E881" s="9">
        <f>C881-C880</f>
        <v>7.9999999999998295E-2</v>
      </c>
      <c r="F881" s="3">
        <f>F$1/B881</f>
        <v>1242.6991425375916</v>
      </c>
      <c r="G881" s="3">
        <f>F$1/C881</f>
        <v>1138.4335154826958</v>
      </c>
      <c r="H881" s="2">
        <f>D881*F880</f>
        <v>174.28109050168126</v>
      </c>
      <c r="I881" s="2">
        <f>E881*G880</f>
        <v>91.157702825886844</v>
      </c>
      <c r="J881" s="2">
        <f>I881-H881</f>
        <v>-83.123387675794419</v>
      </c>
      <c r="K881" s="2">
        <f t="shared" si="111"/>
        <v>83.123387675794419</v>
      </c>
      <c r="L881" s="14">
        <f>C881/B881</f>
        <v>1.0915869268050205</v>
      </c>
      <c r="M881" s="14">
        <f t="shared" si="113"/>
        <v>1.0914645596323367</v>
      </c>
      <c r="N881" s="14">
        <f t="shared" si="117"/>
        <v>1.0907753807793159</v>
      </c>
      <c r="O881" s="14">
        <f t="shared" si="110"/>
        <v>1.0907128438764919</v>
      </c>
      <c r="P881" s="14">
        <f t="shared" si="112"/>
        <v>1.0919650267241712</v>
      </c>
      <c r="Q881" s="4" t="str">
        <f t="shared" si="116"/>
        <v>OVER</v>
      </c>
      <c r="R881" s="4" t="str">
        <f t="shared" si="116"/>
        <v>OVER</v>
      </c>
      <c r="S881" s="4" t="str">
        <f t="shared" si="114"/>
        <v>OVER</v>
      </c>
      <c r="T881" s="4" t="str">
        <f t="shared" si="114"/>
        <v>UNDER</v>
      </c>
      <c r="U881" s="2">
        <f>IF(Q881="OVER",$J881,$K881)</f>
        <v>-83.123387675794419</v>
      </c>
      <c r="V881" s="2">
        <f>IF(R881="OVER",$J881,$K881)</f>
        <v>-83.123387675794419</v>
      </c>
      <c r="W881" s="2">
        <f>IF(S881="OVER",$J881,$K881)</f>
        <v>-83.123387675794419</v>
      </c>
      <c r="X881" s="2">
        <f>IF(T881="OVER",$J881,$K881)</f>
        <v>83.123387675794419</v>
      </c>
      <c r="Y881" s="9">
        <f t="shared" si="115"/>
        <v>-36999.137737921934</v>
      </c>
      <c r="Z881" s="9">
        <f t="shared" si="115"/>
        <v>-36264.385055653482</v>
      </c>
      <c r="AA881" s="9">
        <f t="shared" si="115"/>
        <v>49925.923162421095</v>
      </c>
      <c r="AB881" s="9">
        <f t="shared" si="115"/>
        <v>19977.293139476638</v>
      </c>
    </row>
    <row r="882" spans="1:28" x14ac:dyDescent="0.3">
      <c r="A882" s="1">
        <v>45695</v>
      </c>
      <c r="B882" s="2">
        <v>80.459999999999994</v>
      </c>
      <c r="C882" s="2">
        <v>87.82</v>
      </c>
      <c r="D882" s="9">
        <f>B882-B881</f>
        <v>-1.0000000000005116E-2</v>
      </c>
      <c r="E882" s="9">
        <f>C882-C881</f>
        <v>-2.0000000000010232E-2</v>
      </c>
      <c r="F882" s="3">
        <f>F$1/B882</f>
        <v>1242.8535918468806</v>
      </c>
      <c r="G882" s="3">
        <f>F$1/C882</f>
        <v>1138.6927806877704</v>
      </c>
      <c r="H882" s="2">
        <f>D882*F881</f>
        <v>-12.426991425382273</v>
      </c>
      <c r="I882" s="2">
        <f>E882*G881</f>
        <v>-22.768670309665566</v>
      </c>
      <c r="J882" s="2">
        <f>I882-H882</f>
        <v>-10.341678884283294</v>
      </c>
      <c r="K882" s="2">
        <f t="shared" si="111"/>
        <v>10.341678884283294</v>
      </c>
      <c r="L882" s="14">
        <f>C882/B882</f>
        <v>1.0914740243599304</v>
      </c>
      <c r="M882" s="14">
        <f t="shared" si="113"/>
        <v>1.0916971371366189</v>
      </c>
      <c r="N882" s="14">
        <f t="shared" si="117"/>
        <v>1.0908256365334998</v>
      </c>
      <c r="O882" s="14">
        <f t="shared" si="110"/>
        <v>1.0907055393538283</v>
      </c>
      <c r="P882" s="14">
        <f t="shared" si="112"/>
        <v>1.0919553207139894</v>
      </c>
      <c r="Q882" s="4" t="str">
        <f t="shared" si="116"/>
        <v>OVER</v>
      </c>
      <c r="R882" s="4" t="str">
        <f t="shared" si="116"/>
        <v>OVER</v>
      </c>
      <c r="S882" s="4" t="str">
        <f t="shared" si="114"/>
        <v>OVER</v>
      </c>
      <c r="T882" s="4" t="str">
        <f t="shared" si="114"/>
        <v>UNDER</v>
      </c>
      <c r="U882" s="2">
        <f>IF(Q882="OVER",$J882,$K882)</f>
        <v>-10.341678884283294</v>
      </c>
      <c r="V882" s="2">
        <f>IF(R882="OVER",$J882,$K882)</f>
        <v>-10.341678884283294</v>
      </c>
      <c r="W882" s="2">
        <f>IF(S882="OVER",$J882,$K882)</f>
        <v>-10.341678884283294</v>
      </c>
      <c r="X882" s="2">
        <f>IF(T882="OVER",$J882,$K882)</f>
        <v>10.341678884283294</v>
      </c>
      <c r="Y882" s="9">
        <f t="shared" si="115"/>
        <v>-37009.479416806214</v>
      </c>
      <c r="Z882" s="9">
        <f t="shared" si="115"/>
        <v>-36274.726734537762</v>
      </c>
      <c r="AA882" s="9">
        <f t="shared" si="115"/>
        <v>49915.581483536815</v>
      </c>
      <c r="AB882" s="9">
        <f t="shared" si="115"/>
        <v>19987.634818360923</v>
      </c>
    </row>
    <row r="883" spans="1:28" x14ac:dyDescent="0.3">
      <c r="A883" s="1">
        <v>45698</v>
      </c>
      <c r="B883" s="2">
        <v>80.709999999999994</v>
      </c>
      <c r="C883" s="2">
        <v>88.32</v>
      </c>
      <c r="D883" s="9">
        <f>B883-B882</f>
        <v>0.25</v>
      </c>
      <c r="E883" s="9">
        <f>C883-C882</f>
        <v>0.5</v>
      </c>
      <c r="F883" s="3">
        <f>F$1/B883</f>
        <v>1239.003840911907</v>
      </c>
      <c r="G883" s="3">
        <f>F$1/C883</f>
        <v>1132.2463768115942</v>
      </c>
      <c r="H883" s="2">
        <f>D883*F882</f>
        <v>310.71339796172015</v>
      </c>
      <c r="I883" s="2">
        <f>E883*G882</f>
        <v>569.34639034388522</v>
      </c>
      <c r="J883" s="2">
        <f>I883-H883</f>
        <v>258.63299238216507</v>
      </c>
      <c r="K883" s="2">
        <f t="shared" si="111"/>
        <v>-258.63299238216507</v>
      </c>
      <c r="L883" s="14">
        <f>C883/B883</f>
        <v>1.094288192293396</v>
      </c>
      <c r="M883" s="14">
        <f t="shared" si="113"/>
        <v>1.0921124360855377</v>
      </c>
      <c r="N883" s="14">
        <f t="shared" si="117"/>
        <v>1.0910121078052026</v>
      </c>
      <c r="O883" s="14">
        <f t="shared" si="110"/>
        <v>1.0907876026728003</v>
      </c>
      <c r="P883" s="14">
        <f t="shared" si="112"/>
        <v>1.0919623194302988</v>
      </c>
      <c r="Q883" s="4" t="str">
        <f t="shared" si="116"/>
        <v>UNDER</v>
      </c>
      <c r="R883" s="4" t="str">
        <f t="shared" si="116"/>
        <v>OVER</v>
      </c>
      <c r="S883" s="4" t="str">
        <f t="shared" si="114"/>
        <v>OVER</v>
      </c>
      <c r="T883" s="4" t="str">
        <f t="shared" si="114"/>
        <v>OVER</v>
      </c>
      <c r="U883" s="2">
        <f>IF(Q883="OVER",$J883,$K883)</f>
        <v>-258.63299238216507</v>
      </c>
      <c r="V883" s="2">
        <f>IF(R883="OVER",$J883,$K883)</f>
        <v>258.63299238216507</v>
      </c>
      <c r="W883" s="2">
        <f>IF(S883="OVER",$J883,$K883)</f>
        <v>258.63299238216507</v>
      </c>
      <c r="X883" s="2">
        <f>IF(T883="OVER",$J883,$K883)</f>
        <v>258.63299238216507</v>
      </c>
      <c r="Y883" s="9">
        <f t="shared" si="115"/>
        <v>-37268.112409188383</v>
      </c>
      <c r="Z883" s="9">
        <f t="shared" si="115"/>
        <v>-36016.093742155594</v>
      </c>
      <c r="AA883" s="9">
        <f t="shared" si="115"/>
        <v>50174.214475918983</v>
      </c>
      <c r="AB883" s="9">
        <f t="shared" si="115"/>
        <v>20246.267810743087</v>
      </c>
    </row>
    <row r="884" spans="1:28" x14ac:dyDescent="0.3">
      <c r="A884" s="1">
        <v>45699</v>
      </c>
      <c r="B884" s="2">
        <v>80.319999999999993</v>
      </c>
      <c r="C884" s="2">
        <v>87.9</v>
      </c>
      <c r="D884" s="9">
        <f>B884-B883</f>
        <v>-0.39000000000000057</v>
      </c>
      <c r="E884" s="9">
        <f>C884-C883</f>
        <v>-0.41999999999998749</v>
      </c>
      <c r="F884" s="3">
        <f>F$1/B884</f>
        <v>1245.0199203187251</v>
      </c>
      <c r="G884" s="3">
        <f>F$1/C884</f>
        <v>1137.6564277588168</v>
      </c>
      <c r="H884" s="2">
        <f>D884*F883</f>
        <v>-483.2114979556444</v>
      </c>
      <c r="I884" s="2">
        <f>E884*G883</f>
        <v>-475.54347826085541</v>
      </c>
      <c r="J884" s="2">
        <f>I884-H884</f>
        <v>7.6680196947889954</v>
      </c>
      <c r="K884" s="2">
        <f t="shared" si="111"/>
        <v>-7.6680196947889954</v>
      </c>
      <c r="L884" s="14">
        <f>C884/B884</f>
        <v>1.0943725099601596</v>
      </c>
      <c r="M884" s="14">
        <f t="shared" si="113"/>
        <v>1.0923463903782569</v>
      </c>
      <c r="N884" s="14">
        <f t="shared" si="117"/>
        <v>1.0911788313044997</v>
      </c>
      <c r="O884" s="14">
        <f t="shared" si="110"/>
        <v>1.0908664898798772</v>
      </c>
      <c r="P884" s="14">
        <f t="shared" si="112"/>
        <v>1.0919669584207055</v>
      </c>
      <c r="Q884" s="4" t="str">
        <f t="shared" si="116"/>
        <v>OVER</v>
      </c>
      <c r="R884" s="4" t="str">
        <f t="shared" si="116"/>
        <v>OVER</v>
      </c>
      <c r="S884" s="4" t="str">
        <f t="shared" si="114"/>
        <v>OVER</v>
      </c>
      <c r="T884" s="4" t="str">
        <f t="shared" si="114"/>
        <v>OVER</v>
      </c>
      <c r="U884" s="2">
        <f>IF(Q884="OVER",$J884,$K884)</f>
        <v>7.6680196947889954</v>
      </c>
      <c r="V884" s="2">
        <f>IF(R884="OVER",$J884,$K884)</f>
        <v>7.6680196947889954</v>
      </c>
      <c r="W884" s="2">
        <f>IF(S884="OVER",$J884,$K884)</f>
        <v>7.6680196947889954</v>
      </c>
      <c r="X884" s="2">
        <f>IF(T884="OVER",$J884,$K884)</f>
        <v>7.6680196947889954</v>
      </c>
      <c r="Y884" s="9">
        <f t="shared" si="115"/>
        <v>-37260.444389493598</v>
      </c>
      <c r="Z884" s="9">
        <f t="shared" si="115"/>
        <v>-36008.425722460808</v>
      </c>
      <c r="AA884" s="9">
        <f t="shared" si="115"/>
        <v>50181.882495613769</v>
      </c>
      <c r="AB884" s="9">
        <f t="shared" si="115"/>
        <v>20253.935830437877</v>
      </c>
    </row>
    <row r="885" spans="1:28" x14ac:dyDescent="0.3">
      <c r="A885" s="1">
        <v>45700</v>
      </c>
      <c r="B885" s="2">
        <v>80.58</v>
      </c>
      <c r="C885" s="2">
        <v>88.15</v>
      </c>
      <c r="D885" s="9">
        <f>B885-B884</f>
        <v>0.26000000000000512</v>
      </c>
      <c r="E885" s="9">
        <f>C885-C884</f>
        <v>0.25</v>
      </c>
      <c r="F885" s="3">
        <f>F$1/B885</f>
        <v>1241.0027302060064</v>
      </c>
      <c r="G885" s="3">
        <f>F$1/C885</f>
        <v>1134.4299489506523</v>
      </c>
      <c r="H885" s="2">
        <f>D885*F884</f>
        <v>323.70517928287489</v>
      </c>
      <c r="I885" s="2">
        <f>E885*G884</f>
        <v>284.4141069397042</v>
      </c>
      <c r="J885" s="2">
        <f>I885-H885</f>
        <v>-39.291072343170697</v>
      </c>
      <c r="K885" s="2">
        <f t="shared" si="111"/>
        <v>39.291072343170697</v>
      </c>
      <c r="L885" s="14">
        <f>C885/B885</f>
        <v>1.0939439066765948</v>
      </c>
      <c r="M885" s="14">
        <f t="shared" si="113"/>
        <v>1.0925874343925697</v>
      </c>
      <c r="N885" s="14">
        <f t="shared" si="117"/>
        <v>1.0912915177899072</v>
      </c>
      <c r="O885" s="14">
        <f t="shared" ref="O885:O948" si="118">AVERAGE(L836:L885)</f>
        <v>1.0909037789991867</v>
      </c>
      <c r="P885" s="14">
        <f t="shared" si="112"/>
        <v>1.0919667077709281</v>
      </c>
      <c r="Q885" s="4" t="str">
        <f t="shared" si="116"/>
        <v>OVER</v>
      </c>
      <c r="R885" s="4" t="str">
        <f t="shared" si="116"/>
        <v>OVER</v>
      </c>
      <c r="S885" s="4" t="str">
        <f t="shared" si="114"/>
        <v>OVER</v>
      </c>
      <c r="T885" s="4" t="str">
        <f t="shared" si="114"/>
        <v>OVER</v>
      </c>
      <c r="U885" s="2">
        <f>IF(Q885="OVER",$J885,$K885)</f>
        <v>-39.291072343170697</v>
      </c>
      <c r="V885" s="2">
        <f>IF(R885="OVER",$J885,$K885)</f>
        <v>-39.291072343170697</v>
      </c>
      <c r="W885" s="2">
        <f>IF(S885="OVER",$J885,$K885)</f>
        <v>-39.291072343170697</v>
      </c>
      <c r="X885" s="2">
        <f>IF(T885="OVER",$J885,$K885)</f>
        <v>-39.291072343170697</v>
      </c>
      <c r="Y885" s="9">
        <f t="shared" si="115"/>
        <v>-37299.735461836768</v>
      </c>
      <c r="Z885" s="9">
        <f t="shared" si="115"/>
        <v>-36047.716794803979</v>
      </c>
      <c r="AA885" s="9">
        <f t="shared" si="115"/>
        <v>50142.591423270598</v>
      </c>
      <c r="AB885" s="9">
        <f t="shared" si="115"/>
        <v>20214.644758094706</v>
      </c>
    </row>
    <row r="886" spans="1:28" x14ac:dyDescent="0.3">
      <c r="A886" s="1">
        <v>45701</v>
      </c>
      <c r="B886" s="2">
        <v>81.06</v>
      </c>
      <c r="C886" s="2">
        <v>88.61</v>
      </c>
      <c r="D886" s="9">
        <f>B886-B885</f>
        <v>0.48000000000000398</v>
      </c>
      <c r="E886" s="9">
        <f>C886-C885</f>
        <v>0.45999999999999375</v>
      </c>
      <c r="F886" s="3">
        <f>F$1/B886</f>
        <v>1233.654083395016</v>
      </c>
      <c r="G886" s="3">
        <f>F$1/C886</f>
        <v>1128.5407967498024</v>
      </c>
      <c r="H886" s="2">
        <f>D886*F885</f>
        <v>595.68131049888802</v>
      </c>
      <c r="I886" s="2">
        <f>E886*G885</f>
        <v>521.83777651729292</v>
      </c>
      <c r="J886" s="2">
        <f>I886-H886</f>
        <v>-73.843533981595101</v>
      </c>
      <c r="K886" s="2">
        <f t="shared" si="111"/>
        <v>73.843533981595101</v>
      </c>
      <c r="L886" s="14">
        <f>C886/B886</f>
        <v>1.0931408832963236</v>
      </c>
      <c r="M886" s="14">
        <f t="shared" si="113"/>
        <v>1.0927373362142654</v>
      </c>
      <c r="N886" s="14">
        <f t="shared" si="117"/>
        <v>1.091531578431276</v>
      </c>
      <c r="O886" s="14">
        <f t="shared" si="118"/>
        <v>1.090953745455731</v>
      </c>
      <c r="P886" s="14">
        <f t="shared" si="112"/>
        <v>1.0919665561150216</v>
      </c>
      <c r="Q886" s="4" t="str">
        <f t="shared" si="116"/>
        <v>OVER</v>
      </c>
      <c r="R886" s="4" t="str">
        <f t="shared" si="116"/>
        <v>OVER</v>
      </c>
      <c r="S886" s="4" t="str">
        <f t="shared" si="114"/>
        <v>OVER</v>
      </c>
      <c r="T886" s="4" t="str">
        <f t="shared" si="114"/>
        <v>OVER</v>
      </c>
      <c r="U886" s="2">
        <f>IF(Q886="OVER",$J886,$K886)</f>
        <v>-73.843533981595101</v>
      </c>
      <c r="V886" s="2">
        <f>IF(R886="OVER",$J886,$K886)</f>
        <v>-73.843533981595101</v>
      </c>
      <c r="W886" s="2">
        <f>IF(S886="OVER",$J886,$K886)</f>
        <v>-73.843533981595101</v>
      </c>
      <c r="X886" s="2">
        <f>IF(T886="OVER",$J886,$K886)</f>
        <v>-73.843533981595101</v>
      </c>
      <c r="Y886" s="9">
        <f t="shared" si="115"/>
        <v>-37373.57899581836</v>
      </c>
      <c r="Z886" s="9">
        <f t="shared" si="115"/>
        <v>-36121.560328785577</v>
      </c>
      <c r="AA886" s="9">
        <f t="shared" si="115"/>
        <v>50068.747889289007</v>
      </c>
      <c r="AB886" s="9">
        <f t="shared" si="115"/>
        <v>20140.801224113111</v>
      </c>
    </row>
    <row r="887" spans="1:28" x14ac:dyDescent="0.3">
      <c r="A887" s="1">
        <v>45702</v>
      </c>
      <c r="B887" s="2">
        <v>81.319999999999993</v>
      </c>
      <c r="C887" s="2">
        <v>88.83</v>
      </c>
      <c r="D887" s="9">
        <f>B887-B886</f>
        <v>0.25999999999999091</v>
      </c>
      <c r="E887" s="9">
        <f>C887-C886</f>
        <v>0.21999999999999886</v>
      </c>
      <c r="F887" s="3">
        <f>F$1/B887</f>
        <v>1229.7097884899165</v>
      </c>
      <c r="G887" s="3">
        <f>F$1/C887</f>
        <v>1125.7458065968704</v>
      </c>
      <c r="H887" s="2">
        <f>D887*F886</f>
        <v>320.75006168269294</v>
      </c>
      <c r="I887" s="2">
        <f>E887*G886</f>
        <v>248.27897528495527</v>
      </c>
      <c r="J887" s="2">
        <f>I887-H887</f>
        <v>-72.471086397737679</v>
      </c>
      <c r="K887" s="2">
        <f t="shared" si="111"/>
        <v>72.471086397737679</v>
      </c>
      <c r="L887" s="14">
        <f>C887/B887</f>
        <v>1.0923512051155928</v>
      </c>
      <c r="M887" s="14">
        <f t="shared" si="113"/>
        <v>1.092703738649333</v>
      </c>
      <c r="N887" s="14">
        <f t="shared" si="117"/>
        <v>1.0916960038314987</v>
      </c>
      <c r="O887" s="14">
        <f t="shared" si="118"/>
        <v>1.0911665283129068</v>
      </c>
      <c r="P887" s="14">
        <f t="shared" si="112"/>
        <v>1.091961654872871</v>
      </c>
      <c r="Q887" s="4" t="str">
        <f t="shared" si="116"/>
        <v>OVER</v>
      </c>
      <c r="R887" s="4" t="str">
        <f t="shared" si="116"/>
        <v>OVER</v>
      </c>
      <c r="S887" s="4" t="str">
        <f t="shared" si="114"/>
        <v>OVER</v>
      </c>
      <c r="T887" s="4" t="str">
        <f t="shared" si="114"/>
        <v>OVER</v>
      </c>
      <c r="U887" s="2">
        <f>IF(Q887="OVER",$J887,$K887)</f>
        <v>-72.471086397737679</v>
      </c>
      <c r="V887" s="2">
        <f>IF(R887="OVER",$J887,$K887)</f>
        <v>-72.471086397737679</v>
      </c>
      <c r="W887" s="2">
        <f>IF(S887="OVER",$J887,$K887)</f>
        <v>-72.471086397737679</v>
      </c>
      <c r="X887" s="2">
        <f>IF(T887="OVER",$J887,$K887)</f>
        <v>-72.471086397737679</v>
      </c>
      <c r="Y887" s="9">
        <f t="shared" si="115"/>
        <v>-37446.050082216098</v>
      </c>
      <c r="Z887" s="9">
        <f t="shared" si="115"/>
        <v>-36194.031415183315</v>
      </c>
      <c r="AA887" s="9">
        <f t="shared" si="115"/>
        <v>49996.276802891269</v>
      </c>
      <c r="AB887" s="9">
        <f t="shared" si="115"/>
        <v>20068.330137715373</v>
      </c>
    </row>
    <row r="888" spans="1:28" x14ac:dyDescent="0.3">
      <c r="A888" s="1">
        <v>45706</v>
      </c>
      <c r="B888" s="2">
        <v>81.58</v>
      </c>
      <c r="C888" s="2">
        <v>89.27</v>
      </c>
      <c r="D888" s="9">
        <f>B888-B887</f>
        <v>0.26000000000000512</v>
      </c>
      <c r="E888" s="9">
        <f>C888-C887</f>
        <v>0.43999999999999773</v>
      </c>
      <c r="F888" s="3">
        <f>F$1/B888</f>
        <v>1225.7906349595489</v>
      </c>
      <c r="G888" s="3">
        <f>F$1/C888</f>
        <v>1120.1971546992272</v>
      </c>
      <c r="H888" s="2">
        <f>D888*F887</f>
        <v>319.72454500738456</v>
      </c>
      <c r="I888" s="2">
        <f>E888*G887</f>
        <v>495.32815490262038</v>
      </c>
      <c r="J888" s="2">
        <f>I888-H888</f>
        <v>175.60360989523582</v>
      </c>
      <c r="K888" s="2">
        <f t="shared" si="111"/>
        <v>-175.60360989523582</v>
      </c>
      <c r="L888" s="14">
        <f>C888/B888</f>
        <v>1.0942632998283892</v>
      </c>
      <c r="M888" s="14">
        <f t="shared" si="113"/>
        <v>1.0929333719354752</v>
      </c>
      <c r="N888" s="14">
        <f t="shared" si="117"/>
        <v>1.0919410837165349</v>
      </c>
      <c r="O888" s="14">
        <f t="shared" si="118"/>
        <v>1.0912215360068915</v>
      </c>
      <c r="P888" s="14">
        <f t="shared" si="112"/>
        <v>1.091950477776795</v>
      </c>
      <c r="Q888" s="4" t="str">
        <f t="shared" si="116"/>
        <v>UNDER</v>
      </c>
      <c r="R888" s="4" t="str">
        <f t="shared" si="116"/>
        <v>OVER</v>
      </c>
      <c r="S888" s="4" t="str">
        <f t="shared" si="114"/>
        <v>OVER</v>
      </c>
      <c r="T888" s="4" t="str">
        <f t="shared" si="114"/>
        <v>OVER</v>
      </c>
      <c r="U888" s="2">
        <f>IF(Q888="OVER",$J888,$K888)</f>
        <v>-175.60360989523582</v>
      </c>
      <c r="V888" s="2">
        <f>IF(R888="OVER",$J888,$K888)</f>
        <v>175.60360989523582</v>
      </c>
      <c r="W888" s="2">
        <f>IF(S888="OVER",$J888,$K888)</f>
        <v>175.60360989523582</v>
      </c>
      <c r="X888" s="2">
        <f>IF(T888="OVER",$J888,$K888)</f>
        <v>175.60360989523582</v>
      </c>
      <c r="Y888" s="9">
        <f t="shared" si="115"/>
        <v>-37621.653692111337</v>
      </c>
      <c r="Z888" s="9">
        <f t="shared" si="115"/>
        <v>-36018.427805288076</v>
      </c>
      <c r="AA888" s="9">
        <f t="shared" si="115"/>
        <v>50171.880412786508</v>
      </c>
      <c r="AB888" s="9">
        <f t="shared" si="115"/>
        <v>20243.933747610608</v>
      </c>
    </row>
    <row r="889" spans="1:28" x14ac:dyDescent="0.3">
      <c r="A889" s="1">
        <v>45707</v>
      </c>
      <c r="B889" s="2">
        <v>81.239999999999995</v>
      </c>
      <c r="C889" s="2">
        <v>88.73</v>
      </c>
      <c r="D889" s="9">
        <f>B889-B888</f>
        <v>-0.34000000000000341</v>
      </c>
      <c r="E889" s="9">
        <f>C889-C888</f>
        <v>-0.53999999999999204</v>
      </c>
      <c r="F889" s="3">
        <f>F$1/B889</f>
        <v>1230.9207287050715</v>
      </c>
      <c r="G889" s="3">
        <f>F$1/C889</f>
        <v>1127.0145384875464</v>
      </c>
      <c r="H889" s="2">
        <f>D889*F888</f>
        <v>-416.76881588625082</v>
      </c>
      <c r="I889" s="2">
        <f>E889*G888</f>
        <v>-604.90646353757381</v>
      </c>
      <c r="J889" s="2">
        <f>I889-H889</f>
        <v>-188.13764765132299</v>
      </c>
      <c r="K889" s="2">
        <f t="shared" si="111"/>
        <v>188.13764765132299</v>
      </c>
      <c r="L889" s="14">
        <f>C889/B889</f>
        <v>1.0921959625800099</v>
      </c>
      <c r="M889" s="14">
        <f t="shared" si="113"/>
        <v>1.0930110375374524</v>
      </c>
      <c r="N889" s="14">
        <f t="shared" si="117"/>
        <v>1.0920325474763621</v>
      </c>
      <c r="O889" s="14">
        <f t="shared" si="118"/>
        <v>1.0911889241462918</v>
      </c>
      <c r="P889" s="14">
        <f t="shared" si="112"/>
        <v>1.0919305371952404</v>
      </c>
      <c r="Q889" s="4" t="str">
        <f t="shared" si="116"/>
        <v>OVER</v>
      </c>
      <c r="R889" s="4" t="str">
        <f t="shared" si="116"/>
        <v>OVER</v>
      </c>
      <c r="S889" s="4" t="str">
        <f t="shared" si="114"/>
        <v>OVER</v>
      </c>
      <c r="T889" s="4" t="str">
        <f t="shared" si="114"/>
        <v>OVER</v>
      </c>
      <c r="U889" s="2">
        <f>IF(Q889="OVER",$J889,$K889)</f>
        <v>-188.13764765132299</v>
      </c>
      <c r="V889" s="2">
        <f>IF(R889="OVER",$J889,$K889)</f>
        <v>-188.13764765132299</v>
      </c>
      <c r="W889" s="2">
        <f>IF(S889="OVER",$J889,$K889)</f>
        <v>-188.13764765132299</v>
      </c>
      <c r="X889" s="2">
        <f>IF(T889="OVER",$J889,$K889)</f>
        <v>-188.13764765132299</v>
      </c>
      <c r="Y889" s="9">
        <f t="shared" si="115"/>
        <v>-37809.791339762662</v>
      </c>
      <c r="Z889" s="9">
        <f t="shared" si="115"/>
        <v>-36206.565452939401</v>
      </c>
      <c r="AA889" s="9">
        <f t="shared" si="115"/>
        <v>49983.742765135183</v>
      </c>
      <c r="AB889" s="9">
        <f t="shared" si="115"/>
        <v>20055.796099959287</v>
      </c>
    </row>
    <row r="890" spans="1:28" x14ac:dyDescent="0.3">
      <c r="A890" s="1">
        <v>45708</v>
      </c>
      <c r="B890" s="2">
        <v>80.88</v>
      </c>
      <c r="C890" s="2">
        <v>88.51</v>
      </c>
      <c r="D890" s="9">
        <f>B890-B889</f>
        <v>-0.35999999999999943</v>
      </c>
      <c r="E890" s="9">
        <f>C890-C889</f>
        <v>-0.21999999999999886</v>
      </c>
      <c r="F890" s="3">
        <f>F$1/B890</f>
        <v>1236.3996043521267</v>
      </c>
      <c r="G890" s="3">
        <f>F$1/C890</f>
        <v>1129.8158400180771</v>
      </c>
      <c r="H890" s="2">
        <f>D890*F889</f>
        <v>-443.13146233382503</v>
      </c>
      <c r="I890" s="2">
        <f>E890*G889</f>
        <v>-247.94319846725892</v>
      </c>
      <c r="J890" s="2">
        <f>I890-H890</f>
        <v>195.1882638665661</v>
      </c>
      <c r="K890" s="2">
        <f t="shared" si="111"/>
        <v>-195.1882638665661</v>
      </c>
      <c r="L890" s="14">
        <f>C890/B890</f>
        <v>1.0943372898120673</v>
      </c>
      <c r="M890" s="14">
        <f t="shared" si="113"/>
        <v>1.0931954200727483</v>
      </c>
      <c r="N890" s="14">
        <f t="shared" si="117"/>
        <v>1.0922430009125648</v>
      </c>
      <c r="O890" s="14">
        <f t="shared" si="118"/>
        <v>1.0912487822813914</v>
      </c>
      <c r="P890" s="14">
        <f t="shared" si="112"/>
        <v>1.0919324772931602</v>
      </c>
      <c r="Q890" s="4" t="str">
        <f t="shared" si="116"/>
        <v>UNDER</v>
      </c>
      <c r="R890" s="4" t="str">
        <f t="shared" si="116"/>
        <v>OVER</v>
      </c>
      <c r="S890" s="4" t="str">
        <f t="shared" si="114"/>
        <v>OVER</v>
      </c>
      <c r="T890" s="4" t="str">
        <f t="shared" si="114"/>
        <v>OVER</v>
      </c>
      <c r="U890" s="2">
        <f>IF(Q890="OVER",$J890,$K890)</f>
        <v>-195.1882638665661</v>
      </c>
      <c r="V890" s="2">
        <f>IF(R890="OVER",$J890,$K890)</f>
        <v>195.1882638665661</v>
      </c>
      <c r="W890" s="2">
        <f>IF(S890="OVER",$J890,$K890)</f>
        <v>195.1882638665661</v>
      </c>
      <c r="X890" s="2">
        <f>IF(T890="OVER",$J890,$K890)</f>
        <v>195.1882638665661</v>
      </c>
      <c r="Y890" s="9">
        <f t="shared" si="115"/>
        <v>-38004.979603629225</v>
      </c>
      <c r="Z890" s="9">
        <f t="shared" si="115"/>
        <v>-36011.377189072839</v>
      </c>
      <c r="AA890" s="9">
        <f t="shared" si="115"/>
        <v>50178.931029001746</v>
      </c>
      <c r="AB890" s="9">
        <f t="shared" si="115"/>
        <v>20250.984363825854</v>
      </c>
    </row>
    <row r="891" spans="1:28" x14ac:dyDescent="0.3">
      <c r="A891" s="1">
        <v>45709</v>
      </c>
      <c r="B891" s="2">
        <v>79.87</v>
      </c>
      <c r="C891" s="2">
        <v>87.36</v>
      </c>
      <c r="D891" s="9">
        <f>B891-B890</f>
        <v>-1.0099999999999909</v>
      </c>
      <c r="E891" s="9">
        <f>C891-C890</f>
        <v>-1.1500000000000057</v>
      </c>
      <c r="F891" s="3">
        <f>F$1/B891</f>
        <v>1252.0345561537497</v>
      </c>
      <c r="G891" s="3">
        <f>F$1/C891</f>
        <v>1144.6886446886447</v>
      </c>
      <c r="H891" s="2">
        <f>D891*F890</f>
        <v>-1248.7636003956368</v>
      </c>
      <c r="I891" s="2">
        <f>E891*G890</f>
        <v>-1299.2882160207951</v>
      </c>
      <c r="J891" s="2">
        <f>I891-H891</f>
        <v>-50.524615625158276</v>
      </c>
      <c r="K891" s="2">
        <f t="shared" si="111"/>
        <v>50.524615625158276</v>
      </c>
      <c r="L891" s="14">
        <f>C891/B891</f>
        <v>1.0937773882559159</v>
      </c>
      <c r="M891" s="14">
        <f t="shared" si="113"/>
        <v>1.093414466217838</v>
      </c>
      <c r="N891" s="14">
        <f t="shared" si="117"/>
        <v>1.0924395129250872</v>
      </c>
      <c r="O891" s="14">
        <f t="shared" si="118"/>
        <v>1.091302368686764</v>
      </c>
      <c r="P891" s="14">
        <f t="shared" si="112"/>
        <v>1.0919321972166001</v>
      </c>
      <c r="Q891" s="4" t="str">
        <f t="shared" si="116"/>
        <v>OVER</v>
      </c>
      <c r="R891" s="4" t="str">
        <f t="shared" si="116"/>
        <v>OVER</v>
      </c>
      <c r="S891" s="4" t="str">
        <f t="shared" si="114"/>
        <v>OVER</v>
      </c>
      <c r="T891" s="4" t="str">
        <f t="shared" si="114"/>
        <v>OVER</v>
      </c>
      <c r="U891" s="2">
        <f>IF(Q891="OVER",$J891,$K891)</f>
        <v>-50.524615625158276</v>
      </c>
      <c r="V891" s="2">
        <f>IF(R891="OVER",$J891,$K891)</f>
        <v>-50.524615625158276</v>
      </c>
      <c r="W891" s="2">
        <f>IF(S891="OVER",$J891,$K891)</f>
        <v>-50.524615625158276</v>
      </c>
      <c r="X891" s="2">
        <f>IF(T891="OVER",$J891,$K891)</f>
        <v>-50.524615625158276</v>
      </c>
      <c r="Y891" s="9">
        <f t="shared" si="115"/>
        <v>-38055.504219254384</v>
      </c>
      <c r="Z891" s="9">
        <f t="shared" si="115"/>
        <v>-36061.901804697998</v>
      </c>
      <c r="AA891" s="9">
        <f t="shared" si="115"/>
        <v>50128.406413376586</v>
      </c>
      <c r="AB891" s="9">
        <f t="shared" si="115"/>
        <v>20200.459748200694</v>
      </c>
    </row>
    <row r="892" spans="1:28" x14ac:dyDescent="0.3">
      <c r="A892" s="1">
        <v>45712</v>
      </c>
      <c r="B892" s="2">
        <v>79.3</v>
      </c>
      <c r="C892" s="2">
        <v>86.68</v>
      </c>
      <c r="D892" s="9">
        <f>B892-B891</f>
        <v>-0.57000000000000739</v>
      </c>
      <c r="E892" s="9">
        <f>C892-C891</f>
        <v>-0.67999999999999261</v>
      </c>
      <c r="F892" s="3">
        <f>F$1/B892</f>
        <v>1261.0340479192939</v>
      </c>
      <c r="G892" s="3">
        <f>F$1/C892</f>
        <v>1153.6686663590217</v>
      </c>
      <c r="H892" s="2">
        <f>D892*F891</f>
        <v>-713.65969700764663</v>
      </c>
      <c r="I892" s="2">
        <f>E892*G891</f>
        <v>-778.3882783882699</v>
      </c>
      <c r="J892" s="2">
        <f>I892-H892</f>
        <v>-64.728581380623268</v>
      </c>
      <c r="K892" s="2">
        <f t="shared" si="111"/>
        <v>64.728581380623268</v>
      </c>
      <c r="L892" s="14">
        <f>C892/B892</f>
        <v>1.0930643127364441</v>
      </c>
      <c r="M892" s="14">
        <f t="shared" si="113"/>
        <v>1.0935734950554894</v>
      </c>
      <c r="N892" s="14">
        <f t="shared" si="117"/>
        <v>1.092635316096054</v>
      </c>
      <c r="O892" s="14">
        <f t="shared" si="118"/>
        <v>1.0913631145337308</v>
      </c>
      <c r="P892" s="14">
        <f t="shared" si="112"/>
        <v>1.0919387967978236</v>
      </c>
      <c r="Q892" s="4" t="str">
        <f t="shared" si="116"/>
        <v>OVER</v>
      </c>
      <c r="R892" s="4" t="str">
        <f t="shared" si="116"/>
        <v>OVER</v>
      </c>
      <c r="S892" s="4" t="str">
        <f t="shared" si="114"/>
        <v>OVER</v>
      </c>
      <c r="T892" s="4" t="str">
        <f t="shared" si="114"/>
        <v>OVER</v>
      </c>
      <c r="U892" s="2">
        <f>IF(Q892="OVER",$J892,$K892)</f>
        <v>-64.728581380623268</v>
      </c>
      <c r="V892" s="2">
        <f>IF(R892="OVER",$J892,$K892)</f>
        <v>-64.728581380623268</v>
      </c>
      <c r="W892" s="2">
        <f>IF(S892="OVER",$J892,$K892)</f>
        <v>-64.728581380623268</v>
      </c>
      <c r="X892" s="2">
        <f>IF(T892="OVER",$J892,$K892)</f>
        <v>-64.728581380623268</v>
      </c>
      <c r="Y892" s="9">
        <f t="shared" si="115"/>
        <v>-38120.232800635007</v>
      </c>
      <c r="Z892" s="9">
        <f t="shared" si="115"/>
        <v>-36126.630386078621</v>
      </c>
      <c r="AA892" s="9">
        <f t="shared" si="115"/>
        <v>50063.677831995963</v>
      </c>
      <c r="AB892" s="9">
        <f t="shared" si="115"/>
        <v>20135.731166820071</v>
      </c>
    </row>
    <row r="893" spans="1:28" x14ac:dyDescent="0.3">
      <c r="A893" s="1">
        <v>45713</v>
      </c>
      <c r="B893" s="2">
        <v>78.760000000000005</v>
      </c>
      <c r="C893" s="2">
        <v>86.05</v>
      </c>
      <c r="D893" s="9">
        <f>B893-B892</f>
        <v>-0.53999999999999204</v>
      </c>
      <c r="E893" s="9">
        <f>C893-C892</f>
        <v>-0.63000000000000966</v>
      </c>
      <c r="F893" s="3">
        <f>F$1/B893</f>
        <v>1269.6800406297612</v>
      </c>
      <c r="G893" s="3">
        <f>F$1/C893</f>
        <v>1162.1150493898897</v>
      </c>
      <c r="H893" s="2">
        <f>D893*F892</f>
        <v>-680.95838587640867</v>
      </c>
      <c r="I893" s="2">
        <f>E893*G892</f>
        <v>-726.81125980619481</v>
      </c>
      <c r="J893" s="2">
        <f>I893-H893</f>
        <v>-45.852873929786142</v>
      </c>
      <c r="K893" s="2">
        <f t="shared" si="111"/>
        <v>45.852873929786142</v>
      </c>
      <c r="L893" s="14">
        <f>C893/B893</f>
        <v>1.0925596749619095</v>
      </c>
      <c r="M893" s="14">
        <f t="shared" si="113"/>
        <v>1.0934006433223407</v>
      </c>
      <c r="N893" s="14">
        <f t="shared" si="117"/>
        <v>1.0927565397039392</v>
      </c>
      <c r="O893" s="14">
        <f t="shared" si="118"/>
        <v>1.0913185263952518</v>
      </c>
      <c r="P893" s="14">
        <f t="shared" si="112"/>
        <v>1.0919311875791098</v>
      </c>
      <c r="Q893" s="4" t="str">
        <f t="shared" si="116"/>
        <v>UNDER</v>
      </c>
      <c r="R893" s="4" t="str">
        <f t="shared" si="116"/>
        <v>OVER</v>
      </c>
      <c r="S893" s="4" t="str">
        <f t="shared" si="114"/>
        <v>OVER</v>
      </c>
      <c r="T893" s="4" t="str">
        <f t="shared" si="114"/>
        <v>OVER</v>
      </c>
      <c r="U893" s="2">
        <f>IF(Q893="OVER",$J893,$K893)</f>
        <v>45.852873929786142</v>
      </c>
      <c r="V893" s="2">
        <f>IF(R893="OVER",$J893,$K893)</f>
        <v>-45.852873929786142</v>
      </c>
      <c r="W893" s="2">
        <f>IF(S893="OVER",$J893,$K893)</f>
        <v>-45.852873929786142</v>
      </c>
      <c r="X893" s="2">
        <f>IF(T893="OVER",$J893,$K893)</f>
        <v>-45.852873929786142</v>
      </c>
      <c r="Y893" s="9">
        <f t="shared" si="115"/>
        <v>-38074.379926705224</v>
      </c>
      <c r="Z893" s="9">
        <f t="shared" si="115"/>
        <v>-36172.483260008405</v>
      </c>
      <c r="AA893" s="9">
        <f t="shared" si="115"/>
        <v>50017.82495806618</v>
      </c>
      <c r="AB893" s="9">
        <f t="shared" si="115"/>
        <v>20089.878292890284</v>
      </c>
    </row>
    <row r="894" spans="1:28" x14ac:dyDescent="0.3">
      <c r="A894" s="1">
        <v>45714</v>
      </c>
      <c r="B894" s="2">
        <v>79.180000000000007</v>
      </c>
      <c r="C894" s="2">
        <v>86.54</v>
      </c>
      <c r="D894" s="9">
        <f>B894-B893</f>
        <v>0.42000000000000171</v>
      </c>
      <c r="E894" s="9">
        <f>C894-C893</f>
        <v>0.49000000000000909</v>
      </c>
      <c r="F894" s="3">
        <f>F$1/B894</f>
        <v>1262.945188178833</v>
      </c>
      <c r="G894" s="3">
        <f>F$1/C894</f>
        <v>1155.535012710885</v>
      </c>
      <c r="H894" s="2">
        <f>D894*F893</f>
        <v>533.26561706450184</v>
      </c>
      <c r="I894" s="2">
        <f>E894*G893</f>
        <v>569.43637420105654</v>
      </c>
      <c r="J894" s="2">
        <f>I894-H894</f>
        <v>36.170757136554698</v>
      </c>
      <c r="K894" s="2">
        <f t="shared" si="111"/>
        <v>-36.170757136554698</v>
      </c>
      <c r="L894" s="14">
        <f>C894/B894</f>
        <v>1.092952765849962</v>
      </c>
      <c r="M894" s="14">
        <f t="shared" si="113"/>
        <v>1.0932586689113211</v>
      </c>
      <c r="N894" s="14">
        <f t="shared" si="117"/>
        <v>1.0928025296447887</v>
      </c>
      <c r="O894" s="14">
        <f t="shared" si="118"/>
        <v>1.0913457461835057</v>
      </c>
      <c r="P894" s="14">
        <f t="shared" si="112"/>
        <v>1.0919169892765224</v>
      </c>
      <c r="Q894" s="4" t="str">
        <f t="shared" si="116"/>
        <v>UNDER</v>
      </c>
      <c r="R894" s="4" t="str">
        <f t="shared" si="116"/>
        <v>UNDER</v>
      </c>
      <c r="S894" s="4" t="str">
        <f t="shared" si="114"/>
        <v>OVER</v>
      </c>
      <c r="T894" s="4" t="str">
        <f t="shared" si="114"/>
        <v>OVER</v>
      </c>
      <c r="U894" s="2">
        <f>IF(Q894="OVER",$J894,$K894)</f>
        <v>-36.170757136554698</v>
      </c>
      <c r="V894" s="2">
        <f>IF(R894="OVER",$J894,$K894)</f>
        <v>-36.170757136554698</v>
      </c>
      <c r="W894" s="2">
        <f>IF(S894="OVER",$J894,$K894)</f>
        <v>36.170757136554698</v>
      </c>
      <c r="X894" s="2">
        <f>IF(T894="OVER",$J894,$K894)</f>
        <v>36.170757136554698</v>
      </c>
      <c r="Y894" s="9">
        <f t="shared" si="115"/>
        <v>-38110.550683841779</v>
      </c>
      <c r="Z894" s="9">
        <f t="shared" si="115"/>
        <v>-36208.65401714496</v>
      </c>
      <c r="AA894" s="9">
        <f t="shared" si="115"/>
        <v>50053.995715202735</v>
      </c>
      <c r="AB894" s="9">
        <f t="shared" si="115"/>
        <v>20126.049050026839</v>
      </c>
    </row>
    <row r="895" spans="1:28" x14ac:dyDescent="0.3">
      <c r="A895" s="1">
        <v>45715</v>
      </c>
      <c r="B895" s="2">
        <v>78.69</v>
      </c>
      <c r="C895" s="2">
        <v>85.86</v>
      </c>
      <c r="D895" s="9">
        <f>B895-B894</f>
        <v>-0.49000000000000909</v>
      </c>
      <c r="E895" s="9">
        <f>C895-C894</f>
        <v>-0.68000000000000682</v>
      </c>
      <c r="F895" s="3">
        <f>F$1/B895</f>
        <v>1270.8095056551024</v>
      </c>
      <c r="G895" s="3">
        <f>F$1/C895</f>
        <v>1164.6866992778941</v>
      </c>
      <c r="H895" s="2">
        <f>D895*F894</f>
        <v>-618.84314220763963</v>
      </c>
      <c r="I895" s="2">
        <f>E895*G894</f>
        <v>-785.76380864340967</v>
      </c>
      <c r="J895" s="2">
        <f>I895-H895</f>
        <v>-166.92066643577004</v>
      </c>
      <c r="K895" s="2">
        <f t="shared" si="111"/>
        <v>166.92066643577004</v>
      </c>
      <c r="L895" s="14">
        <f>C895/B895</f>
        <v>1.091117041555471</v>
      </c>
      <c r="M895" s="14">
        <f t="shared" si="113"/>
        <v>1.0929759823992085</v>
      </c>
      <c r="N895" s="14">
        <f t="shared" si="117"/>
        <v>1.0927817083958891</v>
      </c>
      <c r="O895" s="14">
        <f t="shared" si="118"/>
        <v>1.0913801708617172</v>
      </c>
      <c r="P895" s="14">
        <f t="shared" si="112"/>
        <v>1.0919143515801288</v>
      </c>
      <c r="Q895" s="4" t="str">
        <f t="shared" si="116"/>
        <v>UNDER</v>
      </c>
      <c r="R895" s="4" t="str">
        <f t="shared" si="116"/>
        <v>OVER</v>
      </c>
      <c r="S895" s="4" t="str">
        <f t="shared" si="114"/>
        <v>UNDER</v>
      </c>
      <c r="T895" s="4" t="str">
        <f t="shared" si="114"/>
        <v>UNDER</v>
      </c>
      <c r="U895" s="2">
        <f>IF(Q895="OVER",$J895,$K895)</f>
        <v>166.92066643577004</v>
      </c>
      <c r="V895" s="2">
        <f>IF(R895="OVER",$J895,$K895)</f>
        <v>-166.92066643577004</v>
      </c>
      <c r="W895" s="2">
        <f>IF(S895="OVER",$J895,$K895)</f>
        <v>166.92066643577004</v>
      </c>
      <c r="X895" s="2">
        <f>IF(T895="OVER",$J895,$K895)</f>
        <v>166.92066643577004</v>
      </c>
      <c r="Y895" s="9">
        <f t="shared" si="115"/>
        <v>-37943.630017406009</v>
      </c>
      <c r="Z895" s="9">
        <f t="shared" si="115"/>
        <v>-36375.574683580729</v>
      </c>
      <c r="AA895" s="9">
        <f t="shared" si="115"/>
        <v>50220.916381638504</v>
      </c>
      <c r="AB895" s="9">
        <f t="shared" si="115"/>
        <v>20292.969716462609</v>
      </c>
    </row>
    <row r="896" spans="1:28" x14ac:dyDescent="0.3">
      <c r="A896" s="1">
        <v>45716</v>
      </c>
      <c r="B896" s="2">
        <v>79.14</v>
      </c>
      <c r="C896" s="2">
        <v>86.28</v>
      </c>
      <c r="D896" s="9">
        <f>B896-B895</f>
        <v>0.45000000000000284</v>
      </c>
      <c r="E896" s="9">
        <f>C896-C895</f>
        <v>0.42000000000000171</v>
      </c>
      <c r="F896" s="3">
        <f>F$1/B896</f>
        <v>1263.5835228708618</v>
      </c>
      <c r="G896" s="3">
        <f>F$1/C896</f>
        <v>1159.0171534538711</v>
      </c>
      <c r="H896" s="2">
        <f>D896*F895</f>
        <v>571.86427754479973</v>
      </c>
      <c r="I896" s="2">
        <f>E896*G895</f>
        <v>489.16841369671755</v>
      </c>
      <c r="J896" s="2">
        <f>I896-H896</f>
        <v>-82.695863848082183</v>
      </c>
      <c r="K896" s="2">
        <f t="shared" si="111"/>
        <v>82.695863848082183</v>
      </c>
      <c r="L896" s="14">
        <f>C896/B896</f>
        <v>1.0902198635329796</v>
      </c>
      <c r="M896" s="14">
        <f t="shared" si="113"/>
        <v>1.092683880422874</v>
      </c>
      <c r="N896" s="14">
        <f t="shared" si="117"/>
        <v>1.0927106083185698</v>
      </c>
      <c r="O896" s="14">
        <f t="shared" si="118"/>
        <v>1.0913845681323771</v>
      </c>
      <c r="P896" s="14">
        <f t="shared" si="112"/>
        <v>1.0918987562434419</v>
      </c>
      <c r="Q896" s="4" t="str">
        <f t="shared" si="116"/>
        <v>UNDER</v>
      </c>
      <c r="R896" s="4" t="str">
        <f t="shared" si="116"/>
        <v>UNDER</v>
      </c>
      <c r="S896" s="4" t="str">
        <f t="shared" si="114"/>
        <v>UNDER</v>
      </c>
      <c r="T896" s="4" t="str">
        <f t="shared" si="114"/>
        <v>UNDER</v>
      </c>
      <c r="U896" s="2">
        <f>IF(Q896="OVER",$J896,$K896)</f>
        <v>82.695863848082183</v>
      </c>
      <c r="V896" s="2">
        <f>IF(R896="OVER",$J896,$K896)</f>
        <v>82.695863848082183</v>
      </c>
      <c r="W896" s="2">
        <f>IF(S896="OVER",$J896,$K896)</f>
        <v>82.695863848082183</v>
      </c>
      <c r="X896" s="2">
        <f>IF(T896="OVER",$J896,$K896)</f>
        <v>82.695863848082183</v>
      </c>
      <c r="Y896" s="9">
        <f t="shared" si="115"/>
        <v>-37860.93415355793</v>
      </c>
      <c r="Z896" s="9">
        <f t="shared" si="115"/>
        <v>-36292.87881973265</v>
      </c>
      <c r="AA896" s="9">
        <f t="shared" si="115"/>
        <v>50303.612245486584</v>
      </c>
      <c r="AB896" s="9">
        <f t="shared" si="115"/>
        <v>20375.665580310691</v>
      </c>
    </row>
    <row r="897" spans="1:28" x14ac:dyDescent="0.3">
      <c r="A897" s="1">
        <v>45719</v>
      </c>
      <c r="B897" s="2">
        <v>78.09</v>
      </c>
      <c r="C897" s="2">
        <v>85.36</v>
      </c>
      <c r="D897" s="9">
        <f>B897-B896</f>
        <v>-1.0499999999999972</v>
      </c>
      <c r="E897" s="9">
        <f>C897-C896</f>
        <v>-0.92000000000000171</v>
      </c>
      <c r="F897" s="3">
        <f>F$1/B897</f>
        <v>1280.5736970162632</v>
      </c>
      <c r="G897" s="3">
        <f>F$1/C897</f>
        <v>1171.5089034676664</v>
      </c>
      <c r="H897" s="2">
        <f>D897*F896</f>
        <v>-1326.7626990144013</v>
      </c>
      <c r="I897" s="2">
        <f>E897*G896</f>
        <v>-1066.2957811775634</v>
      </c>
      <c r="J897" s="2">
        <f>I897-H897</f>
        <v>260.46691783683787</v>
      </c>
      <c r="K897" s="2">
        <f t="shared" si="111"/>
        <v>-260.46691783683787</v>
      </c>
      <c r="L897" s="14">
        <f>C897/B897</f>
        <v>1.0930977077730823</v>
      </c>
      <c r="M897" s="14">
        <f t="shared" si="113"/>
        <v>1.0927585306886232</v>
      </c>
      <c r="N897" s="14">
        <f t="shared" si="117"/>
        <v>1.0927311346689781</v>
      </c>
      <c r="O897" s="14">
        <f t="shared" si="118"/>
        <v>1.0914408811990344</v>
      </c>
      <c r="P897" s="14">
        <f t="shared" si="112"/>
        <v>1.091900492861648</v>
      </c>
      <c r="Q897" s="4" t="str">
        <f t="shared" si="116"/>
        <v>UNDER</v>
      </c>
      <c r="R897" s="4" t="str">
        <f t="shared" si="116"/>
        <v>UNDER</v>
      </c>
      <c r="S897" s="4" t="str">
        <f t="shared" si="114"/>
        <v>OVER</v>
      </c>
      <c r="T897" s="4" t="str">
        <f t="shared" si="114"/>
        <v>OVER</v>
      </c>
      <c r="U897" s="2">
        <f>IF(Q897="OVER",$J897,$K897)</f>
        <v>-260.46691783683787</v>
      </c>
      <c r="V897" s="2">
        <f>IF(R897="OVER",$J897,$K897)</f>
        <v>-260.46691783683787</v>
      </c>
      <c r="W897" s="2">
        <f>IF(S897="OVER",$J897,$K897)</f>
        <v>260.46691783683787</v>
      </c>
      <c r="X897" s="2">
        <f>IF(T897="OVER",$J897,$K897)</f>
        <v>260.46691783683787</v>
      </c>
      <c r="Y897" s="9">
        <f t="shared" si="115"/>
        <v>-38121.401071394765</v>
      </c>
      <c r="Z897" s="9">
        <f t="shared" si="115"/>
        <v>-36553.345737569485</v>
      </c>
      <c r="AA897" s="9">
        <f t="shared" si="115"/>
        <v>50564.079163323418</v>
      </c>
      <c r="AB897" s="9">
        <f t="shared" si="115"/>
        <v>20636.13249814753</v>
      </c>
    </row>
    <row r="898" spans="1:28" x14ac:dyDescent="0.3">
      <c r="A898" s="1">
        <v>45720</v>
      </c>
      <c r="B898" s="2">
        <v>77.83</v>
      </c>
      <c r="C898" s="2">
        <v>85.12</v>
      </c>
      <c r="D898" s="9">
        <f>B898-B897</f>
        <v>-0.26000000000000512</v>
      </c>
      <c r="E898" s="9">
        <f>C898-C897</f>
        <v>-0.23999999999999488</v>
      </c>
      <c r="F898" s="3">
        <f>F$1/B898</f>
        <v>1284.8515996402416</v>
      </c>
      <c r="G898" s="3">
        <f>F$1/C898</f>
        <v>1174.812030075188</v>
      </c>
      <c r="H898" s="2">
        <f>D898*F897</f>
        <v>-332.94916122423496</v>
      </c>
      <c r="I898" s="2">
        <f>E898*G897</f>
        <v>-281.16213683223395</v>
      </c>
      <c r="J898" s="2">
        <f>I898-H898</f>
        <v>51.787024392001001</v>
      </c>
      <c r="K898" s="2">
        <f t="shared" si="111"/>
        <v>-51.787024392001001</v>
      </c>
      <c r="L898" s="14">
        <f>C898/B898</f>
        <v>1.0936656816137738</v>
      </c>
      <c r="M898" s="14">
        <f t="shared" si="113"/>
        <v>1.0926987688671614</v>
      </c>
      <c r="N898" s="14">
        <f t="shared" si="117"/>
        <v>1.0928160704013183</v>
      </c>
      <c r="O898" s="14">
        <f t="shared" si="118"/>
        <v>1.0915115453327338</v>
      </c>
      <c r="P898" s="14">
        <f t="shared" si="112"/>
        <v>1.0919137081852155</v>
      </c>
      <c r="Q898" s="4" t="str">
        <f t="shared" si="116"/>
        <v>OVER</v>
      </c>
      <c r="R898" s="4" t="str">
        <f t="shared" si="116"/>
        <v>OVER</v>
      </c>
      <c r="S898" s="4" t="str">
        <f t="shared" si="114"/>
        <v>OVER</v>
      </c>
      <c r="T898" s="4" t="str">
        <f t="shared" si="114"/>
        <v>OVER</v>
      </c>
      <c r="U898" s="2">
        <f>IF(Q898="OVER",$J898,$K898)</f>
        <v>51.787024392001001</v>
      </c>
      <c r="V898" s="2">
        <f>IF(R898="OVER",$J898,$K898)</f>
        <v>51.787024392001001</v>
      </c>
      <c r="W898" s="2">
        <f>IF(S898="OVER",$J898,$K898)</f>
        <v>51.787024392001001</v>
      </c>
      <c r="X898" s="2">
        <f>IF(T898="OVER",$J898,$K898)</f>
        <v>51.787024392001001</v>
      </c>
      <c r="Y898" s="9">
        <f t="shared" si="115"/>
        <v>-38069.61404700276</v>
      </c>
      <c r="Z898" s="9">
        <f t="shared" si="115"/>
        <v>-36501.558713177481</v>
      </c>
      <c r="AA898" s="9">
        <f t="shared" si="115"/>
        <v>50615.866187715423</v>
      </c>
      <c r="AB898" s="9">
        <f t="shared" si="115"/>
        <v>20687.919522539531</v>
      </c>
    </row>
    <row r="899" spans="1:28" x14ac:dyDescent="0.3">
      <c r="A899" s="1">
        <v>45721</v>
      </c>
      <c r="B899" s="2">
        <v>78.680000000000007</v>
      </c>
      <c r="C899" s="2">
        <v>86.08</v>
      </c>
      <c r="D899" s="9">
        <f>B899-B898</f>
        <v>0.85000000000000853</v>
      </c>
      <c r="E899" s="9">
        <f>C899-C898</f>
        <v>0.95999999999999375</v>
      </c>
      <c r="F899" s="3">
        <f>F$1/B899</f>
        <v>1270.9710218607015</v>
      </c>
      <c r="G899" s="3">
        <f>F$1/C899</f>
        <v>1161.7100371747213</v>
      </c>
      <c r="H899" s="2">
        <f>D899*F898</f>
        <v>1092.1238596942162</v>
      </c>
      <c r="I899" s="2">
        <f>E899*G898</f>
        <v>1127.8195488721731</v>
      </c>
      <c r="J899" s="2">
        <f>I899-H899</f>
        <v>35.695689177956865</v>
      </c>
      <c r="K899" s="2">
        <f t="shared" si="111"/>
        <v>-35.695689177956865</v>
      </c>
      <c r="L899" s="14">
        <f>C899/B899</f>
        <v>1.0940518556176917</v>
      </c>
      <c r="M899" s="14">
        <f t="shared" si="113"/>
        <v>1.0928843581709298</v>
      </c>
      <c r="N899" s="14">
        <f t="shared" si="117"/>
        <v>1.0929476978541912</v>
      </c>
      <c r="O899" s="14">
        <f t="shared" si="118"/>
        <v>1.0916066869605618</v>
      </c>
      <c r="P899" s="14">
        <f t="shared" si="112"/>
        <v>1.0919220371314851</v>
      </c>
      <c r="Q899" s="4" t="str">
        <f t="shared" si="116"/>
        <v>OVER</v>
      </c>
      <c r="R899" s="4" t="str">
        <f t="shared" si="116"/>
        <v>OVER</v>
      </c>
      <c r="S899" s="4" t="str">
        <f t="shared" si="114"/>
        <v>OVER</v>
      </c>
      <c r="T899" s="4" t="str">
        <f t="shared" si="114"/>
        <v>OVER</v>
      </c>
      <c r="U899" s="2">
        <f>IF(Q899="OVER",$J899,$K899)</f>
        <v>35.695689177956865</v>
      </c>
      <c r="V899" s="2">
        <f>IF(R899="OVER",$J899,$K899)</f>
        <v>35.695689177956865</v>
      </c>
      <c r="W899" s="2">
        <f>IF(S899="OVER",$J899,$K899)</f>
        <v>35.695689177956865</v>
      </c>
      <c r="X899" s="2">
        <f>IF(T899="OVER",$J899,$K899)</f>
        <v>35.695689177956865</v>
      </c>
      <c r="Y899" s="9">
        <f t="shared" si="115"/>
        <v>-38033.918357824805</v>
      </c>
      <c r="Z899" s="9">
        <f t="shared" si="115"/>
        <v>-36465.863023999525</v>
      </c>
      <c r="AA899" s="9">
        <f t="shared" si="115"/>
        <v>50651.561876893378</v>
      </c>
      <c r="AB899" s="9">
        <f t="shared" si="115"/>
        <v>20723.615211717486</v>
      </c>
    </row>
    <row r="900" spans="1:28" x14ac:dyDescent="0.3">
      <c r="A900" s="1">
        <v>45722</v>
      </c>
      <c r="B900" s="2">
        <v>77.569999999999993</v>
      </c>
      <c r="C900" s="2">
        <v>84.84</v>
      </c>
      <c r="D900" s="9">
        <f>B900-B899</f>
        <v>-1.1100000000000136</v>
      </c>
      <c r="E900" s="9">
        <f>C900-C899</f>
        <v>-1.2399999999999949</v>
      </c>
      <c r="F900" s="3">
        <f>F$1/B900</f>
        <v>1289.1581797086503</v>
      </c>
      <c r="G900" s="3">
        <f>F$1/C900</f>
        <v>1178.6892975011785</v>
      </c>
      <c r="H900" s="2">
        <f>D900*F899</f>
        <v>-1410.777834265396</v>
      </c>
      <c r="I900" s="2">
        <f>E900*G899</f>
        <v>-1440.5204460966484</v>
      </c>
      <c r="J900" s="2">
        <f>I900-H900</f>
        <v>-29.742611831252361</v>
      </c>
      <c r="K900" s="2">
        <f t="shared" si="111"/>
        <v>29.742611831252361</v>
      </c>
      <c r="L900" s="14">
        <f>C900/B900</f>
        <v>1.093721799664819</v>
      </c>
      <c r="M900" s="14">
        <f t="shared" si="113"/>
        <v>1.0928228091562049</v>
      </c>
      <c r="N900" s="14">
        <f t="shared" si="117"/>
        <v>1.0930091146144769</v>
      </c>
      <c r="O900" s="14">
        <f t="shared" si="118"/>
        <v>1.0916033209812697</v>
      </c>
      <c r="P900" s="14">
        <f t="shared" si="112"/>
        <v>1.0919313919861628</v>
      </c>
      <c r="Q900" s="4" t="str">
        <f t="shared" si="116"/>
        <v>OVER</v>
      </c>
      <c r="R900" s="4" t="str">
        <f t="shared" si="116"/>
        <v>OVER</v>
      </c>
      <c r="S900" s="4" t="str">
        <f t="shared" si="114"/>
        <v>OVER</v>
      </c>
      <c r="T900" s="4" t="str">
        <f t="shared" si="114"/>
        <v>OVER</v>
      </c>
      <c r="U900" s="2">
        <f>IF(Q900="OVER",$J900,$K900)</f>
        <v>-29.742611831252361</v>
      </c>
      <c r="V900" s="2">
        <f>IF(R900="OVER",$J900,$K900)</f>
        <v>-29.742611831252361</v>
      </c>
      <c r="W900" s="2">
        <f>IF(S900="OVER",$J900,$K900)</f>
        <v>-29.742611831252361</v>
      </c>
      <c r="X900" s="2">
        <f>IF(T900="OVER",$J900,$K900)</f>
        <v>-29.742611831252361</v>
      </c>
      <c r="Y900" s="9">
        <f t="shared" si="115"/>
        <v>-38063.660969656055</v>
      </c>
      <c r="Z900" s="9">
        <f t="shared" si="115"/>
        <v>-36495.605635830776</v>
      </c>
      <c r="AA900" s="9">
        <f t="shared" si="115"/>
        <v>50621.819265062128</v>
      </c>
      <c r="AB900" s="9">
        <f t="shared" si="115"/>
        <v>20693.872599886236</v>
      </c>
    </row>
    <row r="901" spans="1:28" x14ac:dyDescent="0.3">
      <c r="A901" s="1">
        <v>45723</v>
      </c>
      <c r="B901" s="2">
        <v>77.55</v>
      </c>
      <c r="C901" s="2">
        <v>84.75</v>
      </c>
      <c r="D901" s="9">
        <f>B901-B900</f>
        <v>-1.9999999999996021E-2</v>
      </c>
      <c r="E901" s="9">
        <f>C901-C900</f>
        <v>-9.0000000000003411E-2</v>
      </c>
      <c r="F901" s="3">
        <f>F$1/B901</f>
        <v>1289.4906511927788</v>
      </c>
      <c r="G901" s="3">
        <f>F$1/C901</f>
        <v>1179.9410029498524</v>
      </c>
      <c r="H901" s="2">
        <f>D901*F900</f>
        <v>-25.783163594167878</v>
      </c>
      <c r="I901" s="2">
        <f>E901*G900</f>
        <v>-106.08203677511008</v>
      </c>
      <c r="J901" s="2">
        <f>I901-H901</f>
        <v>-80.298873180942209</v>
      </c>
      <c r="K901" s="2">
        <f t="shared" ref="K901:K964" si="119">H901-I901</f>
        <v>80.298873180942209</v>
      </c>
      <c r="L901" s="14">
        <f>C901/B901</f>
        <v>1.0928433268858802</v>
      </c>
      <c r="M901" s="14">
        <f t="shared" si="113"/>
        <v>1.0927294030192014</v>
      </c>
      <c r="N901" s="14">
        <f t="shared" si="117"/>
        <v>1.09307193461852</v>
      </c>
      <c r="O901" s="14">
        <f t="shared" si="118"/>
        <v>1.0916392428564572</v>
      </c>
      <c r="P901" s="14">
        <f t="shared" si="112"/>
        <v>1.0919304602424003</v>
      </c>
      <c r="Q901" s="4" t="str">
        <f t="shared" si="116"/>
        <v>OVER</v>
      </c>
      <c r="R901" s="4" t="str">
        <f t="shared" si="116"/>
        <v>OVER</v>
      </c>
      <c r="S901" s="4" t="str">
        <f t="shared" si="114"/>
        <v>OVER</v>
      </c>
      <c r="T901" s="4" t="str">
        <f t="shared" si="114"/>
        <v>OVER</v>
      </c>
      <c r="U901" s="2">
        <f>IF(Q901="OVER",$J901,$K901)</f>
        <v>-80.298873180942209</v>
      </c>
      <c r="V901" s="2">
        <f>IF(R901="OVER",$J901,$K901)</f>
        <v>-80.298873180942209</v>
      </c>
      <c r="W901" s="2">
        <f>IF(S901="OVER",$J901,$K901)</f>
        <v>-80.298873180942209</v>
      </c>
      <c r="X901" s="2">
        <f>IF(T901="OVER",$J901,$K901)</f>
        <v>-80.298873180942209</v>
      </c>
      <c r="Y901" s="9">
        <f t="shared" si="115"/>
        <v>-38143.959842837001</v>
      </c>
      <c r="Z901" s="9">
        <f t="shared" si="115"/>
        <v>-36575.904509011722</v>
      </c>
      <c r="AA901" s="9">
        <f t="shared" si="115"/>
        <v>50541.520391881182</v>
      </c>
      <c r="AB901" s="9">
        <f t="shared" si="115"/>
        <v>20613.573726705294</v>
      </c>
    </row>
    <row r="902" spans="1:28" x14ac:dyDescent="0.3">
      <c r="A902" s="1">
        <v>45726</v>
      </c>
      <c r="B902" s="2">
        <v>75.989999999999995</v>
      </c>
      <c r="C902" s="2">
        <v>83.18</v>
      </c>
      <c r="D902" s="9">
        <f>B902-B901</f>
        <v>-1.5600000000000023</v>
      </c>
      <c r="E902" s="9">
        <f>C902-C901</f>
        <v>-1.5699999999999932</v>
      </c>
      <c r="F902" s="3">
        <f>F$1/B902</f>
        <v>1315.962626661403</v>
      </c>
      <c r="G902" s="3">
        <f>F$1/C902</f>
        <v>1202.2120702091847</v>
      </c>
      <c r="H902" s="2">
        <f>D902*F901</f>
        <v>-2011.6054158607378</v>
      </c>
      <c r="I902" s="2">
        <f>E902*G901</f>
        <v>-1852.5073746312603</v>
      </c>
      <c r="J902" s="2">
        <f>I902-H902</f>
        <v>159.09804122947753</v>
      </c>
      <c r="K902" s="2">
        <f t="shared" si="119"/>
        <v>-159.09804122947753</v>
      </c>
      <c r="L902" s="14">
        <f>C902/B902</f>
        <v>1.094617712856955</v>
      </c>
      <c r="M902" s="14">
        <f t="shared" si="113"/>
        <v>1.0928847430312525</v>
      </c>
      <c r="N902" s="14">
        <f t="shared" si="117"/>
        <v>1.0932291190433712</v>
      </c>
      <c r="O902" s="14">
        <f t="shared" si="118"/>
        <v>1.091710413471229</v>
      </c>
      <c r="P902" s="14">
        <f t="shared" si="112"/>
        <v>1.0919468180374545</v>
      </c>
      <c r="Q902" s="4" t="str">
        <f t="shared" si="116"/>
        <v>OVER</v>
      </c>
      <c r="R902" s="4" t="str">
        <f t="shared" si="116"/>
        <v>UNDER</v>
      </c>
      <c r="S902" s="4" t="str">
        <f t="shared" si="114"/>
        <v>OVER</v>
      </c>
      <c r="T902" s="4" t="str">
        <f t="shared" si="114"/>
        <v>OVER</v>
      </c>
      <c r="U902" s="2">
        <f>IF(Q902="OVER",$J902,$K902)</f>
        <v>159.09804122947753</v>
      </c>
      <c r="V902" s="2">
        <f>IF(R902="OVER",$J902,$K902)</f>
        <v>-159.09804122947753</v>
      </c>
      <c r="W902" s="2">
        <f>IF(S902="OVER",$J902,$K902)</f>
        <v>159.09804122947753</v>
      </c>
      <c r="X902" s="2">
        <f>IF(T902="OVER",$J902,$K902)</f>
        <v>159.09804122947753</v>
      </c>
      <c r="Y902" s="9">
        <f t="shared" si="115"/>
        <v>-37984.86180160752</v>
      </c>
      <c r="Z902" s="9">
        <f t="shared" si="115"/>
        <v>-36735.002550241203</v>
      </c>
      <c r="AA902" s="9">
        <f t="shared" si="115"/>
        <v>50700.618433110663</v>
      </c>
      <c r="AB902" s="9">
        <f t="shared" si="115"/>
        <v>20772.671767934771</v>
      </c>
    </row>
    <row r="903" spans="1:28" x14ac:dyDescent="0.3">
      <c r="A903" s="1">
        <v>45727</v>
      </c>
      <c r="B903" s="2">
        <v>76.31</v>
      </c>
      <c r="C903" s="2">
        <v>83.4</v>
      </c>
      <c r="D903" s="9">
        <f>B903-B902</f>
        <v>0.32000000000000739</v>
      </c>
      <c r="E903" s="9">
        <f>C903-C902</f>
        <v>0.21999999999999886</v>
      </c>
      <c r="F903" s="3">
        <f>F$1/B903</f>
        <v>1310.4442405975626</v>
      </c>
      <c r="G903" s="3">
        <f>F$1/C903</f>
        <v>1199.0407673860911</v>
      </c>
      <c r="H903" s="2">
        <f>D903*F902</f>
        <v>421.10804053165867</v>
      </c>
      <c r="I903" s="2">
        <f>E903*G902</f>
        <v>264.48665544601926</v>
      </c>
      <c r="J903" s="2">
        <f>I903-H903</f>
        <v>-156.62138508563942</v>
      </c>
      <c r="K903" s="2">
        <f t="shared" si="119"/>
        <v>156.62138508563942</v>
      </c>
      <c r="L903" s="14">
        <f>C903/B903</f>
        <v>1.0929104966583671</v>
      </c>
      <c r="M903" s="14">
        <f t="shared" si="113"/>
        <v>1.0929198252008983</v>
      </c>
      <c r="N903" s="14">
        <f t="shared" si="117"/>
        <v>1.0931602342616196</v>
      </c>
      <c r="O903" s="14">
        <f t="shared" si="118"/>
        <v>1.091772910920159</v>
      </c>
      <c r="P903" s="14">
        <f t="shared" si="112"/>
        <v>1.0919504362503867</v>
      </c>
      <c r="Q903" s="4" t="str">
        <f t="shared" si="116"/>
        <v>OVER</v>
      </c>
      <c r="R903" s="4" t="str">
        <f t="shared" si="116"/>
        <v>OVER</v>
      </c>
      <c r="S903" s="4" t="str">
        <f t="shared" si="114"/>
        <v>OVER</v>
      </c>
      <c r="T903" s="4" t="str">
        <f t="shared" si="114"/>
        <v>OVER</v>
      </c>
      <c r="U903" s="2">
        <f>IF(Q903="OVER",$J903,$K903)</f>
        <v>-156.62138508563942</v>
      </c>
      <c r="V903" s="2">
        <f>IF(R903="OVER",$J903,$K903)</f>
        <v>-156.62138508563942</v>
      </c>
      <c r="W903" s="2">
        <f>IF(S903="OVER",$J903,$K903)</f>
        <v>-156.62138508563942</v>
      </c>
      <c r="X903" s="2">
        <f>IF(T903="OVER",$J903,$K903)</f>
        <v>-156.62138508563942</v>
      </c>
      <c r="Y903" s="9">
        <f t="shared" si="115"/>
        <v>-38141.483186693156</v>
      </c>
      <c r="Z903" s="9">
        <f t="shared" si="115"/>
        <v>-36891.623935326839</v>
      </c>
      <c r="AA903" s="9">
        <f t="shared" si="115"/>
        <v>50543.997048025027</v>
      </c>
      <c r="AB903" s="9">
        <f t="shared" si="115"/>
        <v>20616.050382849131</v>
      </c>
    </row>
    <row r="904" spans="1:28" x14ac:dyDescent="0.3">
      <c r="A904" s="1">
        <v>45728</v>
      </c>
      <c r="B904" s="2">
        <v>76.55</v>
      </c>
      <c r="C904" s="2">
        <v>83.67</v>
      </c>
      <c r="D904" s="9">
        <f>B904-B903</f>
        <v>0.23999999999999488</v>
      </c>
      <c r="E904" s="9">
        <f>C904-C903</f>
        <v>0.26999999999999602</v>
      </c>
      <c r="F904" s="3">
        <f>F$1/B904</f>
        <v>1306.3357282821685</v>
      </c>
      <c r="G904" s="3">
        <f>F$1/C904</f>
        <v>1195.1715071112703</v>
      </c>
      <c r="H904" s="2">
        <f>D904*F903</f>
        <v>314.5066177434083</v>
      </c>
      <c r="I904" s="2">
        <f>E904*G903</f>
        <v>323.74100719423984</v>
      </c>
      <c r="J904" s="2">
        <f>I904-H904</f>
        <v>9.2343894508315429</v>
      </c>
      <c r="K904" s="2">
        <f t="shared" si="119"/>
        <v>-9.2343894508315429</v>
      </c>
      <c r="L904" s="14">
        <f>C904/B904</f>
        <v>1.0930111038536905</v>
      </c>
      <c r="M904" s="14">
        <f t="shared" si="113"/>
        <v>1.092925659001271</v>
      </c>
      <c r="N904" s="14">
        <f t="shared" si="117"/>
        <v>1.093092163956296</v>
      </c>
      <c r="O904" s="14">
        <f t="shared" si="118"/>
        <v>1.0918279970455713</v>
      </c>
      <c r="P904" s="14">
        <f t="shared" si="112"/>
        <v>1.091953666559107</v>
      </c>
      <c r="Q904" s="4" t="str">
        <f t="shared" si="116"/>
        <v>UNDER</v>
      </c>
      <c r="R904" s="4" t="str">
        <f t="shared" si="116"/>
        <v>UNDER</v>
      </c>
      <c r="S904" s="4" t="str">
        <f t="shared" si="114"/>
        <v>OVER</v>
      </c>
      <c r="T904" s="4" t="str">
        <f t="shared" si="114"/>
        <v>OVER</v>
      </c>
      <c r="U904" s="2">
        <f>IF(Q904="OVER",$J904,$K904)</f>
        <v>-9.2343894508315429</v>
      </c>
      <c r="V904" s="2">
        <f>IF(R904="OVER",$J904,$K904)</f>
        <v>-9.2343894508315429</v>
      </c>
      <c r="W904" s="2">
        <f>IF(S904="OVER",$J904,$K904)</f>
        <v>9.2343894508315429</v>
      </c>
      <c r="X904" s="2">
        <f>IF(T904="OVER",$J904,$K904)</f>
        <v>9.2343894508315429</v>
      </c>
      <c r="Y904" s="9">
        <f t="shared" si="115"/>
        <v>-38150.717576143987</v>
      </c>
      <c r="Z904" s="9">
        <f t="shared" si="115"/>
        <v>-36900.85832477767</v>
      </c>
      <c r="AA904" s="9">
        <f t="shared" si="115"/>
        <v>50553.231437475857</v>
      </c>
      <c r="AB904" s="9">
        <f t="shared" si="115"/>
        <v>20625.284772299961</v>
      </c>
    </row>
    <row r="905" spans="1:28" x14ac:dyDescent="0.3">
      <c r="A905" s="1">
        <v>45729</v>
      </c>
      <c r="B905" s="2">
        <v>76.02</v>
      </c>
      <c r="C905" s="2">
        <v>83.22</v>
      </c>
      <c r="D905" s="9">
        <f>B905-B904</f>
        <v>-0.53000000000000114</v>
      </c>
      <c r="E905" s="9">
        <f>C905-C904</f>
        <v>-0.45000000000000284</v>
      </c>
      <c r="F905" s="3">
        <f>F$1/B905</f>
        <v>1315.4433043935808</v>
      </c>
      <c r="G905" s="3">
        <f>F$1/C905</f>
        <v>1201.6342225426581</v>
      </c>
      <c r="H905" s="2">
        <f>D905*F904</f>
        <v>-692.35793598955081</v>
      </c>
      <c r="I905" s="2">
        <f>E905*G904</f>
        <v>-537.82717820007508</v>
      </c>
      <c r="J905" s="2">
        <f>I905-H905</f>
        <v>154.53075778947573</v>
      </c>
      <c r="K905" s="2">
        <f t="shared" si="119"/>
        <v>-154.53075778947573</v>
      </c>
      <c r="L905" s="14">
        <f>C905/B905</f>
        <v>1.0947119179163378</v>
      </c>
      <c r="M905" s="14">
        <f t="shared" si="113"/>
        <v>1.0932851466373577</v>
      </c>
      <c r="N905" s="14">
        <f t="shared" si="117"/>
        <v>1.0931305645182832</v>
      </c>
      <c r="O905" s="14">
        <f t="shared" si="118"/>
        <v>1.0919186027352838</v>
      </c>
      <c r="P905" s="14">
        <f t="shared" si="112"/>
        <v>1.0919665989709881</v>
      </c>
      <c r="Q905" s="4" t="str">
        <f t="shared" si="116"/>
        <v>OVER</v>
      </c>
      <c r="R905" s="4" t="str">
        <f t="shared" si="116"/>
        <v>UNDER</v>
      </c>
      <c r="S905" s="4" t="str">
        <f t="shared" si="114"/>
        <v>OVER</v>
      </c>
      <c r="T905" s="4" t="str">
        <f t="shared" si="114"/>
        <v>OVER</v>
      </c>
      <c r="U905" s="2">
        <f>IF(Q905="OVER",$J905,$K905)</f>
        <v>154.53075778947573</v>
      </c>
      <c r="V905" s="2">
        <f>IF(R905="OVER",$J905,$K905)</f>
        <v>-154.53075778947573</v>
      </c>
      <c r="W905" s="2">
        <f>IF(S905="OVER",$J905,$K905)</f>
        <v>154.53075778947573</v>
      </c>
      <c r="X905" s="2">
        <f>IF(T905="OVER",$J905,$K905)</f>
        <v>154.53075778947573</v>
      </c>
      <c r="Y905" s="9">
        <f t="shared" si="115"/>
        <v>-37996.186818354508</v>
      </c>
      <c r="Z905" s="9">
        <f t="shared" si="115"/>
        <v>-37055.389082567148</v>
      </c>
      <c r="AA905" s="9">
        <f t="shared" si="115"/>
        <v>50707.762195265335</v>
      </c>
      <c r="AB905" s="9">
        <f t="shared" si="115"/>
        <v>20779.815530089436</v>
      </c>
    </row>
    <row r="906" spans="1:28" x14ac:dyDescent="0.3">
      <c r="A906" s="1">
        <v>45730</v>
      </c>
      <c r="B906" s="2">
        <v>77.209999999999994</v>
      </c>
      <c r="C906" s="2">
        <v>84.35</v>
      </c>
      <c r="D906" s="9">
        <f>B906-B905</f>
        <v>1.1899999999999977</v>
      </c>
      <c r="E906" s="9">
        <f>C906-C905</f>
        <v>1.1299999999999955</v>
      </c>
      <c r="F906" s="3">
        <f>F$1/B906</f>
        <v>1295.1690195570523</v>
      </c>
      <c r="G906" s="3">
        <f>F$1/C906</f>
        <v>1185.5364552459989</v>
      </c>
      <c r="H906" s="2">
        <f>D906*F905</f>
        <v>1565.3775322283582</v>
      </c>
      <c r="I906" s="2">
        <f>E906*G905</f>
        <v>1357.8466714731983</v>
      </c>
      <c r="J906" s="2">
        <f>I906-H906</f>
        <v>-207.53086075515989</v>
      </c>
      <c r="K906" s="2">
        <f t="shared" si="119"/>
        <v>207.53086075515989</v>
      </c>
      <c r="L906" s="14">
        <f>C906/B906</f>
        <v>1.0924750679963735</v>
      </c>
      <c r="M906" s="14">
        <f t="shared" si="113"/>
        <v>1.0935106670836972</v>
      </c>
      <c r="N906" s="14">
        <f t="shared" si="117"/>
        <v>1.0930972737532856</v>
      </c>
      <c r="O906" s="14">
        <f t="shared" si="118"/>
        <v>1.0919950453770331</v>
      </c>
      <c r="P906" s="14">
        <f t="shared" si="112"/>
        <v>1.0919748064904218</v>
      </c>
      <c r="Q906" s="4" t="str">
        <f t="shared" si="116"/>
        <v>OVER</v>
      </c>
      <c r="R906" s="4" t="str">
        <f t="shared" si="116"/>
        <v>OVER</v>
      </c>
      <c r="S906" s="4" t="str">
        <f t="shared" si="114"/>
        <v>OVER</v>
      </c>
      <c r="T906" s="4" t="str">
        <f t="shared" si="114"/>
        <v>OVER</v>
      </c>
      <c r="U906" s="2">
        <f>IF(Q906="OVER",$J906,$K906)</f>
        <v>-207.53086075515989</v>
      </c>
      <c r="V906" s="2">
        <f>IF(R906="OVER",$J906,$K906)</f>
        <v>-207.53086075515989</v>
      </c>
      <c r="W906" s="2">
        <f>IF(S906="OVER",$J906,$K906)</f>
        <v>-207.53086075515989</v>
      </c>
      <c r="X906" s="2">
        <f>IF(T906="OVER",$J906,$K906)</f>
        <v>-207.53086075515989</v>
      </c>
      <c r="Y906" s="9">
        <f t="shared" si="115"/>
        <v>-38203.717679109672</v>
      </c>
      <c r="Z906" s="9">
        <f t="shared" si="115"/>
        <v>-37262.919943322311</v>
      </c>
      <c r="AA906" s="9">
        <f t="shared" si="115"/>
        <v>50500.231334510172</v>
      </c>
      <c r="AB906" s="9">
        <f t="shared" si="115"/>
        <v>20572.284669334276</v>
      </c>
    </row>
    <row r="907" spans="1:28" x14ac:dyDescent="0.3">
      <c r="A907" s="1">
        <v>45733</v>
      </c>
      <c r="B907" s="2">
        <v>77.760000000000005</v>
      </c>
      <c r="C907" s="2">
        <v>85.06</v>
      </c>
      <c r="D907" s="9">
        <f>B907-B906</f>
        <v>0.55000000000001137</v>
      </c>
      <c r="E907" s="9">
        <f>C907-C906</f>
        <v>0.71000000000000796</v>
      </c>
      <c r="F907" s="3">
        <f>F$1/B907</f>
        <v>1286.0082304526748</v>
      </c>
      <c r="G907" s="3">
        <f>F$1/C907</f>
        <v>1175.6407241946861</v>
      </c>
      <c r="H907" s="2">
        <f>D907*F906</f>
        <v>712.3429607563935</v>
      </c>
      <c r="I907" s="2">
        <f>E907*G906</f>
        <v>841.73088322466867</v>
      </c>
      <c r="J907" s="2">
        <f>I907-H907</f>
        <v>129.38792246827518</v>
      </c>
      <c r="K907" s="2">
        <f t="shared" si="119"/>
        <v>-129.38792246827518</v>
      </c>
      <c r="L907" s="14">
        <f>C907/B907</f>
        <v>1.0938786008230452</v>
      </c>
      <c r="M907" s="14">
        <f t="shared" si="113"/>
        <v>1.0935887563886932</v>
      </c>
      <c r="N907" s="14">
        <f t="shared" si="117"/>
        <v>1.0931736435386583</v>
      </c>
      <c r="O907" s="14">
        <f t="shared" si="118"/>
        <v>1.0920546690047406</v>
      </c>
      <c r="P907" s="14">
        <f t="shared" ref="P907:P970" si="120">AVERAGE(L708:L907)</f>
        <v>1.0919846203140278</v>
      </c>
      <c r="Q907" s="4" t="str">
        <f t="shared" si="116"/>
        <v>UNDER</v>
      </c>
      <c r="R907" s="4" t="str">
        <f t="shared" si="116"/>
        <v>UNDER</v>
      </c>
      <c r="S907" s="4" t="str">
        <f t="shared" si="114"/>
        <v>OVER</v>
      </c>
      <c r="T907" s="4" t="str">
        <f t="shared" si="114"/>
        <v>OVER</v>
      </c>
      <c r="U907" s="2">
        <f>IF(Q907="OVER",$J907,$K907)</f>
        <v>-129.38792246827518</v>
      </c>
      <c r="V907" s="2">
        <f>IF(R907="OVER",$J907,$K907)</f>
        <v>-129.38792246827518</v>
      </c>
      <c r="W907" s="2">
        <f>IF(S907="OVER",$J907,$K907)</f>
        <v>129.38792246827518</v>
      </c>
      <c r="X907" s="2">
        <f>IF(T907="OVER",$J907,$K907)</f>
        <v>129.38792246827518</v>
      </c>
      <c r="Y907" s="9">
        <f t="shared" si="115"/>
        <v>-38333.105601577947</v>
      </c>
      <c r="Z907" s="9">
        <f t="shared" si="115"/>
        <v>-37392.307865790586</v>
      </c>
      <c r="AA907" s="9">
        <f t="shared" si="115"/>
        <v>50629.619256978447</v>
      </c>
      <c r="AB907" s="9">
        <f t="shared" si="115"/>
        <v>20701.672591802551</v>
      </c>
    </row>
    <row r="908" spans="1:28" x14ac:dyDescent="0.3">
      <c r="A908" s="1">
        <v>45734</v>
      </c>
      <c r="B908" s="2">
        <v>77.33</v>
      </c>
      <c r="C908" s="2">
        <v>84.63</v>
      </c>
      <c r="D908" s="9">
        <f>B908-B907</f>
        <v>-0.43000000000000682</v>
      </c>
      <c r="E908" s="9">
        <f>C908-C907</f>
        <v>-0.43000000000000682</v>
      </c>
      <c r="F908" s="3">
        <f>F$1/B908</f>
        <v>1293.1591878960301</v>
      </c>
      <c r="G908" s="3">
        <f>F$1/C908</f>
        <v>1181.6140848398913</v>
      </c>
      <c r="H908" s="2">
        <f>D908*F907</f>
        <v>-552.98353909465891</v>
      </c>
      <c r="I908" s="2">
        <f>E908*G907</f>
        <v>-505.52551140372304</v>
      </c>
      <c r="J908" s="2">
        <f>I908-H908</f>
        <v>47.458027690935864</v>
      </c>
      <c r="K908" s="2">
        <f t="shared" si="119"/>
        <v>-47.458027690935864</v>
      </c>
      <c r="L908" s="14">
        <f>C908/B908</f>
        <v>1.0944006207164101</v>
      </c>
      <c r="M908" s="14">
        <f t="shared" si="113"/>
        <v>1.0936622502989573</v>
      </c>
      <c r="N908" s="14">
        <f t="shared" si="117"/>
        <v>1.0931805095830593</v>
      </c>
      <c r="O908" s="14">
        <f t="shared" si="118"/>
        <v>1.0921426814190687</v>
      </c>
      <c r="P908" s="14">
        <f t="shared" si="120"/>
        <v>1.0919844515665844</v>
      </c>
      <c r="Q908" s="4" t="str">
        <f t="shared" si="116"/>
        <v>OVER</v>
      </c>
      <c r="R908" s="4" t="str">
        <f t="shared" si="116"/>
        <v>OVER</v>
      </c>
      <c r="S908" s="4" t="str">
        <f t="shared" si="114"/>
        <v>OVER</v>
      </c>
      <c r="T908" s="4" t="str">
        <f t="shared" si="114"/>
        <v>OVER</v>
      </c>
      <c r="U908" s="2">
        <f>IF(Q908="OVER",$J908,$K908)</f>
        <v>47.458027690935864</v>
      </c>
      <c r="V908" s="2">
        <f>IF(R908="OVER",$J908,$K908)</f>
        <v>47.458027690935864</v>
      </c>
      <c r="W908" s="2">
        <f>IF(S908="OVER",$J908,$K908)</f>
        <v>47.458027690935864</v>
      </c>
      <c r="X908" s="2">
        <f>IF(T908="OVER",$J908,$K908)</f>
        <v>47.458027690935864</v>
      </c>
      <c r="Y908" s="9">
        <f t="shared" si="115"/>
        <v>-38285.647573887014</v>
      </c>
      <c r="Z908" s="9">
        <f t="shared" si="115"/>
        <v>-37344.849838099653</v>
      </c>
      <c r="AA908" s="9">
        <f t="shared" si="115"/>
        <v>50677.07728466938</v>
      </c>
      <c r="AB908" s="9">
        <f t="shared" ref="AB908:AB971" si="121">AB907+X908</f>
        <v>20749.130619493488</v>
      </c>
    </row>
    <row r="909" spans="1:28" x14ac:dyDescent="0.3">
      <c r="A909" s="1">
        <v>45735</v>
      </c>
      <c r="B909" s="2">
        <v>78.05</v>
      </c>
      <c r="C909" s="2">
        <v>85.27</v>
      </c>
      <c r="D909" s="9">
        <f>B909-B908</f>
        <v>0.71999999999999886</v>
      </c>
      <c r="E909" s="9">
        <f>C909-C908</f>
        <v>0.64000000000000057</v>
      </c>
      <c r="F909" s="3">
        <f>F$1/B909</f>
        <v>1281.2299807815502</v>
      </c>
      <c r="G909" s="3">
        <f>F$1/C909</f>
        <v>1172.7453969743169</v>
      </c>
      <c r="H909" s="2">
        <f>D909*F908</f>
        <v>931.07461528514023</v>
      </c>
      <c r="I909" s="2">
        <f>E909*G908</f>
        <v>756.2330142975311</v>
      </c>
      <c r="J909" s="2">
        <f>I909-H909</f>
        <v>-174.84160098760913</v>
      </c>
      <c r="K909" s="2">
        <f t="shared" si="119"/>
        <v>174.84160098760913</v>
      </c>
      <c r="L909" s="14">
        <f>C909/B909</f>
        <v>1.0925048046124279</v>
      </c>
      <c r="M909" s="14">
        <f t="shared" ref="M909:M972" si="122">AVERAGE(L900:L909)</f>
        <v>1.0935075451984306</v>
      </c>
      <c r="N909" s="14">
        <f t="shared" si="117"/>
        <v>1.0931959516846805</v>
      </c>
      <c r="O909" s="14">
        <f t="shared" si="118"/>
        <v>1.0921527370152402</v>
      </c>
      <c r="P909" s="14">
        <f t="shared" si="120"/>
        <v>1.091982899548271</v>
      </c>
      <c r="Q909" s="4" t="str">
        <f t="shared" si="116"/>
        <v>OVER</v>
      </c>
      <c r="R909" s="4" t="str">
        <f t="shared" si="116"/>
        <v>OVER</v>
      </c>
      <c r="S909" s="4" t="str">
        <f t="shared" ref="S909:T972" si="123">IF($L909&gt;O909,"OVER","UNDER")</f>
        <v>OVER</v>
      </c>
      <c r="T909" s="4" t="str">
        <f t="shared" si="123"/>
        <v>OVER</v>
      </c>
      <c r="U909" s="2">
        <f>IF(Q909="OVER",$J909,$K909)</f>
        <v>-174.84160098760913</v>
      </c>
      <c r="V909" s="2">
        <f>IF(R909="OVER",$J909,$K909)</f>
        <v>-174.84160098760913</v>
      </c>
      <c r="W909" s="2">
        <f>IF(S909="OVER",$J909,$K909)</f>
        <v>-174.84160098760913</v>
      </c>
      <c r="X909" s="2">
        <f>IF(T909="OVER",$J909,$K909)</f>
        <v>-174.84160098760913</v>
      </c>
      <c r="Y909" s="9">
        <f t="shared" ref="Y909:AB972" si="124">Y908+U909</f>
        <v>-38460.489174874623</v>
      </c>
      <c r="Z909" s="9">
        <f t="shared" si="124"/>
        <v>-37519.691439087263</v>
      </c>
      <c r="AA909" s="9">
        <f t="shared" si="124"/>
        <v>50502.235683681771</v>
      </c>
      <c r="AB909" s="9">
        <f t="shared" si="121"/>
        <v>20574.289018505879</v>
      </c>
    </row>
    <row r="910" spans="1:28" x14ac:dyDescent="0.3">
      <c r="A910" s="1">
        <v>45736</v>
      </c>
      <c r="B910" s="2">
        <v>77.86</v>
      </c>
      <c r="C910" s="2">
        <v>85.1</v>
      </c>
      <c r="D910" s="9">
        <f>B910-B909</f>
        <v>-0.18999999999999773</v>
      </c>
      <c r="E910" s="9">
        <f>C910-C909</f>
        <v>-0.17000000000000171</v>
      </c>
      <c r="F910" s="3">
        <f>F$1/B910</f>
        <v>1284.3565373747751</v>
      </c>
      <c r="G910" s="3">
        <f>F$1/C910</f>
        <v>1175.0881316098707</v>
      </c>
      <c r="H910" s="2">
        <f>D910*F909</f>
        <v>-243.43369634849162</v>
      </c>
      <c r="I910" s="2">
        <f>E910*G909</f>
        <v>-199.36671748563589</v>
      </c>
      <c r="J910" s="2">
        <f>I910-H910</f>
        <v>44.066978862855734</v>
      </c>
      <c r="K910" s="2">
        <f t="shared" si="119"/>
        <v>-44.066978862855734</v>
      </c>
      <c r="L910" s="14">
        <f>C910/B910</f>
        <v>1.0929874133059336</v>
      </c>
      <c r="M910" s="14">
        <f t="shared" si="122"/>
        <v>1.0934341065625421</v>
      </c>
      <c r="N910" s="14">
        <f t="shared" si="117"/>
        <v>1.0931284578593738</v>
      </c>
      <c r="O910" s="14">
        <f t="shared" si="118"/>
        <v>1.0921792148173832</v>
      </c>
      <c r="P910" s="14">
        <f t="shared" si="120"/>
        <v>1.0919859976305677</v>
      </c>
      <c r="Q910" s="4" t="str">
        <f t="shared" ref="Q910:R973" si="125">IF($L909&gt;M909,"OVER","UNDER")</f>
        <v>UNDER</v>
      </c>
      <c r="R910" s="4" t="str">
        <f t="shared" si="125"/>
        <v>UNDER</v>
      </c>
      <c r="S910" s="4" t="str">
        <f t="shared" si="123"/>
        <v>OVER</v>
      </c>
      <c r="T910" s="4" t="str">
        <f t="shared" si="123"/>
        <v>OVER</v>
      </c>
      <c r="U910" s="2">
        <f>IF(Q910="OVER",$J910,$K910)</f>
        <v>-44.066978862855734</v>
      </c>
      <c r="V910" s="2">
        <f>IF(R910="OVER",$J910,$K910)</f>
        <v>-44.066978862855734</v>
      </c>
      <c r="W910" s="2">
        <f>IF(S910="OVER",$J910,$K910)</f>
        <v>44.066978862855734</v>
      </c>
      <c r="X910" s="2">
        <f>IF(T910="OVER",$J910,$K910)</f>
        <v>44.066978862855734</v>
      </c>
      <c r="Y910" s="9">
        <f t="shared" si="124"/>
        <v>-38504.556153737482</v>
      </c>
      <c r="Z910" s="9">
        <f t="shared" si="124"/>
        <v>-37563.758417950121</v>
      </c>
      <c r="AA910" s="9">
        <f t="shared" si="124"/>
        <v>50546.302662544629</v>
      </c>
      <c r="AB910" s="9">
        <f t="shared" si="121"/>
        <v>20618.355997368733</v>
      </c>
    </row>
    <row r="911" spans="1:28" x14ac:dyDescent="0.3">
      <c r="A911" s="1">
        <v>45737</v>
      </c>
      <c r="B911" s="2">
        <v>77.94</v>
      </c>
      <c r="C911" s="2">
        <v>85.06</v>
      </c>
      <c r="D911" s="9">
        <f>B911-B910</f>
        <v>7.9999999999998295E-2</v>
      </c>
      <c r="E911" s="9">
        <f>C911-C910</f>
        <v>-3.9999999999992042E-2</v>
      </c>
      <c r="F911" s="3">
        <f>F$1/B911</f>
        <v>1283.0382345393894</v>
      </c>
      <c r="G911" s="3">
        <f>F$1/C911</f>
        <v>1175.6407241946861</v>
      </c>
      <c r="H911" s="2">
        <f>D911*F910</f>
        <v>102.74852298997982</v>
      </c>
      <c r="I911" s="2">
        <f>E911*G910</f>
        <v>-47.00352526438548</v>
      </c>
      <c r="J911" s="2">
        <f>I911-H911</f>
        <v>-149.75204825436529</v>
      </c>
      <c r="K911" s="2">
        <f t="shared" si="119"/>
        <v>149.75204825436529</v>
      </c>
      <c r="L911" s="14">
        <f>C911/B911</f>
        <v>1.0913523222992045</v>
      </c>
      <c r="M911" s="14">
        <f t="shared" si="122"/>
        <v>1.0932850061038746</v>
      </c>
      <c r="N911" s="14">
        <f t="shared" si="117"/>
        <v>1.0930072045615382</v>
      </c>
      <c r="O911" s="14">
        <f t="shared" si="118"/>
        <v>1.0921959273799091</v>
      </c>
      <c r="P911" s="14">
        <f t="shared" si="120"/>
        <v>1.091971891560074</v>
      </c>
      <c r="Q911" s="4" t="str">
        <f t="shared" si="125"/>
        <v>UNDER</v>
      </c>
      <c r="R911" s="4" t="str">
        <f t="shared" si="125"/>
        <v>UNDER</v>
      </c>
      <c r="S911" s="4" t="str">
        <f t="shared" si="123"/>
        <v>UNDER</v>
      </c>
      <c r="T911" s="4" t="str">
        <f t="shared" si="123"/>
        <v>UNDER</v>
      </c>
      <c r="U911" s="2">
        <f>IF(Q911="OVER",$J911,$K911)</f>
        <v>149.75204825436529</v>
      </c>
      <c r="V911" s="2">
        <f>IF(R911="OVER",$J911,$K911)</f>
        <v>149.75204825436529</v>
      </c>
      <c r="W911" s="2">
        <f>IF(S911="OVER",$J911,$K911)</f>
        <v>149.75204825436529</v>
      </c>
      <c r="X911" s="2">
        <f>IF(T911="OVER",$J911,$K911)</f>
        <v>149.75204825436529</v>
      </c>
      <c r="Y911" s="9">
        <f t="shared" si="124"/>
        <v>-38354.804105483119</v>
      </c>
      <c r="Z911" s="9">
        <f t="shared" si="124"/>
        <v>-37414.006369695759</v>
      </c>
      <c r="AA911" s="9">
        <f t="shared" si="124"/>
        <v>50696.054710798991</v>
      </c>
      <c r="AB911" s="9">
        <f t="shared" si="121"/>
        <v>20768.108045623099</v>
      </c>
    </row>
    <row r="912" spans="1:28" x14ac:dyDescent="0.3">
      <c r="A912" s="1">
        <v>45740</v>
      </c>
      <c r="B912" s="2">
        <v>78.819999999999993</v>
      </c>
      <c r="C912" s="2">
        <v>85.89</v>
      </c>
      <c r="D912" s="9">
        <f>B912-B911</f>
        <v>0.87999999999999545</v>
      </c>
      <c r="E912" s="9">
        <f>C912-C911</f>
        <v>0.82999999999999829</v>
      </c>
      <c r="F912" s="3">
        <f>F$1/B912</f>
        <v>1268.7135244861711</v>
      </c>
      <c r="G912" s="3">
        <f>F$1/C912</f>
        <v>1164.2798928862499</v>
      </c>
      <c r="H912" s="2">
        <f>D912*F911</f>
        <v>1129.0736463946569</v>
      </c>
      <c r="I912" s="2">
        <f>E912*G911</f>
        <v>975.78180108158745</v>
      </c>
      <c r="J912" s="2">
        <f>I912-H912</f>
        <v>-153.29184531306942</v>
      </c>
      <c r="K912" s="2">
        <f t="shared" si="119"/>
        <v>153.29184531306942</v>
      </c>
      <c r="L912" s="14">
        <f>C912/B912</f>
        <v>1.0896980461811725</v>
      </c>
      <c r="M912" s="14">
        <f t="shared" si="122"/>
        <v>1.0927930394362964</v>
      </c>
      <c r="N912" s="14">
        <f t="shared" si="117"/>
        <v>1.0928388912337745</v>
      </c>
      <c r="O912" s="14">
        <f t="shared" si="118"/>
        <v>1.0921805101180073</v>
      </c>
      <c r="P912" s="14">
        <f t="shared" si="120"/>
        <v>1.0919601862602537</v>
      </c>
      <c r="Q912" s="4" t="str">
        <f t="shared" si="125"/>
        <v>UNDER</v>
      </c>
      <c r="R912" s="4" t="str">
        <f t="shared" si="125"/>
        <v>UNDER</v>
      </c>
      <c r="S912" s="4" t="str">
        <f t="shared" si="123"/>
        <v>UNDER</v>
      </c>
      <c r="T912" s="4" t="str">
        <f t="shared" si="123"/>
        <v>UNDER</v>
      </c>
      <c r="U912" s="2">
        <f>IF(Q912="OVER",$J912,$K912)</f>
        <v>153.29184531306942</v>
      </c>
      <c r="V912" s="2">
        <f>IF(R912="OVER",$J912,$K912)</f>
        <v>153.29184531306942</v>
      </c>
      <c r="W912" s="2">
        <f>IF(S912="OVER",$J912,$K912)</f>
        <v>153.29184531306942</v>
      </c>
      <c r="X912" s="2">
        <f>IF(T912="OVER",$J912,$K912)</f>
        <v>153.29184531306942</v>
      </c>
      <c r="Y912" s="9">
        <f t="shared" si="124"/>
        <v>-38201.51226017005</v>
      </c>
      <c r="Z912" s="9">
        <f t="shared" si="124"/>
        <v>-37260.714524382689</v>
      </c>
      <c r="AA912" s="9">
        <f t="shared" si="124"/>
        <v>50849.346556112061</v>
      </c>
      <c r="AB912" s="9">
        <f t="shared" si="121"/>
        <v>20921.399890936169</v>
      </c>
    </row>
    <row r="913" spans="1:28" x14ac:dyDescent="0.3">
      <c r="A913" s="1">
        <v>45741</v>
      </c>
      <c r="B913" s="2">
        <v>78.849999999999994</v>
      </c>
      <c r="C913" s="2">
        <v>86</v>
      </c>
      <c r="D913" s="9">
        <f>B913-B912</f>
        <v>3.0000000000001137E-2</v>
      </c>
      <c r="E913" s="9">
        <f>C913-C912</f>
        <v>0.10999999999999943</v>
      </c>
      <c r="F913" s="3">
        <f>F$1/B913</f>
        <v>1268.2308180088778</v>
      </c>
      <c r="G913" s="3">
        <f>F$1/C913</f>
        <v>1162.7906976744187</v>
      </c>
      <c r="H913" s="2">
        <f>D913*F912</f>
        <v>38.061405734586572</v>
      </c>
      <c r="I913" s="2">
        <f>E913*G912</f>
        <v>128.07078821748684</v>
      </c>
      <c r="J913" s="2">
        <f>I913-H913</f>
        <v>90.009382482900264</v>
      </c>
      <c r="K913" s="2">
        <f t="shared" si="119"/>
        <v>-90.009382482900264</v>
      </c>
      <c r="L913" s="14">
        <f>C913/B913</f>
        <v>1.0906785034876347</v>
      </c>
      <c r="M913" s="14">
        <f t="shared" si="122"/>
        <v>1.092569840119223</v>
      </c>
      <c r="N913" s="14">
        <f t="shared" si="117"/>
        <v>1.0927448326600606</v>
      </c>
      <c r="O913" s="14">
        <f t="shared" si="118"/>
        <v>1.0921829048505733</v>
      </c>
      <c r="P913" s="14">
        <f t="shared" si="120"/>
        <v>1.091966137560541</v>
      </c>
      <c r="Q913" s="4" t="str">
        <f t="shared" si="125"/>
        <v>UNDER</v>
      </c>
      <c r="R913" s="4" t="str">
        <f t="shared" si="125"/>
        <v>UNDER</v>
      </c>
      <c r="S913" s="4" t="str">
        <f t="shared" si="123"/>
        <v>UNDER</v>
      </c>
      <c r="T913" s="4" t="str">
        <f t="shared" si="123"/>
        <v>UNDER</v>
      </c>
      <c r="U913" s="2">
        <f>IF(Q913="OVER",$J913,$K913)</f>
        <v>-90.009382482900264</v>
      </c>
      <c r="V913" s="2">
        <f>IF(R913="OVER",$J913,$K913)</f>
        <v>-90.009382482900264</v>
      </c>
      <c r="W913" s="2">
        <f>IF(S913="OVER",$J913,$K913)</f>
        <v>-90.009382482900264</v>
      </c>
      <c r="X913" s="2">
        <f>IF(T913="OVER",$J913,$K913)</f>
        <v>-90.009382482900264</v>
      </c>
      <c r="Y913" s="9">
        <f t="shared" si="124"/>
        <v>-38291.521642652951</v>
      </c>
      <c r="Z913" s="9">
        <f t="shared" si="124"/>
        <v>-37350.723906865591</v>
      </c>
      <c r="AA913" s="9">
        <f t="shared" si="124"/>
        <v>50759.337173629159</v>
      </c>
      <c r="AB913" s="9">
        <f t="shared" si="121"/>
        <v>20831.390508453267</v>
      </c>
    </row>
    <row r="914" spans="1:28" x14ac:dyDescent="0.3">
      <c r="A914" s="1">
        <v>45742</v>
      </c>
      <c r="B914" s="2">
        <v>78.16</v>
      </c>
      <c r="C914" s="2">
        <v>85.21</v>
      </c>
      <c r="D914" s="9">
        <f>B914-B913</f>
        <v>-0.68999999999999773</v>
      </c>
      <c r="E914" s="9">
        <f>C914-C913</f>
        <v>-0.79000000000000625</v>
      </c>
      <c r="F914" s="3">
        <f>F$1/B914</f>
        <v>1279.4268167860798</v>
      </c>
      <c r="G914" s="3">
        <f>F$1/C914</f>
        <v>1173.5711770918906</v>
      </c>
      <c r="H914" s="2">
        <f>D914*F913</f>
        <v>-875.07926442612279</v>
      </c>
      <c r="I914" s="2">
        <f>E914*G913</f>
        <v>-918.60465116279795</v>
      </c>
      <c r="J914" s="2">
        <f>I914-H914</f>
        <v>-43.525386736675159</v>
      </c>
      <c r="K914" s="2">
        <f t="shared" si="119"/>
        <v>43.525386736675159</v>
      </c>
      <c r="L914" s="14">
        <f>C914/B914</f>
        <v>1.0901995905834185</v>
      </c>
      <c r="M914" s="14">
        <f t="shared" si="122"/>
        <v>1.0922886887921959</v>
      </c>
      <c r="N914" s="14">
        <f t="shared" si="117"/>
        <v>1.0926071738967333</v>
      </c>
      <c r="O914" s="14">
        <f t="shared" si="118"/>
        <v>1.0921661358627572</v>
      </c>
      <c r="P914" s="14">
        <f t="shared" si="120"/>
        <v>1.091963286146898</v>
      </c>
      <c r="Q914" s="4" t="str">
        <f t="shared" si="125"/>
        <v>UNDER</v>
      </c>
      <c r="R914" s="4" t="str">
        <f t="shared" si="125"/>
        <v>UNDER</v>
      </c>
      <c r="S914" s="4" t="str">
        <f t="shared" si="123"/>
        <v>UNDER</v>
      </c>
      <c r="T914" s="4" t="str">
        <f t="shared" si="123"/>
        <v>UNDER</v>
      </c>
      <c r="U914" s="2">
        <f>IF(Q914="OVER",$J914,$K914)</f>
        <v>43.525386736675159</v>
      </c>
      <c r="V914" s="2">
        <f>IF(R914="OVER",$J914,$K914)</f>
        <v>43.525386736675159</v>
      </c>
      <c r="W914" s="2">
        <f>IF(S914="OVER",$J914,$K914)</f>
        <v>43.525386736675159</v>
      </c>
      <c r="X914" s="2">
        <f>IF(T914="OVER",$J914,$K914)</f>
        <v>43.525386736675159</v>
      </c>
      <c r="Y914" s="9">
        <f t="shared" si="124"/>
        <v>-38247.996255916274</v>
      </c>
      <c r="Z914" s="9">
        <f t="shared" si="124"/>
        <v>-37307.198520128914</v>
      </c>
      <c r="AA914" s="9">
        <f t="shared" si="124"/>
        <v>50802.862560365837</v>
      </c>
      <c r="AB914" s="9">
        <f t="shared" si="121"/>
        <v>20874.915895189941</v>
      </c>
    </row>
    <row r="915" spans="1:28" x14ac:dyDescent="0.3">
      <c r="A915" s="1">
        <v>45743</v>
      </c>
      <c r="B915" s="2">
        <v>77.8</v>
      </c>
      <c r="C915" s="2">
        <v>85</v>
      </c>
      <c r="D915" s="9">
        <f>B915-B914</f>
        <v>-0.35999999999999943</v>
      </c>
      <c r="E915" s="9">
        <f>C915-C914</f>
        <v>-0.20999999999999375</v>
      </c>
      <c r="F915" s="3">
        <f>F$1/B915</f>
        <v>1285.3470437017995</v>
      </c>
      <c r="G915" s="3">
        <f>F$1/C915</f>
        <v>1176.4705882352941</v>
      </c>
      <c r="H915" s="2">
        <f>D915*F914</f>
        <v>-460.59365404298802</v>
      </c>
      <c r="I915" s="2">
        <f>E915*G914</f>
        <v>-246.4499471892897</v>
      </c>
      <c r="J915" s="2">
        <f>I915-H915</f>
        <v>214.14370685369832</v>
      </c>
      <c r="K915" s="2">
        <f t="shared" si="119"/>
        <v>-214.14370685369832</v>
      </c>
      <c r="L915" s="14">
        <f>C915/B915</f>
        <v>1.0925449871465296</v>
      </c>
      <c r="M915" s="14">
        <f t="shared" si="122"/>
        <v>1.0920719957152152</v>
      </c>
      <c r="N915" s="14">
        <f t="shared" si="117"/>
        <v>1.0926785711762863</v>
      </c>
      <c r="O915" s="14">
        <f t="shared" si="118"/>
        <v>1.092183232066319</v>
      </c>
      <c r="P915" s="14">
        <f t="shared" si="120"/>
        <v>1.0919868642821289</v>
      </c>
      <c r="Q915" s="4" t="str">
        <f t="shared" si="125"/>
        <v>UNDER</v>
      </c>
      <c r="R915" s="4" t="str">
        <f t="shared" si="125"/>
        <v>UNDER</v>
      </c>
      <c r="S915" s="4" t="str">
        <f t="shared" si="123"/>
        <v>OVER</v>
      </c>
      <c r="T915" s="4" t="str">
        <f t="shared" si="123"/>
        <v>OVER</v>
      </c>
      <c r="U915" s="2">
        <f>IF(Q915="OVER",$J915,$K915)</f>
        <v>-214.14370685369832</v>
      </c>
      <c r="V915" s="2">
        <f>IF(R915="OVER",$J915,$K915)</f>
        <v>-214.14370685369832</v>
      </c>
      <c r="W915" s="2">
        <f>IF(S915="OVER",$J915,$K915)</f>
        <v>214.14370685369832</v>
      </c>
      <c r="X915" s="2">
        <f>IF(T915="OVER",$J915,$K915)</f>
        <v>214.14370685369832</v>
      </c>
      <c r="Y915" s="9">
        <f t="shared" si="124"/>
        <v>-38462.139962769972</v>
      </c>
      <c r="Z915" s="9">
        <f t="shared" si="124"/>
        <v>-37521.342226982611</v>
      </c>
      <c r="AA915" s="9">
        <f t="shared" si="124"/>
        <v>51017.006267219534</v>
      </c>
      <c r="AB915" s="9">
        <f t="shared" si="121"/>
        <v>21089.059602043639</v>
      </c>
    </row>
    <row r="916" spans="1:28" x14ac:dyDescent="0.3">
      <c r="A916" s="1">
        <v>45744</v>
      </c>
      <c r="B916" s="2">
        <v>76.930000000000007</v>
      </c>
      <c r="C916" s="2">
        <v>83.96</v>
      </c>
      <c r="D916" s="9">
        <f>B916-B915</f>
        <v>-0.86999999999999034</v>
      </c>
      <c r="E916" s="9">
        <f>C916-C915</f>
        <v>-1.0400000000000063</v>
      </c>
      <c r="F916" s="3">
        <f>F$1/B916</f>
        <v>1299.8830105290522</v>
      </c>
      <c r="G916" s="3">
        <f>F$1/C916</f>
        <v>1191.043353978085</v>
      </c>
      <c r="H916" s="2">
        <f>D916*F915</f>
        <v>-1118.2519280205531</v>
      </c>
      <c r="I916" s="2">
        <f>E916*G915</f>
        <v>-1223.5294117647134</v>
      </c>
      <c r="J916" s="2">
        <f>I916-H916</f>
        <v>-105.27748374416024</v>
      </c>
      <c r="K916" s="2">
        <f t="shared" si="119"/>
        <v>105.27748374416024</v>
      </c>
      <c r="L916" s="14">
        <f>C916/B916</f>
        <v>1.0913817756401922</v>
      </c>
      <c r="M916" s="14">
        <f t="shared" si="122"/>
        <v>1.0919626664795969</v>
      </c>
      <c r="N916" s="14">
        <f t="shared" si="117"/>
        <v>1.0927366667816467</v>
      </c>
      <c r="O916" s="14">
        <f t="shared" si="118"/>
        <v>1.0922440741697437</v>
      </c>
      <c r="P916" s="14">
        <f t="shared" si="120"/>
        <v>1.0920021876248638</v>
      </c>
      <c r="Q916" s="4" t="str">
        <f t="shared" si="125"/>
        <v>OVER</v>
      </c>
      <c r="R916" s="4" t="str">
        <f t="shared" si="125"/>
        <v>UNDER</v>
      </c>
      <c r="S916" s="4" t="str">
        <f t="shared" si="123"/>
        <v>UNDER</v>
      </c>
      <c r="T916" s="4" t="str">
        <f t="shared" si="123"/>
        <v>UNDER</v>
      </c>
      <c r="U916" s="2">
        <f>IF(Q916="OVER",$J916,$K916)</f>
        <v>-105.27748374416024</v>
      </c>
      <c r="V916" s="2">
        <f>IF(R916="OVER",$J916,$K916)</f>
        <v>105.27748374416024</v>
      </c>
      <c r="W916" s="2">
        <f>IF(S916="OVER",$J916,$K916)</f>
        <v>105.27748374416024</v>
      </c>
      <c r="X916" s="2">
        <f>IF(T916="OVER",$J916,$K916)</f>
        <v>105.27748374416024</v>
      </c>
      <c r="Y916" s="9">
        <f t="shared" si="124"/>
        <v>-38567.417446514133</v>
      </c>
      <c r="Z916" s="9">
        <f t="shared" si="124"/>
        <v>-37416.06474323845</v>
      </c>
      <c r="AA916" s="9">
        <f t="shared" si="124"/>
        <v>51122.283750963696</v>
      </c>
      <c r="AB916" s="9">
        <f t="shared" si="121"/>
        <v>21194.3370857878</v>
      </c>
    </row>
    <row r="917" spans="1:28" x14ac:dyDescent="0.3">
      <c r="A917" s="1">
        <v>45747</v>
      </c>
      <c r="B917" s="2">
        <v>76.62</v>
      </c>
      <c r="C917" s="2">
        <v>83.61</v>
      </c>
      <c r="D917" s="9">
        <f>B917-B916</f>
        <v>-0.31000000000000227</v>
      </c>
      <c r="E917" s="9">
        <f>C917-C916</f>
        <v>-0.34999999999999432</v>
      </c>
      <c r="F917" s="3">
        <f>F$1/B917</f>
        <v>1305.1422605063951</v>
      </c>
      <c r="G917" s="3">
        <f>F$1/C917</f>
        <v>1196.029183112068</v>
      </c>
      <c r="H917" s="2">
        <f>D917*F916</f>
        <v>-402.96373326400914</v>
      </c>
      <c r="I917" s="2">
        <f>E917*G916</f>
        <v>-416.86517389232296</v>
      </c>
      <c r="J917" s="2">
        <f>I917-H917</f>
        <v>-13.901440628313821</v>
      </c>
      <c r="K917" s="2">
        <f t="shared" si="119"/>
        <v>13.901440628313821</v>
      </c>
      <c r="L917" s="14">
        <f>C917/B917</f>
        <v>1.091229444009397</v>
      </c>
      <c r="M917" s="14">
        <f t="shared" si="122"/>
        <v>1.0916977507982319</v>
      </c>
      <c r="N917" s="14">
        <f t="shared" si="117"/>
        <v>1.0926432535934625</v>
      </c>
      <c r="O917" s="14">
        <f t="shared" si="118"/>
        <v>1.0922874091077091</v>
      </c>
      <c r="P917" s="14">
        <f t="shared" si="120"/>
        <v>1.0920015705492345</v>
      </c>
      <c r="Q917" s="4" t="str">
        <f t="shared" si="125"/>
        <v>UNDER</v>
      </c>
      <c r="R917" s="4" t="str">
        <f t="shared" si="125"/>
        <v>UNDER</v>
      </c>
      <c r="S917" s="4" t="str">
        <f t="shared" si="123"/>
        <v>UNDER</v>
      </c>
      <c r="T917" s="4" t="str">
        <f t="shared" si="123"/>
        <v>UNDER</v>
      </c>
      <c r="U917" s="2">
        <f>IF(Q917="OVER",$J917,$K917)</f>
        <v>13.901440628313821</v>
      </c>
      <c r="V917" s="2">
        <f>IF(R917="OVER",$J917,$K917)</f>
        <v>13.901440628313821</v>
      </c>
      <c r="W917" s="2">
        <f>IF(S917="OVER",$J917,$K917)</f>
        <v>13.901440628313821</v>
      </c>
      <c r="X917" s="2">
        <f>IF(T917="OVER",$J917,$K917)</f>
        <v>13.901440628313821</v>
      </c>
      <c r="Y917" s="9">
        <f t="shared" si="124"/>
        <v>-38553.516005885816</v>
      </c>
      <c r="Z917" s="9">
        <f t="shared" si="124"/>
        <v>-37402.163302610134</v>
      </c>
      <c r="AA917" s="9">
        <f t="shared" si="124"/>
        <v>51136.185191592012</v>
      </c>
      <c r="AB917" s="9">
        <f t="shared" si="121"/>
        <v>21208.238526416113</v>
      </c>
    </row>
    <row r="918" spans="1:28" x14ac:dyDescent="0.3">
      <c r="A918" s="1">
        <v>45748</v>
      </c>
      <c r="B918" s="2">
        <v>76.78</v>
      </c>
      <c r="C918" s="2">
        <v>83.73</v>
      </c>
      <c r="D918" s="9">
        <f>B918-B917</f>
        <v>0.15999999999999659</v>
      </c>
      <c r="E918" s="9">
        <f>C918-C917</f>
        <v>0.12000000000000455</v>
      </c>
      <c r="F918" s="3">
        <f>F$1/B918</f>
        <v>1302.4225058609013</v>
      </c>
      <c r="G918" s="3">
        <f>F$1/C918</f>
        <v>1194.3150603129104</v>
      </c>
      <c r="H918" s="2">
        <f>D918*F917</f>
        <v>208.82276168101876</v>
      </c>
      <c r="I918" s="2">
        <f>E918*G917</f>
        <v>143.52350197345359</v>
      </c>
      <c r="J918" s="2">
        <f>I918-H918</f>
        <v>-65.29925970756517</v>
      </c>
      <c r="K918" s="2">
        <f t="shared" si="119"/>
        <v>65.29925970756517</v>
      </c>
      <c r="L918" s="14">
        <f>C918/B918</f>
        <v>1.0905183641573326</v>
      </c>
      <c r="M918" s="14">
        <f t="shared" si="122"/>
        <v>1.0913095251423244</v>
      </c>
      <c r="N918" s="14">
        <f t="shared" si="117"/>
        <v>1.0924858877206405</v>
      </c>
      <c r="O918" s="14">
        <f t="shared" si="118"/>
        <v>1.0923105423483026</v>
      </c>
      <c r="P918" s="14">
        <f t="shared" si="120"/>
        <v>1.0920038926231681</v>
      </c>
      <c r="Q918" s="4" t="str">
        <f t="shared" si="125"/>
        <v>UNDER</v>
      </c>
      <c r="R918" s="4" t="str">
        <f t="shared" si="125"/>
        <v>UNDER</v>
      </c>
      <c r="S918" s="4" t="str">
        <f t="shared" si="123"/>
        <v>UNDER</v>
      </c>
      <c r="T918" s="4" t="str">
        <f t="shared" si="123"/>
        <v>UNDER</v>
      </c>
      <c r="U918" s="2">
        <f>IF(Q918="OVER",$J918,$K918)</f>
        <v>65.29925970756517</v>
      </c>
      <c r="V918" s="2">
        <f>IF(R918="OVER",$J918,$K918)</f>
        <v>65.29925970756517</v>
      </c>
      <c r="W918" s="2">
        <f>IF(S918="OVER",$J918,$K918)</f>
        <v>65.29925970756517</v>
      </c>
      <c r="X918" s="2">
        <f>IF(T918="OVER",$J918,$K918)</f>
        <v>65.29925970756517</v>
      </c>
      <c r="Y918" s="9">
        <f t="shared" si="124"/>
        <v>-38488.216746178252</v>
      </c>
      <c r="Z918" s="9">
        <f t="shared" si="124"/>
        <v>-37336.864042902569</v>
      </c>
      <c r="AA918" s="9">
        <f t="shared" si="124"/>
        <v>51201.484451299577</v>
      </c>
      <c r="AB918" s="9">
        <f t="shared" si="121"/>
        <v>21273.537786123678</v>
      </c>
    </row>
    <row r="919" spans="1:28" x14ac:dyDescent="0.3">
      <c r="A919" s="1">
        <v>45749</v>
      </c>
      <c r="B919" s="2">
        <v>77.260000000000005</v>
      </c>
      <c r="C919" s="2">
        <v>84.19</v>
      </c>
      <c r="D919" s="9">
        <f>B919-B918</f>
        <v>0.48000000000000398</v>
      </c>
      <c r="E919" s="9">
        <f>C919-C918</f>
        <v>0.45999999999999375</v>
      </c>
      <c r="F919" s="3">
        <f>F$1/B919</f>
        <v>1294.3308309603933</v>
      </c>
      <c r="G919" s="3">
        <f>F$1/C919</f>
        <v>1187.7895236964009</v>
      </c>
      <c r="H919" s="2">
        <f>D919*F918</f>
        <v>625.16280281323782</v>
      </c>
      <c r="I919" s="2">
        <f>E919*G918</f>
        <v>549.38492774393137</v>
      </c>
      <c r="J919" s="2">
        <f>I919-H919</f>
        <v>-75.777875069306447</v>
      </c>
      <c r="K919" s="2">
        <f t="shared" si="119"/>
        <v>75.777875069306447</v>
      </c>
      <c r="L919" s="14">
        <f>C919/B919</f>
        <v>1.0896971265855551</v>
      </c>
      <c r="M919" s="14">
        <f t="shared" si="122"/>
        <v>1.0910287573396371</v>
      </c>
      <c r="N919" s="14">
        <f t="shared" ref="N919:N982" si="126">AVERAGE(L900:L919)</f>
        <v>1.0922681512690338</v>
      </c>
      <c r="O919" s="14">
        <f t="shared" si="118"/>
        <v>1.0922971511323443</v>
      </c>
      <c r="P919" s="14">
        <f t="shared" si="120"/>
        <v>1.0920018150520909</v>
      </c>
      <c r="Q919" s="4" t="str">
        <f t="shared" si="125"/>
        <v>UNDER</v>
      </c>
      <c r="R919" s="4" t="str">
        <f t="shared" si="125"/>
        <v>UNDER</v>
      </c>
      <c r="S919" s="4" t="str">
        <f t="shared" si="123"/>
        <v>UNDER</v>
      </c>
      <c r="T919" s="4" t="str">
        <f t="shared" si="123"/>
        <v>UNDER</v>
      </c>
      <c r="U919" s="2">
        <f>IF(Q919="OVER",$J919,$K919)</f>
        <v>75.777875069306447</v>
      </c>
      <c r="V919" s="2">
        <f>IF(R919="OVER",$J919,$K919)</f>
        <v>75.777875069306447</v>
      </c>
      <c r="W919" s="2">
        <f>IF(S919="OVER",$J919,$K919)</f>
        <v>75.777875069306447</v>
      </c>
      <c r="X919" s="2">
        <f>IF(T919="OVER",$J919,$K919)</f>
        <v>75.777875069306447</v>
      </c>
      <c r="Y919" s="9">
        <f t="shared" si="124"/>
        <v>-38412.438871108949</v>
      </c>
      <c r="Z919" s="9">
        <f t="shared" si="124"/>
        <v>-37261.086167833266</v>
      </c>
      <c r="AA919" s="9">
        <f t="shared" si="124"/>
        <v>51277.26232636888</v>
      </c>
      <c r="AB919" s="9">
        <f t="shared" si="121"/>
        <v>21349.315661192984</v>
      </c>
    </row>
    <row r="920" spans="1:28" x14ac:dyDescent="0.3">
      <c r="A920" s="1">
        <v>45750</v>
      </c>
      <c r="B920" s="2">
        <v>74.930000000000007</v>
      </c>
      <c r="C920" s="2">
        <v>81.87</v>
      </c>
      <c r="D920" s="9">
        <f>B920-B919</f>
        <v>-2.3299999999999983</v>
      </c>
      <c r="E920" s="9">
        <f>C920-C919</f>
        <v>-2.3199999999999932</v>
      </c>
      <c r="F920" s="3">
        <f>F$1/B920</f>
        <v>1334.5789403443212</v>
      </c>
      <c r="G920" s="3">
        <f>F$1/C920</f>
        <v>1221.4486380847684</v>
      </c>
      <c r="H920" s="2">
        <f>D920*F919</f>
        <v>-3015.790836137714</v>
      </c>
      <c r="I920" s="2">
        <f>E920*G919</f>
        <v>-2755.6716949756419</v>
      </c>
      <c r="J920" s="2">
        <f>I920-H920</f>
        <v>260.11914116207208</v>
      </c>
      <c r="K920" s="2">
        <f t="shared" si="119"/>
        <v>-260.11914116207208</v>
      </c>
      <c r="L920" s="14">
        <f>C920/B920</f>
        <v>1.0926197784598959</v>
      </c>
      <c r="M920" s="14">
        <f t="shared" si="122"/>
        <v>1.0909919938550332</v>
      </c>
      <c r="N920" s="14">
        <f t="shared" si="126"/>
        <v>1.0922130502087879</v>
      </c>
      <c r="O920" s="14">
        <f t="shared" si="118"/>
        <v>1.0923469822797818</v>
      </c>
      <c r="P920" s="14">
        <f t="shared" si="120"/>
        <v>1.0920153893358893</v>
      </c>
      <c r="Q920" s="4" t="str">
        <f t="shared" si="125"/>
        <v>UNDER</v>
      </c>
      <c r="R920" s="4" t="str">
        <f t="shared" si="125"/>
        <v>UNDER</v>
      </c>
      <c r="S920" s="4" t="str">
        <f t="shared" si="123"/>
        <v>OVER</v>
      </c>
      <c r="T920" s="4" t="str">
        <f t="shared" si="123"/>
        <v>OVER</v>
      </c>
      <c r="U920" s="2">
        <f>IF(Q920="OVER",$J920,$K920)</f>
        <v>-260.11914116207208</v>
      </c>
      <c r="V920" s="2">
        <f>IF(R920="OVER",$J920,$K920)</f>
        <v>-260.11914116207208</v>
      </c>
      <c r="W920" s="2">
        <f>IF(S920="OVER",$J920,$K920)</f>
        <v>260.11914116207208</v>
      </c>
      <c r="X920" s="2">
        <f>IF(T920="OVER",$J920,$K920)</f>
        <v>260.11914116207208</v>
      </c>
      <c r="Y920" s="9">
        <f t="shared" si="124"/>
        <v>-38672.558012271023</v>
      </c>
      <c r="Z920" s="9">
        <f t="shared" si="124"/>
        <v>-37521.205308995341</v>
      </c>
      <c r="AA920" s="9">
        <f t="shared" si="124"/>
        <v>51537.381467530955</v>
      </c>
      <c r="AB920" s="9">
        <f t="shared" si="121"/>
        <v>21609.434802355056</v>
      </c>
    </row>
    <row r="921" spans="1:28" x14ac:dyDescent="0.3">
      <c r="A921" s="1">
        <v>45751</v>
      </c>
      <c r="B921" s="2">
        <v>72.83</v>
      </c>
      <c r="C921" s="2">
        <v>79.98</v>
      </c>
      <c r="D921" s="9">
        <f>B921-B920</f>
        <v>-2.1000000000000085</v>
      </c>
      <c r="E921" s="9">
        <f>C921-C920</f>
        <v>-1.8900000000000006</v>
      </c>
      <c r="F921" s="3">
        <f>F$1/B921</f>
        <v>1373.060551970342</v>
      </c>
      <c r="G921" s="3">
        <f>F$1/C921</f>
        <v>1250.312578144536</v>
      </c>
      <c r="H921" s="2">
        <f>D921*F920</f>
        <v>-2802.6157747230859</v>
      </c>
      <c r="I921" s="2">
        <f>E921*G920</f>
        <v>-2308.537925980213</v>
      </c>
      <c r="J921" s="2">
        <f>I921-H921</f>
        <v>494.0778487428729</v>
      </c>
      <c r="K921" s="2">
        <f t="shared" si="119"/>
        <v>-494.0778487428729</v>
      </c>
      <c r="L921" s="14">
        <f>C921/B921</f>
        <v>1.0981738294658796</v>
      </c>
      <c r="M921" s="14">
        <f t="shared" si="122"/>
        <v>1.0916741445717011</v>
      </c>
      <c r="N921" s="14">
        <f t="shared" si="126"/>
        <v>1.0924795753377876</v>
      </c>
      <c r="O921" s="14">
        <f t="shared" si="118"/>
        <v>1.0925135159089903</v>
      </c>
      <c r="P921" s="14">
        <f t="shared" si="120"/>
        <v>1.0920414185559155</v>
      </c>
      <c r="Q921" s="4" t="str">
        <f t="shared" si="125"/>
        <v>OVER</v>
      </c>
      <c r="R921" s="4" t="str">
        <f t="shared" si="125"/>
        <v>OVER</v>
      </c>
      <c r="S921" s="4" t="str">
        <f t="shared" si="123"/>
        <v>OVER</v>
      </c>
      <c r="T921" s="4" t="str">
        <f t="shared" si="123"/>
        <v>OVER</v>
      </c>
      <c r="U921" s="2">
        <f>IF(Q921="OVER",$J921,$K921)</f>
        <v>494.0778487428729</v>
      </c>
      <c r="V921" s="2">
        <f>IF(R921="OVER",$J921,$K921)</f>
        <v>494.0778487428729</v>
      </c>
      <c r="W921" s="2">
        <f>IF(S921="OVER",$J921,$K921)</f>
        <v>494.0778487428729</v>
      </c>
      <c r="X921" s="2">
        <f>IF(T921="OVER",$J921,$K921)</f>
        <v>494.0778487428729</v>
      </c>
      <c r="Y921" s="9">
        <f t="shared" si="124"/>
        <v>-38178.480163528147</v>
      </c>
      <c r="Z921" s="9">
        <f t="shared" si="124"/>
        <v>-37027.127460252465</v>
      </c>
      <c r="AA921" s="9">
        <f t="shared" si="124"/>
        <v>52031.459316273831</v>
      </c>
      <c r="AB921" s="9">
        <f t="shared" si="121"/>
        <v>22103.512651097928</v>
      </c>
    </row>
    <row r="922" spans="1:28" x14ac:dyDescent="0.3">
      <c r="A922" s="1">
        <v>45754</v>
      </c>
      <c r="B922" s="2">
        <v>72.41</v>
      </c>
      <c r="C922" s="2">
        <v>79.36</v>
      </c>
      <c r="D922" s="9">
        <f>B922-B921</f>
        <v>-0.42000000000000171</v>
      </c>
      <c r="E922" s="9">
        <f>C922-C921</f>
        <v>-0.62000000000000455</v>
      </c>
      <c r="F922" s="3">
        <f>F$1/B922</f>
        <v>1381.0247203424942</v>
      </c>
      <c r="G922" s="3">
        <f>F$1/C922</f>
        <v>1260.0806451612902</v>
      </c>
      <c r="H922" s="2">
        <f>D922*F921</f>
        <v>-576.68543182754593</v>
      </c>
      <c r="I922" s="2">
        <f>E922*G921</f>
        <v>-775.19379844961804</v>
      </c>
      <c r="J922" s="2">
        <f>I922-H922</f>
        <v>-198.50836662207212</v>
      </c>
      <c r="K922" s="2">
        <f t="shared" si="119"/>
        <v>198.50836662207212</v>
      </c>
      <c r="L922" s="14">
        <f>C922/B922</f>
        <v>1.0959812180638033</v>
      </c>
      <c r="M922" s="14">
        <f t="shared" si="122"/>
        <v>1.0923024617599641</v>
      </c>
      <c r="N922" s="14">
        <f t="shared" si="126"/>
        <v>1.09254775059813</v>
      </c>
      <c r="O922" s="14">
        <f t="shared" si="118"/>
        <v>1.0926501752839242</v>
      </c>
      <c r="P922" s="14">
        <f t="shared" si="120"/>
        <v>1.0920665889787773</v>
      </c>
      <c r="Q922" s="4" t="str">
        <f t="shared" si="125"/>
        <v>OVER</v>
      </c>
      <c r="R922" s="4" t="str">
        <f t="shared" si="125"/>
        <v>OVER</v>
      </c>
      <c r="S922" s="4" t="str">
        <f t="shared" si="123"/>
        <v>OVER</v>
      </c>
      <c r="T922" s="4" t="str">
        <f t="shared" si="123"/>
        <v>OVER</v>
      </c>
      <c r="U922" s="2">
        <f>IF(Q922="OVER",$J922,$K922)</f>
        <v>-198.50836662207212</v>
      </c>
      <c r="V922" s="2">
        <f>IF(R922="OVER",$J922,$K922)</f>
        <v>-198.50836662207212</v>
      </c>
      <c r="W922" s="2">
        <f>IF(S922="OVER",$J922,$K922)</f>
        <v>-198.50836662207212</v>
      </c>
      <c r="X922" s="2">
        <f>IF(T922="OVER",$J922,$K922)</f>
        <v>-198.50836662207212</v>
      </c>
      <c r="Y922" s="9">
        <f t="shared" si="124"/>
        <v>-38376.988530150222</v>
      </c>
      <c r="Z922" s="9">
        <f t="shared" si="124"/>
        <v>-37225.635826874539</v>
      </c>
      <c r="AA922" s="9">
        <f t="shared" si="124"/>
        <v>51832.950949651757</v>
      </c>
      <c r="AB922" s="9">
        <f t="shared" si="121"/>
        <v>21905.004284475857</v>
      </c>
    </row>
    <row r="923" spans="1:28" x14ac:dyDescent="0.3">
      <c r="A923" s="1">
        <v>45755</v>
      </c>
      <c r="B923" s="2">
        <v>71.86</v>
      </c>
      <c r="C923" s="2">
        <v>78.98</v>
      </c>
      <c r="D923" s="9">
        <f>B923-B922</f>
        <v>-0.54999999999999716</v>
      </c>
      <c r="E923" s="9">
        <f>C923-C922</f>
        <v>-0.37999999999999545</v>
      </c>
      <c r="F923" s="3">
        <f>F$1/B923</f>
        <v>1391.5947676036737</v>
      </c>
      <c r="G923" s="3">
        <f>F$1/C923</f>
        <v>1266.1433274246644</v>
      </c>
      <c r="H923" s="2">
        <f>D923*F922</f>
        <v>-759.56359618836791</v>
      </c>
      <c r="I923" s="2">
        <f>E923*G922</f>
        <v>-478.83064516128456</v>
      </c>
      <c r="J923" s="2">
        <f>I923-H923</f>
        <v>280.73295102708335</v>
      </c>
      <c r="K923" s="2">
        <f t="shared" si="119"/>
        <v>-280.73295102708335</v>
      </c>
      <c r="L923" s="14">
        <f>C923/B923</f>
        <v>1.0990815474533817</v>
      </c>
      <c r="M923" s="14">
        <f t="shared" si="122"/>
        <v>1.0931427661565387</v>
      </c>
      <c r="N923" s="14">
        <f t="shared" si="126"/>
        <v>1.0928563031378806</v>
      </c>
      <c r="O923" s="14">
        <f t="shared" si="118"/>
        <v>1.0928291021769077</v>
      </c>
      <c r="P923" s="14">
        <f t="shared" si="120"/>
        <v>1.0921076421935016</v>
      </c>
      <c r="Q923" s="4" t="str">
        <f t="shared" si="125"/>
        <v>OVER</v>
      </c>
      <c r="R923" s="4" t="str">
        <f t="shared" si="125"/>
        <v>OVER</v>
      </c>
      <c r="S923" s="4" t="str">
        <f t="shared" si="123"/>
        <v>OVER</v>
      </c>
      <c r="T923" s="4" t="str">
        <f t="shared" si="123"/>
        <v>OVER</v>
      </c>
      <c r="U923" s="2">
        <f>IF(Q923="OVER",$J923,$K923)</f>
        <v>280.73295102708335</v>
      </c>
      <c r="V923" s="2">
        <f>IF(R923="OVER",$J923,$K923)</f>
        <v>280.73295102708335</v>
      </c>
      <c r="W923" s="2">
        <f>IF(S923="OVER",$J923,$K923)</f>
        <v>280.73295102708335</v>
      </c>
      <c r="X923" s="2">
        <f>IF(T923="OVER",$J923,$K923)</f>
        <v>280.73295102708335</v>
      </c>
      <c r="Y923" s="9">
        <f t="shared" si="124"/>
        <v>-38096.255579123135</v>
      </c>
      <c r="Z923" s="9">
        <f t="shared" si="124"/>
        <v>-36944.902875847452</v>
      </c>
      <c r="AA923" s="9">
        <f t="shared" si="124"/>
        <v>52113.683900678843</v>
      </c>
      <c r="AB923" s="9">
        <f t="shared" si="121"/>
        <v>22185.73723550294</v>
      </c>
    </row>
    <row r="924" spans="1:28" x14ac:dyDescent="0.3">
      <c r="A924" s="1">
        <v>45756</v>
      </c>
      <c r="B924" s="2">
        <v>74.8</v>
      </c>
      <c r="C924" s="2">
        <v>81.739999999999995</v>
      </c>
      <c r="D924" s="9">
        <f>B924-B923</f>
        <v>2.9399999999999977</v>
      </c>
      <c r="E924" s="9">
        <f>C924-C923</f>
        <v>2.7599999999999909</v>
      </c>
      <c r="F924" s="3">
        <f>F$1/B924</f>
        <v>1336.8983957219252</v>
      </c>
      <c r="G924" s="3">
        <f>F$1/C924</f>
        <v>1223.391240518718</v>
      </c>
      <c r="H924" s="2">
        <f>D924*F923</f>
        <v>4091.2886167547977</v>
      </c>
      <c r="I924" s="2">
        <f>E924*G923</f>
        <v>3494.5555836920626</v>
      </c>
      <c r="J924" s="2">
        <f>I924-H924</f>
        <v>-596.7330330627351</v>
      </c>
      <c r="K924" s="2">
        <f t="shared" si="119"/>
        <v>596.7330330627351</v>
      </c>
      <c r="L924" s="14">
        <f>C924/B924</f>
        <v>1.0927807486631016</v>
      </c>
      <c r="M924" s="14">
        <f t="shared" si="122"/>
        <v>1.0934008819645069</v>
      </c>
      <c r="N924" s="14">
        <f t="shared" si="126"/>
        <v>1.0928447853783512</v>
      </c>
      <c r="O924" s="14">
        <f t="shared" si="118"/>
        <v>1.0928440578095104</v>
      </c>
      <c r="P924" s="14">
        <f t="shared" si="120"/>
        <v>1.0921210640259358</v>
      </c>
      <c r="Q924" s="4" t="str">
        <f t="shared" si="125"/>
        <v>OVER</v>
      </c>
      <c r="R924" s="4" t="str">
        <f t="shared" si="125"/>
        <v>OVER</v>
      </c>
      <c r="S924" s="4" t="str">
        <f t="shared" si="123"/>
        <v>UNDER</v>
      </c>
      <c r="T924" s="4" t="str">
        <f t="shared" si="123"/>
        <v>OVER</v>
      </c>
      <c r="U924" s="2">
        <f>IF(Q924="OVER",$J924,$K924)</f>
        <v>-596.7330330627351</v>
      </c>
      <c r="V924" s="2">
        <f>IF(R924="OVER",$J924,$K924)</f>
        <v>-596.7330330627351</v>
      </c>
      <c r="W924" s="2">
        <f>IF(S924="OVER",$J924,$K924)</f>
        <v>596.7330330627351</v>
      </c>
      <c r="X924" s="2">
        <f>IF(T924="OVER",$J924,$K924)</f>
        <v>-596.7330330627351</v>
      </c>
      <c r="Y924" s="9">
        <f t="shared" si="124"/>
        <v>-38692.988612185873</v>
      </c>
      <c r="Z924" s="9">
        <f t="shared" si="124"/>
        <v>-37541.63590891019</v>
      </c>
      <c r="AA924" s="9">
        <f t="shared" si="124"/>
        <v>52710.416933741581</v>
      </c>
      <c r="AB924" s="9">
        <f t="shared" si="121"/>
        <v>21589.004202440206</v>
      </c>
    </row>
    <row r="925" spans="1:28" x14ac:dyDescent="0.3">
      <c r="A925" s="1">
        <v>45757</v>
      </c>
      <c r="B925" s="2">
        <v>73.05</v>
      </c>
      <c r="C925" s="2">
        <v>80.67</v>
      </c>
      <c r="D925" s="9">
        <f>B925-B924</f>
        <v>-1.75</v>
      </c>
      <c r="E925" s="9">
        <f>C925-C924</f>
        <v>-1.0699999999999932</v>
      </c>
      <c r="F925" s="3">
        <f>F$1/B925</f>
        <v>1368.9253935660506</v>
      </c>
      <c r="G925" s="3">
        <f>F$1/C925</f>
        <v>1239.6181975951406</v>
      </c>
      <c r="H925" s="2">
        <f>D925*F924</f>
        <v>-2339.5721925133694</v>
      </c>
      <c r="I925" s="2">
        <f>E925*G924</f>
        <v>-1309.0286273550198</v>
      </c>
      <c r="J925" s="2">
        <f>I925-H925</f>
        <v>1030.5435651583496</v>
      </c>
      <c r="K925" s="2">
        <f t="shared" si="119"/>
        <v>-1030.5435651583496</v>
      </c>
      <c r="L925" s="14">
        <f>C925/B925</f>
        <v>1.104312114989733</v>
      </c>
      <c r="M925" s="14">
        <f t="shared" si="122"/>
        <v>1.0945775947488274</v>
      </c>
      <c r="N925" s="14">
        <f t="shared" si="126"/>
        <v>1.0933247952320211</v>
      </c>
      <c r="O925" s="14">
        <f t="shared" si="118"/>
        <v>1.0930996307786358</v>
      </c>
      <c r="P925" s="14">
        <f t="shared" si="120"/>
        <v>1.0921904932242248</v>
      </c>
      <c r="Q925" s="4" t="str">
        <f t="shared" si="125"/>
        <v>UNDER</v>
      </c>
      <c r="R925" s="4" t="str">
        <f t="shared" si="125"/>
        <v>UNDER</v>
      </c>
      <c r="S925" s="4" t="str">
        <f t="shared" si="123"/>
        <v>OVER</v>
      </c>
      <c r="T925" s="4" t="str">
        <f t="shared" si="123"/>
        <v>OVER</v>
      </c>
      <c r="U925" s="2">
        <f>IF(Q925="OVER",$J925,$K925)</f>
        <v>-1030.5435651583496</v>
      </c>
      <c r="V925" s="2">
        <f>IF(R925="OVER",$J925,$K925)</f>
        <v>-1030.5435651583496</v>
      </c>
      <c r="W925" s="2">
        <f>IF(S925="OVER",$J925,$K925)</f>
        <v>1030.5435651583496</v>
      </c>
      <c r="X925" s="2">
        <f>IF(T925="OVER",$J925,$K925)</f>
        <v>1030.5435651583496</v>
      </c>
      <c r="Y925" s="9">
        <f t="shared" si="124"/>
        <v>-39723.532177344219</v>
      </c>
      <c r="Z925" s="9">
        <f t="shared" si="124"/>
        <v>-38572.179474068536</v>
      </c>
      <c r="AA925" s="9">
        <f t="shared" si="124"/>
        <v>53740.960498899927</v>
      </c>
      <c r="AB925" s="9">
        <f t="shared" si="121"/>
        <v>22619.547767598557</v>
      </c>
    </row>
    <row r="926" spans="1:28" x14ac:dyDescent="0.3">
      <c r="A926" s="1">
        <v>45758</v>
      </c>
      <c r="B926" s="2">
        <v>73.599999999999994</v>
      </c>
      <c r="C926" s="2">
        <v>80.75</v>
      </c>
      <c r="D926" s="9">
        <f>B926-B925</f>
        <v>0.54999999999999716</v>
      </c>
      <c r="E926" s="9">
        <f>C926-C925</f>
        <v>7.9999999999998295E-2</v>
      </c>
      <c r="F926" s="3">
        <f>F$1/B926</f>
        <v>1358.6956521739132</v>
      </c>
      <c r="G926" s="3">
        <f>F$1/C926</f>
        <v>1238.3900928792571</v>
      </c>
      <c r="H926" s="2">
        <f>D926*F925</f>
        <v>752.90896646132398</v>
      </c>
      <c r="I926" s="2">
        <f>E926*G925</f>
        <v>99.16945580760914</v>
      </c>
      <c r="J926" s="2">
        <f>I926-H926</f>
        <v>-653.73951065371489</v>
      </c>
      <c r="K926" s="2">
        <f t="shared" si="119"/>
        <v>653.73951065371489</v>
      </c>
      <c r="L926" s="14">
        <f>C926/B926</f>
        <v>1.0971467391304348</v>
      </c>
      <c r="M926" s="14">
        <f t="shared" si="122"/>
        <v>1.0951540910978514</v>
      </c>
      <c r="N926" s="14">
        <f t="shared" si="126"/>
        <v>1.093558378788724</v>
      </c>
      <c r="O926" s="14">
        <f t="shared" si="118"/>
        <v>1.0932097282596573</v>
      </c>
      <c r="P926" s="14">
        <f t="shared" si="120"/>
        <v>1.0922210477758647</v>
      </c>
      <c r="Q926" s="4" t="str">
        <f t="shared" si="125"/>
        <v>OVER</v>
      </c>
      <c r="R926" s="4" t="str">
        <f t="shared" si="125"/>
        <v>OVER</v>
      </c>
      <c r="S926" s="4" t="str">
        <f t="shared" si="123"/>
        <v>OVER</v>
      </c>
      <c r="T926" s="4" t="str">
        <f t="shared" si="123"/>
        <v>OVER</v>
      </c>
      <c r="U926" s="2">
        <f>IF(Q926="OVER",$J926,$K926)</f>
        <v>-653.73951065371489</v>
      </c>
      <c r="V926" s="2">
        <f>IF(R926="OVER",$J926,$K926)</f>
        <v>-653.73951065371489</v>
      </c>
      <c r="W926" s="2">
        <f>IF(S926="OVER",$J926,$K926)</f>
        <v>-653.73951065371489</v>
      </c>
      <c r="X926" s="2">
        <f>IF(T926="OVER",$J926,$K926)</f>
        <v>-653.73951065371489</v>
      </c>
      <c r="Y926" s="9">
        <f t="shared" si="124"/>
        <v>-40377.271687997934</v>
      </c>
      <c r="Z926" s="9">
        <f t="shared" si="124"/>
        <v>-39225.918984722251</v>
      </c>
      <c r="AA926" s="9">
        <f t="shared" si="124"/>
        <v>53087.220988246212</v>
      </c>
      <c r="AB926" s="9">
        <f t="shared" si="121"/>
        <v>21965.808256944842</v>
      </c>
    </row>
    <row r="927" spans="1:28" x14ac:dyDescent="0.3">
      <c r="A927" s="1">
        <v>45761</v>
      </c>
      <c r="B927" s="2">
        <v>74.52</v>
      </c>
      <c r="C927" s="2">
        <v>81.61</v>
      </c>
      <c r="D927" s="9">
        <f>B927-B926</f>
        <v>0.92000000000000171</v>
      </c>
      <c r="E927" s="9">
        <f>C927-C926</f>
        <v>0.85999999999999943</v>
      </c>
      <c r="F927" s="3">
        <f>F$1/B927</f>
        <v>1341.9216317767043</v>
      </c>
      <c r="G927" s="3">
        <f>F$1/C927</f>
        <v>1225.3400318588408</v>
      </c>
      <c r="H927" s="2">
        <f>D927*F926</f>
        <v>1250.0000000000025</v>
      </c>
      <c r="I927" s="2">
        <f>E927*G926</f>
        <v>1065.0154798761603</v>
      </c>
      <c r="J927" s="2">
        <f>I927-H927</f>
        <v>-184.98452012384223</v>
      </c>
      <c r="K927" s="2">
        <f t="shared" si="119"/>
        <v>184.98452012384223</v>
      </c>
      <c r="L927" s="14">
        <f>C927/B927</f>
        <v>1.0951422436929683</v>
      </c>
      <c r="M927" s="14">
        <f t="shared" si="122"/>
        <v>1.0955453710662089</v>
      </c>
      <c r="N927" s="14">
        <f t="shared" si="126"/>
        <v>1.0936215609322202</v>
      </c>
      <c r="O927" s="14">
        <f t="shared" si="118"/>
        <v>1.0932588295182182</v>
      </c>
      <c r="P927" s="14">
        <f t="shared" si="120"/>
        <v>1.0922413285952195</v>
      </c>
      <c r="Q927" s="4" t="str">
        <f t="shared" si="125"/>
        <v>OVER</v>
      </c>
      <c r="R927" s="4" t="str">
        <f t="shared" si="125"/>
        <v>OVER</v>
      </c>
      <c r="S927" s="4" t="str">
        <f t="shared" si="123"/>
        <v>OVER</v>
      </c>
      <c r="T927" s="4" t="str">
        <f t="shared" si="123"/>
        <v>OVER</v>
      </c>
      <c r="U927" s="2">
        <f>IF(Q927="OVER",$J927,$K927)</f>
        <v>-184.98452012384223</v>
      </c>
      <c r="V927" s="2">
        <f>IF(R927="OVER",$J927,$K927)</f>
        <v>-184.98452012384223</v>
      </c>
      <c r="W927" s="2">
        <f>IF(S927="OVER",$J927,$K927)</f>
        <v>-184.98452012384223</v>
      </c>
      <c r="X927" s="2">
        <f>IF(T927="OVER",$J927,$K927)</f>
        <v>-184.98452012384223</v>
      </c>
      <c r="Y927" s="9">
        <f t="shared" si="124"/>
        <v>-40562.256208121777</v>
      </c>
      <c r="Z927" s="9">
        <f t="shared" si="124"/>
        <v>-39410.903504846094</v>
      </c>
      <c r="AA927" s="9">
        <f t="shared" si="124"/>
        <v>52902.23646812237</v>
      </c>
      <c r="AB927" s="9">
        <f t="shared" si="121"/>
        <v>21780.823736820999</v>
      </c>
    </row>
    <row r="928" spans="1:28" x14ac:dyDescent="0.3">
      <c r="A928" s="1">
        <v>45762</v>
      </c>
      <c r="B928" s="2">
        <v>74.64</v>
      </c>
      <c r="C928" s="2">
        <v>81.78</v>
      </c>
      <c r="D928" s="9">
        <f>B928-B927</f>
        <v>0.12000000000000455</v>
      </c>
      <c r="E928" s="9">
        <f>C928-C927</f>
        <v>0.17000000000000171</v>
      </c>
      <c r="F928" s="3">
        <f>F$1/B928</f>
        <v>1339.7642015005358</v>
      </c>
      <c r="G928" s="3">
        <f>F$1/C928</f>
        <v>1222.7928588897041</v>
      </c>
      <c r="H928" s="2">
        <f>D928*F927</f>
        <v>161.03059581321062</v>
      </c>
      <c r="I928" s="2">
        <f>E928*G927</f>
        <v>208.30780541600504</v>
      </c>
      <c r="J928" s="2">
        <f>I928-H928</f>
        <v>47.277209602794414</v>
      </c>
      <c r="K928" s="2">
        <f t="shared" si="119"/>
        <v>-47.277209602794414</v>
      </c>
      <c r="L928" s="14">
        <f>C928/B928</f>
        <v>1.0956591639871383</v>
      </c>
      <c r="M928" s="14">
        <f t="shared" si="122"/>
        <v>1.0960594510491892</v>
      </c>
      <c r="N928" s="14">
        <f t="shared" si="126"/>
        <v>1.0936844880957568</v>
      </c>
      <c r="O928" s="14">
        <f t="shared" si="118"/>
        <v>1.0933326734586215</v>
      </c>
      <c r="P928" s="14">
        <f t="shared" si="120"/>
        <v>1.0922611121558397</v>
      </c>
      <c r="Q928" s="4" t="str">
        <f t="shared" si="125"/>
        <v>UNDER</v>
      </c>
      <c r="R928" s="4" t="str">
        <f t="shared" si="125"/>
        <v>OVER</v>
      </c>
      <c r="S928" s="4" t="str">
        <f t="shared" si="123"/>
        <v>OVER</v>
      </c>
      <c r="T928" s="4" t="str">
        <f t="shared" si="123"/>
        <v>OVER</v>
      </c>
      <c r="U928" s="2">
        <f>IF(Q928="OVER",$J928,$K928)</f>
        <v>-47.277209602794414</v>
      </c>
      <c r="V928" s="2">
        <f>IF(R928="OVER",$J928,$K928)</f>
        <v>47.277209602794414</v>
      </c>
      <c r="W928" s="2">
        <f>IF(S928="OVER",$J928,$K928)</f>
        <v>47.277209602794414</v>
      </c>
      <c r="X928" s="2">
        <f>IF(T928="OVER",$J928,$K928)</f>
        <v>47.277209602794414</v>
      </c>
      <c r="Y928" s="9">
        <f t="shared" si="124"/>
        <v>-40609.533417724568</v>
      </c>
      <c r="Z928" s="9">
        <f t="shared" si="124"/>
        <v>-39363.626295243303</v>
      </c>
      <c r="AA928" s="9">
        <f t="shared" si="124"/>
        <v>52949.513677725161</v>
      </c>
      <c r="AB928" s="9">
        <f t="shared" si="121"/>
        <v>21828.100946423794</v>
      </c>
    </row>
    <row r="929" spans="1:28" x14ac:dyDescent="0.3">
      <c r="A929" s="1">
        <v>45763</v>
      </c>
      <c r="B929" s="2">
        <v>74.25</v>
      </c>
      <c r="C929" s="2">
        <v>81.430000000000007</v>
      </c>
      <c r="D929" s="9">
        <f>B929-B928</f>
        <v>-0.39000000000000057</v>
      </c>
      <c r="E929" s="9">
        <f>C929-C928</f>
        <v>-0.34999999999999432</v>
      </c>
      <c r="F929" s="3">
        <f>F$1/B929</f>
        <v>1346.8013468013469</v>
      </c>
      <c r="G929" s="3">
        <f>F$1/C929</f>
        <v>1228.0486307257765</v>
      </c>
      <c r="H929" s="2">
        <f>D929*F928</f>
        <v>-522.50803858520976</v>
      </c>
      <c r="I929" s="2">
        <f>E929*G928</f>
        <v>-427.97750061138947</v>
      </c>
      <c r="J929" s="2">
        <f>I929-H929</f>
        <v>94.530537973820287</v>
      </c>
      <c r="K929" s="2">
        <f t="shared" si="119"/>
        <v>-94.530537973820287</v>
      </c>
      <c r="L929" s="14">
        <f>C929/B929</f>
        <v>1.0967003367003367</v>
      </c>
      <c r="M929" s="14">
        <f t="shared" si="122"/>
        <v>1.0967597720606672</v>
      </c>
      <c r="N929" s="14">
        <f t="shared" si="126"/>
        <v>1.0938942647001524</v>
      </c>
      <c r="O929" s="14">
        <f t="shared" si="118"/>
        <v>1.0934382940614236</v>
      </c>
      <c r="P929" s="14">
        <f t="shared" si="120"/>
        <v>1.0922887437310982</v>
      </c>
      <c r="Q929" s="4" t="str">
        <f t="shared" si="125"/>
        <v>UNDER</v>
      </c>
      <c r="R929" s="4" t="str">
        <f t="shared" si="125"/>
        <v>OVER</v>
      </c>
      <c r="S929" s="4" t="str">
        <f t="shared" si="123"/>
        <v>OVER</v>
      </c>
      <c r="T929" s="4" t="str">
        <f t="shared" si="123"/>
        <v>OVER</v>
      </c>
      <c r="U929" s="2">
        <f>IF(Q929="OVER",$J929,$K929)</f>
        <v>-94.530537973820287</v>
      </c>
      <c r="V929" s="2">
        <f>IF(R929="OVER",$J929,$K929)</f>
        <v>94.530537973820287</v>
      </c>
      <c r="W929" s="2">
        <f>IF(S929="OVER",$J929,$K929)</f>
        <v>94.530537973820287</v>
      </c>
      <c r="X929" s="2">
        <f>IF(T929="OVER",$J929,$K929)</f>
        <v>94.530537973820287</v>
      </c>
      <c r="Y929" s="9">
        <f t="shared" si="124"/>
        <v>-40704.063955698388</v>
      </c>
      <c r="Z929" s="9">
        <f t="shared" si="124"/>
        <v>-39269.095757269482</v>
      </c>
      <c r="AA929" s="9">
        <f t="shared" si="124"/>
        <v>53044.044215698981</v>
      </c>
      <c r="AB929" s="9">
        <f t="shared" si="121"/>
        <v>21922.631484397614</v>
      </c>
    </row>
    <row r="930" spans="1:28" x14ac:dyDescent="0.3">
      <c r="A930" s="1">
        <v>45764</v>
      </c>
      <c r="B930" s="2">
        <v>74.63</v>
      </c>
      <c r="C930" s="2">
        <v>81.67</v>
      </c>
      <c r="D930" s="9">
        <f>B930-B929</f>
        <v>0.37999999999999545</v>
      </c>
      <c r="E930" s="9">
        <f>C930-C929</f>
        <v>0.23999999999999488</v>
      </c>
      <c r="F930" s="3">
        <f>F$1/B930</f>
        <v>1339.9437223636608</v>
      </c>
      <c r="G930" s="3">
        <f>F$1/C930</f>
        <v>1224.4398187829067</v>
      </c>
      <c r="H930" s="2">
        <f>D930*F929</f>
        <v>511.7845117845057</v>
      </c>
      <c r="I930" s="2">
        <f>E930*G929</f>
        <v>294.73167137418011</v>
      </c>
      <c r="J930" s="2">
        <f>I930-H930</f>
        <v>-217.05284041032559</v>
      </c>
      <c r="K930" s="2">
        <f t="shared" si="119"/>
        <v>217.05284041032559</v>
      </c>
      <c r="L930" s="14">
        <f>C930/B930</f>
        <v>1.0943320380544017</v>
      </c>
      <c r="M930" s="14">
        <f t="shared" si="122"/>
        <v>1.0969309980201181</v>
      </c>
      <c r="N930" s="14">
        <f t="shared" si="126"/>
        <v>1.0939614959375756</v>
      </c>
      <c r="O930" s="14">
        <f t="shared" si="118"/>
        <v>1.0934750655333296</v>
      </c>
      <c r="P930" s="14">
        <f t="shared" si="120"/>
        <v>1.0923132551035677</v>
      </c>
      <c r="Q930" s="4" t="str">
        <f t="shared" si="125"/>
        <v>UNDER</v>
      </c>
      <c r="R930" s="4" t="str">
        <f t="shared" si="125"/>
        <v>OVER</v>
      </c>
      <c r="S930" s="4" t="str">
        <f t="shared" si="123"/>
        <v>OVER</v>
      </c>
      <c r="T930" s="4" t="str">
        <f t="shared" si="123"/>
        <v>OVER</v>
      </c>
      <c r="U930" s="2">
        <f>IF(Q930="OVER",$J930,$K930)</f>
        <v>217.05284041032559</v>
      </c>
      <c r="V930" s="2">
        <f>IF(R930="OVER",$J930,$K930)</f>
        <v>-217.05284041032559</v>
      </c>
      <c r="W930" s="2">
        <f>IF(S930="OVER",$J930,$K930)</f>
        <v>-217.05284041032559</v>
      </c>
      <c r="X930" s="2">
        <f>IF(T930="OVER",$J930,$K930)</f>
        <v>-217.05284041032559</v>
      </c>
      <c r="Y930" s="9">
        <f t="shared" si="124"/>
        <v>-40487.011115288064</v>
      </c>
      <c r="Z930" s="9">
        <f t="shared" si="124"/>
        <v>-39486.148597679807</v>
      </c>
      <c r="AA930" s="9">
        <f t="shared" si="124"/>
        <v>52826.991375288657</v>
      </c>
      <c r="AB930" s="9">
        <f t="shared" si="121"/>
        <v>21705.57864398729</v>
      </c>
    </row>
    <row r="931" spans="1:28" x14ac:dyDescent="0.3">
      <c r="A931" s="1">
        <v>45768</v>
      </c>
      <c r="B931" s="2">
        <v>73.92</v>
      </c>
      <c r="C931" s="2">
        <v>81.099999999999994</v>
      </c>
      <c r="D931" s="9">
        <f>B931-B930</f>
        <v>-0.70999999999999375</v>
      </c>
      <c r="E931" s="9">
        <f>C931-C930</f>
        <v>-0.57000000000000739</v>
      </c>
      <c r="F931" s="3">
        <f>F$1/B931</f>
        <v>1352.8138528138527</v>
      </c>
      <c r="G931" s="3">
        <f>F$1/C931</f>
        <v>1233.0456226880397</v>
      </c>
      <c r="H931" s="2">
        <f>D931*F930</f>
        <v>-951.36004287819071</v>
      </c>
      <c r="I931" s="2">
        <f>E931*G930</f>
        <v>-697.93069670626585</v>
      </c>
      <c r="J931" s="2">
        <f>I931-H931</f>
        <v>253.42934617192486</v>
      </c>
      <c r="K931" s="2">
        <f t="shared" si="119"/>
        <v>-253.42934617192486</v>
      </c>
      <c r="L931" s="14">
        <f>C931/B931</f>
        <v>1.0971320346320346</v>
      </c>
      <c r="M931" s="14">
        <f t="shared" si="122"/>
        <v>1.0968268185367334</v>
      </c>
      <c r="N931" s="14">
        <f t="shared" si="126"/>
        <v>1.0942504815542173</v>
      </c>
      <c r="O931" s="14">
        <f t="shared" si="118"/>
        <v>1.09358596768987</v>
      </c>
      <c r="P931" s="14">
        <f t="shared" si="120"/>
        <v>1.0923475890720338</v>
      </c>
      <c r="Q931" s="4" t="str">
        <f t="shared" si="125"/>
        <v>UNDER</v>
      </c>
      <c r="R931" s="4" t="str">
        <f t="shared" si="125"/>
        <v>OVER</v>
      </c>
      <c r="S931" s="4" t="str">
        <f t="shared" si="123"/>
        <v>OVER</v>
      </c>
      <c r="T931" s="4" t="str">
        <f t="shared" si="123"/>
        <v>OVER</v>
      </c>
      <c r="U931" s="2">
        <f>IF(Q931="OVER",$J931,$K931)</f>
        <v>-253.42934617192486</v>
      </c>
      <c r="V931" s="2">
        <f>IF(R931="OVER",$J931,$K931)</f>
        <v>253.42934617192486</v>
      </c>
      <c r="W931" s="2">
        <f>IF(S931="OVER",$J931,$K931)</f>
        <v>253.42934617192486</v>
      </c>
      <c r="X931" s="2">
        <f>IF(T931="OVER",$J931,$K931)</f>
        <v>253.42934617192486</v>
      </c>
      <c r="Y931" s="9">
        <f t="shared" si="124"/>
        <v>-40740.440461459992</v>
      </c>
      <c r="Z931" s="9">
        <f t="shared" si="124"/>
        <v>-39232.719251507879</v>
      </c>
      <c r="AA931" s="9">
        <f t="shared" si="124"/>
        <v>53080.420721460585</v>
      </c>
      <c r="AB931" s="9">
        <f t="shared" si="121"/>
        <v>21959.007990159214</v>
      </c>
    </row>
    <row r="932" spans="1:28" x14ac:dyDescent="0.3">
      <c r="A932" s="1">
        <v>45769</v>
      </c>
      <c r="B932" s="2">
        <v>75.08</v>
      </c>
      <c r="C932" s="2">
        <v>82.05</v>
      </c>
      <c r="D932" s="9">
        <f>B932-B931</f>
        <v>1.1599999999999966</v>
      </c>
      <c r="E932" s="9">
        <f>C932-C931</f>
        <v>0.95000000000000284</v>
      </c>
      <c r="F932" s="3">
        <f>F$1/B932</f>
        <v>1331.9126265316995</v>
      </c>
      <c r="G932" s="3">
        <f>F$1/C932</f>
        <v>1218.769043266301</v>
      </c>
      <c r="H932" s="2">
        <f>D932*F931</f>
        <v>1569.2640692640646</v>
      </c>
      <c r="I932" s="2">
        <f>E932*G931</f>
        <v>1171.3933415536412</v>
      </c>
      <c r="J932" s="2">
        <f>I932-H932</f>
        <v>-397.87072771042335</v>
      </c>
      <c r="K932" s="2">
        <f t="shared" si="119"/>
        <v>397.87072771042335</v>
      </c>
      <c r="L932" s="14">
        <f>C932/B932</f>
        <v>1.0928343100692595</v>
      </c>
      <c r="M932" s="14">
        <f t="shared" si="122"/>
        <v>1.0965121277372789</v>
      </c>
      <c r="N932" s="14">
        <f t="shared" si="126"/>
        <v>1.0944072947486219</v>
      </c>
      <c r="O932" s="14">
        <f t="shared" si="118"/>
        <v>1.0936131734040564</v>
      </c>
      <c r="P932" s="14">
        <f t="shared" si="120"/>
        <v>1.0923558905141371</v>
      </c>
      <c r="Q932" s="4" t="str">
        <f t="shared" si="125"/>
        <v>OVER</v>
      </c>
      <c r="R932" s="4" t="str">
        <f t="shared" si="125"/>
        <v>OVER</v>
      </c>
      <c r="S932" s="4" t="str">
        <f t="shared" si="123"/>
        <v>UNDER</v>
      </c>
      <c r="T932" s="4" t="str">
        <f t="shared" si="123"/>
        <v>OVER</v>
      </c>
      <c r="U932" s="2">
        <f>IF(Q932="OVER",$J932,$K932)</f>
        <v>-397.87072771042335</v>
      </c>
      <c r="V932" s="2">
        <f>IF(R932="OVER",$J932,$K932)</f>
        <v>-397.87072771042335</v>
      </c>
      <c r="W932" s="2">
        <f>IF(S932="OVER",$J932,$K932)</f>
        <v>397.87072771042335</v>
      </c>
      <c r="X932" s="2">
        <f>IF(T932="OVER",$J932,$K932)</f>
        <v>-397.87072771042335</v>
      </c>
      <c r="Y932" s="9">
        <f t="shared" si="124"/>
        <v>-41138.311189170417</v>
      </c>
      <c r="Z932" s="9">
        <f t="shared" si="124"/>
        <v>-39630.589979218305</v>
      </c>
      <c r="AA932" s="9">
        <f t="shared" si="124"/>
        <v>53478.291449171011</v>
      </c>
      <c r="AB932" s="9">
        <f t="shared" si="121"/>
        <v>21561.137262448792</v>
      </c>
    </row>
    <row r="933" spans="1:28" x14ac:dyDescent="0.3">
      <c r="A933" s="1">
        <v>45770</v>
      </c>
      <c r="B933" s="2">
        <v>75.91</v>
      </c>
      <c r="C933" s="2">
        <v>83.02</v>
      </c>
      <c r="D933" s="9">
        <f>B933-B932</f>
        <v>0.82999999999999829</v>
      </c>
      <c r="E933" s="9">
        <f>C933-C932</f>
        <v>0.96999999999999886</v>
      </c>
      <c r="F933" s="3">
        <f>F$1/B933</f>
        <v>1317.3494928204452</v>
      </c>
      <c r="G933" s="3">
        <f>F$1/C933</f>
        <v>1204.5290291496026</v>
      </c>
      <c r="H933" s="2">
        <f>D933*F932</f>
        <v>1105.4874800213083</v>
      </c>
      <c r="I933" s="2">
        <f>E933*G932</f>
        <v>1182.2059719683105</v>
      </c>
      <c r="J933" s="2">
        <f>I933-H933</f>
        <v>76.718491947002121</v>
      </c>
      <c r="K933" s="2">
        <f t="shared" si="119"/>
        <v>-76.718491947002121</v>
      </c>
      <c r="L933" s="14">
        <f>C933/B933</f>
        <v>1.0936635489395337</v>
      </c>
      <c r="M933" s="14">
        <f t="shared" si="122"/>
        <v>1.0959703278858941</v>
      </c>
      <c r="N933" s="14">
        <f t="shared" si="126"/>
        <v>1.0945565470212169</v>
      </c>
      <c r="O933" s="14">
        <f t="shared" si="118"/>
        <v>1.0936006805369791</v>
      </c>
      <c r="P933" s="14">
        <f t="shared" si="120"/>
        <v>1.0923720548174829</v>
      </c>
      <c r="Q933" s="4" t="str">
        <f t="shared" si="125"/>
        <v>UNDER</v>
      </c>
      <c r="R933" s="4" t="str">
        <f t="shared" si="125"/>
        <v>UNDER</v>
      </c>
      <c r="S933" s="4" t="str">
        <f t="shared" si="123"/>
        <v>OVER</v>
      </c>
      <c r="T933" s="4" t="str">
        <f t="shared" si="123"/>
        <v>OVER</v>
      </c>
      <c r="U933" s="2">
        <f>IF(Q933="OVER",$J933,$K933)</f>
        <v>-76.718491947002121</v>
      </c>
      <c r="V933" s="2">
        <f>IF(R933="OVER",$J933,$K933)</f>
        <v>-76.718491947002121</v>
      </c>
      <c r="W933" s="2">
        <f>IF(S933="OVER",$J933,$K933)</f>
        <v>76.718491947002121</v>
      </c>
      <c r="X933" s="2">
        <f>IF(T933="OVER",$J933,$K933)</f>
        <v>76.718491947002121</v>
      </c>
      <c r="Y933" s="9">
        <f t="shared" si="124"/>
        <v>-41215.029681117419</v>
      </c>
      <c r="Z933" s="9">
        <f t="shared" si="124"/>
        <v>-39707.308471165306</v>
      </c>
      <c r="AA933" s="9">
        <f t="shared" si="124"/>
        <v>53555.009941118013</v>
      </c>
      <c r="AB933" s="9">
        <f t="shared" si="121"/>
        <v>21637.855754395794</v>
      </c>
    </row>
    <row r="934" spans="1:28" x14ac:dyDescent="0.3">
      <c r="A934" s="1">
        <v>45771</v>
      </c>
      <c r="B934" s="2">
        <v>76.680000000000007</v>
      </c>
      <c r="C934" s="2">
        <v>83.72</v>
      </c>
      <c r="D934" s="9">
        <f>B934-B933</f>
        <v>0.77000000000001023</v>
      </c>
      <c r="E934" s="9">
        <f>C934-C933</f>
        <v>0.70000000000000284</v>
      </c>
      <c r="F934" s="3">
        <f>F$1/B934</f>
        <v>1304.1210224308816</v>
      </c>
      <c r="G934" s="3">
        <f>F$1/C934</f>
        <v>1194.4577161968466</v>
      </c>
      <c r="H934" s="2">
        <f>D934*F933</f>
        <v>1014.3591094717563</v>
      </c>
      <c r="I934" s="2">
        <f>E934*G933</f>
        <v>843.1703204047252</v>
      </c>
      <c r="J934" s="2">
        <f>I934-H934</f>
        <v>-171.18878906703105</v>
      </c>
      <c r="K934" s="2">
        <f t="shared" si="119"/>
        <v>171.18878906703105</v>
      </c>
      <c r="L934" s="14">
        <f>C934/B934</f>
        <v>1.0918101199791339</v>
      </c>
      <c r="M934" s="14">
        <f t="shared" si="122"/>
        <v>1.0958732650174974</v>
      </c>
      <c r="N934" s="14">
        <f t="shared" si="126"/>
        <v>1.0946370734910023</v>
      </c>
      <c r="O934" s="14">
        <f t="shared" si="118"/>
        <v>1.0935494327373587</v>
      </c>
      <c r="P934" s="14">
        <f t="shared" si="120"/>
        <v>1.0923748631942347</v>
      </c>
      <c r="Q934" s="4" t="str">
        <f t="shared" si="125"/>
        <v>UNDER</v>
      </c>
      <c r="R934" s="4" t="str">
        <f t="shared" si="125"/>
        <v>UNDER</v>
      </c>
      <c r="S934" s="4" t="str">
        <f t="shared" si="123"/>
        <v>UNDER</v>
      </c>
      <c r="T934" s="4" t="str">
        <f t="shared" si="123"/>
        <v>UNDER</v>
      </c>
      <c r="U934" s="2">
        <f>IF(Q934="OVER",$J934,$K934)</f>
        <v>171.18878906703105</v>
      </c>
      <c r="V934" s="2">
        <f>IF(R934="OVER",$J934,$K934)</f>
        <v>171.18878906703105</v>
      </c>
      <c r="W934" s="2">
        <f>IF(S934="OVER",$J934,$K934)</f>
        <v>171.18878906703105</v>
      </c>
      <c r="X934" s="2">
        <f>IF(T934="OVER",$J934,$K934)</f>
        <v>171.18878906703105</v>
      </c>
      <c r="Y934" s="9">
        <f t="shared" si="124"/>
        <v>-41043.840892050386</v>
      </c>
      <c r="Z934" s="9">
        <f t="shared" si="124"/>
        <v>-39536.119682098273</v>
      </c>
      <c r="AA934" s="9">
        <f t="shared" si="124"/>
        <v>53726.198730185046</v>
      </c>
      <c r="AB934" s="9">
        <f t="shared" si="121"/>
        <v>21809.044543462824</v>
      </c>
    </row>
    <row r="935" spans="1:28" x14ac:dyDescent="0.3">
      <c r="A935" s="1">
        <v>45772</v>
      </c>
      <c r="B935" s="2">
        <v>77.2</v>
      </c>
      <c r="C935" s="2">
        <v>84.21</v>
      </c>
      <c r="D935" s="9">
        <f>B935-B934</f>
        <v>0.51999999999999602</v>
      </c>
      <c r="E935" s="9">
        <f>C935-C934</f>
        <v>0.48999999999999488</v>
      </c>
      <c r="F935" s="3">
        <f>F$1/B935</f>
        <v>1295.3367875647668</v>
      </c>
      <c r="G935" s="3">
        <f>F$1/C935</f>
        <v>1187.507421921387</v>
      </c>
      <c r="H935" s="2">
        <f>D935*F934</f>
        <v>678.14293166405321</v>
      </c>
      <c r="I935" s="2">
        <f>E935*G934</f>
        <v>585.28428093644868</v>
      </c>
      <c r="J935" s="2">
        <f>I935-H935</f>
        <v>-92.858650727604527</v>
      </c>
      <c r="K935" s="2">
        <f t="shared" si="119"/>
        <v>92.858650727604527</v>
      </c>
      <c r="L935" s="14">
        <f>C935/B935</f>
        <v>1.0908031088082901</v>
      </c>
      <c r="M935" s="14">
        <f t="shared" si="122"/>
        <v>1.0945223643993531</v>
      </c>
      <c r="N935" s="14">
        <f t="shared" si="126"/>
        <v>1.0945499795740905</v>
      </c>
      <c r="O935" s="14">
        <f t="shared" si="118"/>
        <v>1.0934866167799924</v>
      </c>
      <c r="P935" s="14">
        <f t="shared" si="120"/>
        <v>1.0923645039115502</v>
      </c>
      <c r="Q935" s="4" t="str">
        <f t="shared" si="125"/>
        <v>UNDER</v>
      </c>
      <c r="R935" s="4" t="str">
        <f t="shared" si="125"/>
        <v>UNDER</v>
      </c>
      <c r="S935" s="4" t="str">
        <f t="shared" si="123"/>
        <v>UNDER</v>
      </c>
      <c r="T935" s="4" t="str">
        <f t="shared" si="123"/>
        <v>UNDER</v>
      </c>
      <c r="U935" s="2">
        <f>IF(Q935="OVER",$J935,$K935)</f>
        <v>92.858650727604527</v>
      </c>
      <c r="V935" s="2">
        <f>IF(R935="OVER",$J935,$K935)</f>
        <v>92.858650727604527</v>
      </c>
      <c r="W935" s="2">
        <f>IF(S935="OVER",$J935,$K935)</f>
        <v>92.858650727604527</v>
      </c>
      <c r="X935" s="2">
        <f>IF(T935="OVER",$J935,$K935)</f>
        <v>92.858650727604527</v>
      </c>
      <c r="Y935" s="9">
        <f t="shared" si="124"/>
        <v>-40950.982241322781</v>
      </c>
      <c r="Z935" s="9">
        <f t="shared" si="124"/>
        <v>-39443.261031370668</v>
      </c>
      <c r="AA935" s="9">
        <f t="shared" si="124"/>
        <v>53819.057380912651</v>
      </c>
      <c r="AB935" s="9">
        <f t="shared" si="121"/>
        <v>21901.903194190429</v>
      </c>
    </row>
    <row r="936" spans="1:28" x14ac:dyDescent="0.3">
      <c r="A936" s="1">
        <v>45775</v>
      </c>
      <c r="B936" s="2">
        <v>77.45</v>
      </c>
      <c r="C936" s="2">
        <v>84.45</v>
      </c>
      <c r="D936" s="9">
        <f>B936-B935</f>
        <v>0.25</v>
      </c>
      <c r="E936" s="9">
        <f>C936-C935</f>
        <v>0.24000000000000909</v>
      </c>
      <c r="F936" s="3">
        <f>F$1/B936</f>
        <v>1291.1555842479017</v>
      </c>
      <c r="G936" s="3">
        <f>F$1/C936</f>
        <v>1184.1326228537596</v>
      </c>
      <c r="H936" s="2">
        <f>D936*F935</f>
        <v>323.83419689119171</v>
      </c>
      <c r="I936" s="2">
        <f>E936*G935</f>
        <v>285.00178126114372</v>
      </c>
      <c r="J936" s="2">
        <f>I936-H936</f>
        <v>-38.83241563004799</v>
      </c>
      <c r="K936" s="2">
        <f t="shared" si="119"/>
        <v>38.83241563004799</v>
      </c>
      <c r="L936" s="14">
        <f>C936/B936</f>
        <v>1.0903808908973531</v>
      </c>
      <c r="M936" s="14">
        <f t="shared" si="122"/>
        <v>1.093845779576045</v>
      </c>
      <c r="N936" s="14">
        <f t="shared" si="126"/>
        <v>1.0944999353369487</v>
      </c>
      <c r="O936" s="14">
        <f t="shared" si="118"/>
        <v>1.093431416932013</v>
      </c>
      <c r="P936" s="14">
        <f t="shared" si="120"/>
        <v>1.0923614235552115</v>
      </c>
      <c r="Q936" s="4" t="str">
        <f t="shared" si="125"/>
        <v>UNDER</v>
      </c>
      <c r="R936" s="4" t="str">
        <f t="shared" si="125"/>
        <v>UNDER</v>
      </c>
      <c r="S936" s="4" t="str">
        <f t="shared" si="123"/>
        <v>UNDER</v>
      </c>
      <c r="T936" s="4" t="str">
        <f t="shared" si="123"/>
        <v>UNDER</v>
      </c>
      <c r="U936" s="2">
        <f>IF(Q936="OVER",$J936,$K936)</f>
        <v>38.83241563004799</v>
      </c>
      <c r="V936" s="2">
        <f>IF(R936="OVER",$J936,$K936)</f>
        <v>38.83241563004799</v>
      </c>
      <c r="W936" s="2">
        <f>IF(S936="OVER",$J936,$K936)</f>
        <v>38.83241563004799</v>
      </c>
      <c r="X936" s="2">
        <f>IF(T936="OVER",$J936,$K936)</f>
        <v>38.83241563004799</v>
      </c>
      <c r="Y936" s="9">
        <f t="shared" si="124"/>
        <v>-40912.14982569273</v>
      </c>
      <c r="Z936" s="9">
        <f t="shared" si="124"/>
        <v>-39404.428615740617</v>
      </c>
      <c r="AA936" s="9">
        <f t="shared" si="124"/>
        <v>53857.889796542702</v>
      </c>
      <c r="AB936" s="9">
        <f t="shared" si="121"/>
        <v>21940.735609820476</v>
      </c>
    </row>
    <row r="937" spans="1:28" x14ac:dyDescent="0.3">
      <c r="A937" s="1">
        <v>45776</v>
      </c>
      <c r="B937" s="2">
        <v>77.7</v>
      </c>
      <c r="C937" s="2">
        <v>84.93</v>
      </c>
      <c r="D937" s="9">
        <f>B937-B936</f>
        <v>0.25</v>
      </c>
      <c r="E937" s="9">
        <f>C937-C936</f>
        <v>0.48000000000000398</v>
      </c>
      <c r="F937" s="3">
        <f>F$1/B937</f>
        <v>1287.001287001287</v>
      </c>
      <c r="G937" s="3">
        <f>F$1/C937</f>
        <v>1177.4402449075708</v>
      </c>
      <c r="H937" s="2">
        <f>D937*F936</f>
        <v>322.78889606197544</v>
      </c>
      <c r="I937" s="2">
        <f>E937*G936</f>
        <v>568.38365896980929</v>
      </c>
      <c r="J937" s="2">
        <f>I937-H937</f>
        <v>245.59476290783385</v>
      </c>
      <c r="K937" s="2">
        <f t="shared" si="119"/>
        <v>-245.59476290783385</v>
      </c>
      <c r="L937" s="14">
        <f>C937/B937</f>
        <v>1.093050193050193</v>
      </c>
      <c r="M937" s="14">
        <f t="shared" si="122"/>
        <v>1.0936365745117675</v>
      </c>
      <c r="N937" s="14">
        <f t="shared" si="126"/>
        <v>1.0945909727889882</v>
      </c>
      <c r="O937" s="14">
        <f t="shared" si="118"/>
        <v>1.093445396690705</v>
      </c>
      <c r="P937" s="14">
        <f t="shared" si="120"/>
        <v>1.0923736222346698</v>
      </c>
      <c r="Q937" s="4" t="str">
        <f t="shared" si="125"/>
        <v>UNDER</v>
      </c>
      <c r="R937" s="4" t="str">
        <f t="shared" si="125"/>
        <v>UNDER</v>
      </c>
      <c r="S937" s="4" t="str">
        <f t="shared" si="123"/>
        <v>UNDER</v>
      </c>
      <c r="T937" s="4" t="str">
        <f t="shared" si="123"/>
        <v>OVER</v>
      </c>
      <c r="U937" s="2">
        <f>IF(Q937="OVER",$J937,$K937)</f>
        <v>-245.59476290783385</v>
      </c>
      <c r="V937" s="2">
        <f>IF(R937="OVER",$J937,$K937)</f>
        <v>-245.59476290783385</v>
      </c>
      <c r="W937" s="2">
        <f>IF(S937="OVER",$J937,$K937)</f>
        <v>-245.59476290783385</v>
      </c>
      <c r="X937" s="2">
        <f>IF(T937="OVER",$J937,$K937)</f>
        <v>245.59476290783385</v>
      </c>
      <c r="Y937" s="9">
        <f t="shared" si="124"/>
        <v>-41157.744588600566</v>
      </c>
      <c r="Z937" s="9">
        <f t="shared" si="124"/>
        <v>-39650.023378648453</v>
      </c>
      <c r="AA937" s="9">
        <f t="shared" si="124"/>
        <v>53612.295033634866</v>
      </c>
      <c r="AB937" s="9">
        <f t="shared" si="121"/>
        <v>22186.330372728309</v>
      </c>
    </row>
    <row r="938" spans="1:28" x14ac:dyDescent="0.3">
      <c r="A938" s="1">
        <v>45777</v>
      </c>
      <c r="B938" s="2">
        <v>77.53</v>
      </c>
      <c r="C938" s="2">
        <v>84.76</v>
      </c>
      <c r="D938" s="9">
        <f>B938-B937</f>
        <v>-0.17000000000000171</v>
      </c>
      <c r="E938" s="9">
        <f>C938-C937</f>
        <v>-0.17000000000000171</v>
      </c>
      <c r="F938" s="3">
        <f>F$1/B938</f>
        <v>1289.8232942086934</v>
      </c>
      <c r="G938" s="3">
        <f>F$1/C938</f>
        <v>1179.8017932987257</v>
      </c>
      <c r="H938" s="2">
        <f>D938*F937</f>
        <v>-218.79021879022099</v>
      </c>
      <c r="I938" s="2">
        <f>E938*G937</f>
        <v>-200.16484163428905</v>
      </c>
      <c r="J938" s="2">
        <f>I938-H938</f>
        <v>18.625377155931943</v>
      </c>
      <c r="K938" s="2">
        <f t="shared" si="119"/>
        <v>-18.625377155931943</v>
      </c>
      <c r="L938" s="14">
        <f>C938/B938</f>
        <v>1.0932542241712886</v>
      </c>
      <c r="M938" s="14">
        <f t="shared" si="122"/>
        <v>1.0933960805301826</v>
      </c>
      <c r="N938" s="14">
        <f t="shared" si="126"/>
        <v>1.0947277657896861</v>
      </c>
      <c r="O938" s="14">
        <f t="shared" si="118"/>
        <v>1.0934252151775627</v>
      </c>
      <c r="P938" s="14">
        <f t="shared" si="120"/>
        <v>1.0923884997457372</v>
      </c>
      <c r="Q938" s="4" t="str">
        <f t="shared" si="125"/>
        <v>UNDER</v>
      </c>
      <c r="R938" s="4" t="str">
        <f t="shared" si="125"/>
        <v>UNDER</v>
      </c>
      <c r="S938" s="4" t="str">
        <f t="shared" si="123"/>
        <v>UNDER</v>
      </c>
      <c r="T938" s="4" t="str">
        <f t="shared" si="123"/>
        <v>OVER</v>
      </c>
      <c r="U938" s="2">
        <f>IF(Q938="OVER",$J938,$K938)</f>
        <v>-18.625377155931943</v>
      </c>
      <c r="V938" s="2">
        <f>IF(R938="OVER",$J938,$K938)</f>
        <v>-18.625377155931943</v>
      </c>
      <c r="W938" s="2">
        <f>IF(S938="OVER",$J938,$K938)</f>
        <v>-18.625377155931943</v>
      </c>
      <c r="X938" s="2">
        <f>IF(T938="OVER",$J938,$K938)</f>
        <v>18.625377155931943</v>
      </c>
      <c r="Y938" s="9">
        <f t="shared" si="124"/>
        <v>-41176.369965756501</v>
      </c>
      <c r="Z938" s="9">
        <f t="shared" si="124"/>
        <v>-39668.648755804388</v>
      </c>
      <c r="AA938" s="9">
        <f t="shared" si="124"/>
        <v>53593.669656478931</v>
      </c>
      <c r="AB938" s="9">
        <f t="shared" si="121"/>
        <v>22204.955749884241</v>
      </c>
    </row>
    <row r="939" spans="1:28" x14ac:dyDescent="0.3">
      <c r="A939" s="1">
        <v>45778</v>
      </c>
      <c r="B939" s="2">
        <v>77.739999999999995</v>
      </c>
      <c r="C939" s="2">
        <v>84.92</v>
      </c>
      <c r="D939" s="9">
        <f>B939-B938</f>
        <v>0.20999999999999375</v>
      </c>
      <c r="E939" s="9">
        <f>C939-C938</f>
        <v>0.15999999999999659</v>
      </c>
      <c r="F939" s="3">
        <f>F$1/B939</f>
        <v>1286.3390789812195</v>
      </c>
      <c r="G939" s="3">
        <f>F$1/C939</f>
        <v>1177.5788977861516</v>
      </c>
      <c r="H939" s="2">
        <f>D939*F938</f>
        <v>270.86289178381753</v>
      </c>
      <c r="I939" s="2">
        <f>E939*G938</f>
        <v>188.76828692779208</v>
      </c>
      <c r="J939" s="2">
        <f>I939-H939</f>
        <v>-82.094604856025455</v>
      </c>
      <c r="K939" s="2">
        <f t="shared" si="119"/>
        <v>82.094604856025455</v>
      </c>
      <c r="L939" s="14">
        <f>C939/B939</f>
        <v>1.0923591458708517</v>
      </c>
      <c r="M939" s="14">
        <f t="shared" si="122"/>
        <v>1.0929619614472341</v>
      </c>
      <c r="N939" s="14">
        <f t="shared" si="126"/>
        <v>1.0948608667539506</v>
      </c>
      <c r="O939" s="14">
        <f t="shared" si="118"/>
        <v>1.0934284788433797</v>
      </c>
      <c r="P939" s="14">
        <f t="shared" si="120"/>
        <v>1.09239143041943</v>
      </c>
      <c r="Q939" s="4" t="str">
        <f t="shared" si="125"/>
        <v>UNDER</v>
      </c>
      <c r="R939" s="4" t="str">
        <f t="shared" si="125"/>
        <v>UNDER</v>
      </c>
      <c r="S939" s="4" t="str">
        <f t="shared" si="123"/>
        <v>UNDER</v>
      </c>
      <c r="T939" s="4" t="str">
        <f t="shared" si="123"/>
        <v>UNDER</v>
      </c>
      <c r="U939" s="2">
        <f>IF(Q939="OVER",$J939,$K939)</f>
        <v>82.094604856025455</v>
      </c>
      <c r="V939" s="2">
        <f>IF(R939="OVER",$J939,$K939)</f>
        <v>82.094604856025455</v>
      </c>
      <c r="W939" s="2">
        <f>IF(S939="OVER",$J939,$K939)</f>
        <v>82.094604856025455</v>
      </c>
      <c r="X939" s="2">
        <f>IF(T939="OVER",$J939,$K939)</f>
        <v>82.094604856025455</v>
      </c>
      <c r="Y939" s="9">
        <f t="shared" si="124"/>
        <v>-41094.275360900472</v>
      </c>
      <c r="Z939" s="9">
        <f t="shared" si="124"/>
        <v>-39586.554150948359</v>
      </c>
      <c r="AA939" s="9">
        <f t="shared" si="124"/>
        <v>53675.76426133496</v>
      </c>
      <c r="AB939" s="9">
        <f t="shared" si="121"/>
        <v>22287.050354740266</v>
      </c>
    </row>
    <row r="940" spans="1:28" x14ac:dyDescent="0.3">
      <c r="A940" s="1">
        <v>45779</v>
      </c>
      <c r="B940" s="2">
        <v>78.52</v>
      </c>
      <c r="C940" s="2">
        <v>85.91</v>
      </c>
      <c r="D940" s="9">
        <f>B940-B939</f>
        <v>0.78000000000000114</v>
      </c>
      <c r="E940" s="9">
        <f>C940-C939</f>
        <v>0.98999999999999488</v>
      </c>
      <c r="F940" s="3">
        <f>F$1/B940</f>
        <v>1273.560876209883</v>
      </c>
      <c r="G940" s="3">
        <f>F$1/C940</f>
        <v>1164.0088464672333</v>
      </c>
      <c r="H940" s="2">
        <f>D940*F939</f>
        <v>1003.3444816053526</v>
      </c>
      <c r="I940" s="2">
        <f>E940*G939</f>
        <v>1165.8031088082842</v>
      </c>
      <c r="J940" s="2">
        <f>I940-H940</f>
        <v>162.45862720293155</v>
      </c>
      <c r="K940" s="2">
        <f t="shared" si="119"/>
        <v>-162.45862720293155</v>
      </c>
      <c r="L940" s="14">
        <f>C940/B940</f>
        <v>1.0941161487519104</v>
      </c>
      <c r="M940" s="14">
        <f t="shared" si="122"/>
        <v>1.0929403725169846</v>
      </c>
      <c r="N940" s="14">
        <f t="shared" si="126"/>
        <v>1.0949356852685515</v>
      </c>
      <c r="O940" s="14">
        <f t="shared" si="118"/>
        <v>1.0934240560221766</v>
      </c>
      <c r="P940" s="14">
        <f t="shared" si="120"/>
        <v>1.092392104067458</v>
      </c>
      <c r="Q940" s="4" t="str">
        <f t="shared" si="125"/>
        <v>UNDER</v>
      </c>
      <c r="R940" s="4" t="str">
        <f t="shared" si="125"/>
        <v>UNDER</v>
      </c>
      <c r="S940" s="4" t="str">
        <f t="shared" si="123"/>
        <v>OVER</v>
      </c>
      <c r="T940" s="4" t="str">
        <f t="shared" si="123"/>
        <v>OVER</v>
      </c>
      <c r="U940" s="2">
        <f>IF(Q940="OVER",$J940,$K940)</f>
        <v>-162.45862720293155</v>
      </c>
      <c r="V940" s="2">
        <f>IF(R940="OVER",$J940,$K940)</f>
        <v>-162.45862720293155</v>
      </c>
      <c r="W940" s="2">
        <f>IF(S940="OVER",$J940,$K940)</f>
        <v>162.45862720293155</v>
      </c>
      <c r="X940" s="2">
        <f>IF(T940="OVER",$J940,$K940)</f>
        <v>162.45862720293155</v>
      </c>
      <c r="Y940" s="9">
        <f t="shared" si="124"/>
        <v>-41256.733988103406</v>
      </c>
      <c r="Z940" s="9">
        <f t="shared" si="124"/>
        <v>-39749.012778151293</v>
      </c>
      <c r="AA940" s="9">
        <f t="shared" si="124"/>
        <v>53838.222888537894</v>
      </c>
      <c r="AB940" s="9">
        <f t="shared" si="121"/>
        <v>22449.508981943196</v>
      </c>
    </row>
    <row r="941" spans="1:28" x14ac:dyDescent="0.3">
      <c r="A941" s="1">
        <v>45782</v>
      </c>
      <c r="B941" s="2">
        <v>78.239999999999995</v>
      </c>
      <c r="C941" s="2">
        <v>85.59</v>
      </c>
      <c r="D941" s="9">
        <f>B941-B940</f>
        <v>-0.28000000000000114</v>
      </c>
      <c r="E941" s="9">
        <f>C941-C940</f>
        <v>-0.31999999999999318</v>
      </c>
      <c r="F941" s="3">
        <f>F$1/B941</f>
        <v>1278.1186094069531</v>
      </c>
      <c r="G941" s="3">
        <f>F$1/C941</f>
        <v>1168.3607898118939</v>
      </c>
      <c r="H941" s="2">
        <f>D941*F940</f>
        <v>-356.59704533876868</v>
      </c>
      <c r="I941" s="2">
        <f>E941*G940</f>
        <v>-372.4828308695067</v>
      </c>
      <c r="J941" s="2">
        <f>I941-H941</f>
        <v>-15.885785530738019</v>
      </c>
      <c r="K941" s="2">
        <f t="shared" si="119"/>
        <v>15.885785530738019</v>
      </c>
      <c r="L941" s="14">
        <f>C941/B941</f>
        <v>1.0939417177914113</v>
      </c>
      <c r="M941" s="14">
        <f t="shared" si="122"/>
        <v>1.0926213408329226</v>
      </c>
      <c r="N941" s="14">
        <f t="shared" si="126"/>
        <v>1.0947240796848281</v>
      </c>
      <c r="O941" s="14">
        <f t="shared" si="118"/>
        <v>1.0934273426128864</v>
      </c>
      <c r="P941" s="14">
        <f t="shared" si="120"/>
        <v>1.0923861399192583</v>
      </c>
      <c r="Q941" s="4" t="str">
        <f t="shared" si="125"/>
        <v>OVER</v>
      </c>
      <c r="R941" s="4" t="str">
        <f t="shared" si="125"/>
        <v>UNDER</v>
      </c>
      <c r="S941" s="4" t="str">
        <f t="shared" si="123"/>
        <v>OVER</v>
      </c>
      <c r="T941" s="4" t="str">
        <f t="shared" si="123"/>
        <v>OVER</v>
      </c>
      <c r="U941" s="2">
        <f>IF(Q941="OVER",$J941,$K941)</f>
        <v>-15.885785530738019</v>
      </c>
      <c r="V941" s="2">
        <f>IF(R941="OVER",$J941,$K941)</f>
        <v>15.885785530738019</v>
      </c>
      <c r="W941" s="2">
        <f>IF(S941="OVER",$J941,$K941)</f>
        <v>-15.885785530738019</v>
      </c>
      <c r="X941" s="2">
        <f>IF(T941="OVER",$J941,$K941)</f>
        <v>-15.885785530738019</v>
      </c>
      <c r="Y941" s="9">
        <f t="shared" si="124"/>
        <v>-41272.619773634142</v>
      </c>
      <c r="Z941" s="9">
        <f t="shared" si="124"/>
        <v>-39733.126992620557</v>
      </c>
      <c r="AA941" s="9">
        <f t="shared" si="124"/>
        <v>53822.337103007158</v>
      </c>
      <c r="AB941" s="9">
        <f t="shared" si="121"/>
        <v>22433.623196412456</v>
      </c>
    </row>
    <row r="942" spans="1:28" x14ac:dyDescent="0.3">
      <c r="A942" s="1">
        <v>45783</v>
      </c>
      <c r="B942" s="2">
        <v>78.23</v>
      </c>
      <c r="C942" s="2">
        <v>85.31</v>
      </c>
      <c r="D942" s="9">
        <f>B942-B941</f>
        <v>-9.9999999999909051E-3</v>
      </c>
      <c r="E942" s="9">
        <f>C942-C941</f>
        <v>-0.28000000000000114</v>
      </c>
      <c r="F942" s="3">
        <f>F$1/B942</f>
        <v>1278.2819890067749</v>
      </c>
      <c r="G942" s="3">
        <f>F$1/C942</f>
        <v>1172.1955222131051</v>
      </c>
      <c r="H942" s="2">
        <f>D942*F941</f>
        <v>-12.781186094057906</v>
      </c>
      <c r="I942" s="2">
        <f>E942*G941</f>
        <v>-327.14102114733163</v>
      </c>
      <c r="J942" s="2">
        <f>I942-H942</f>
        <v>-314.35983505327374</v>
      </c>
      <c r="K942" s="2">
        <f t="shared" si="119"/>
        <v>314.35983505327374</v>
      </c>
      <c r="L942" s="14">
        <f>C942/B942</f>
        <v>1.0905023648216796</v>
      </c>
      <c r="M942" s="14">
        <f t="shared" si="122"/>
        <v>1.0923881463081646</v>
      </c>
      <c r="N942" s="14">
        <f t="shared" si="126"/>
        <v>1.0944501370227218</v>
      </c>
      <c r="O942" s="14">
        <f t="shared" si="118"/>
        <v>1.093376103654591</v>
      </c>
      <c r="P942" s="14">
        <f t="shared" si="120"/>
        <v>1.0923838575975586</v>
      </c>
      <c r="Q942" s="4" t="str">
        <f t="shared" si="125"/>
        <v>OVER</v>
      </c>
      <c r="R942" s="4" t="str">
        <f t="shared" si="125"/>
        <v>UNDER</v>
      </c>
      <c r="S942" s="4" t="str">
        <f t="shared" si="123"/>
        <v>UNDER</v>
      </c>
      <c r="T942" s="4" t="str">
        <f t="shared" si="123"/>
        <v>UNDER</v>
      </c>
      <c r="U942" s="2">
        <f>IF(Q942="OVER",$J942,$K942)</f>
        <v>-314.35983505327374</v>
      </c>
      <c r="V942" s="2">
        <f>IF(R942="OVER",$J942,$K942)</f>
        <v>314.35983505327374</v>
      </c>
      <c r="W942" s="2">
        <f>IF(S942="OVER",$J942,$K942)</f>
        <v>314.35983505327374</v>
      </c>
      <c r="X942" s="2">
        <f>IF(T942="OVER",$J942,$K942)</f>
        <v>314.35983505327374</v>
      </c>
      <c r="Y942" s="9">
        <f t="shared" si="124"/>
        <v>-41586.979608687412</v>
      </c>
      <c r="Z942" s="9">
        <f t="shared" si="124"/>
        <v>-39418.767157567287</v>
      </c>
      <c r="AA942" s="9">
        <f t="shared" si="124"/>
        <v>54136.696938060428</v>
      </c>
      <c r="AB942" s="9">
        <f t="shared" si="121"/>
        <v>22747.98303146573</v>
      </c>
    </row>
    <row r="943" spans="1:28" x14ac:dyDescent="0.3">
      <c r="A943" s="1">
        <v>45784</v>
      </c>
      <c r="B943" s="2">
        <v>78.17</v>
      </c>
      <c r="C943" s="2">
        <v>85.23</v>
      </c>
      <c r="D943" s="9">
        <f>B943-B942</f>
        <v>-6.0000000000002274E-2</v>
      </c>
      <c r="E943" s="9">
        <f>C943-C942</f>
        <v>-7.9999999999998295E-2</v>
      </c>
      <c r="F943" s="3">
        <f>F$1/B943</f>
        <v>1279.263144428809</v>
      </c>
      <c r="G943" s="3">
        <f>F$1/C943</f>
        <v>1173.2957878681216</v>
      </c>
      <c r="H943" s="2">
        <f>D943*F942</f>
        <v>-76.696919340409394</v>
      </c>
      <c r="I943" s="2">
        <f>E943*G942</f>
        <v>-93.775641777046403</v>
      </c>
      <c r="J943" s="2">
        <f>I943-H943</f>
        <v>-17.078722436637008</v>
      </c>
      <c r="K943" s="2">
        <f t="shared" si="119"/>
        <v>17.078722436637008</v>
      </c>
      <c r="L943" s="14">
        <f>C943/B943</f>
        <v>1.090315977996674</v>
      </c>
      <c r="M943" s="14">
        <f t="shared" si="122"/>
        <v>1.0920533892138786</v>
      </c>
      <c r="N943" s="14">
        <f t="shared" si="126"/>
        <v>1.0940118585498866</v>
      </c>
      <c r="O943" s="14">
        <f t="shared" si="118"/>
        <v>1.0933312297152864</v>
      </c>
      <c r="P943" s="14">
        <f t="shared" si="120"/>
        <v>1.0923782204290402</v>
      </c>
      <c r="Q943" s="4" t="str">
        <f t="shared" si="125"/>
        <v>UNDER</v>
      </c>
      <c r="R943" s="4" t="str">
        <f t="shared" si="125"/>
        <v>UNDER</v>
      </c>
      <c r="S943" s="4" t="str">
        <f t="shared" si="123"/>
        <v>UNDER</v>
      </c>
      <c r="T943" s="4" t="str">
        <f t="shared" si="123"/>
        <v>UNDER</v>
      </c>
      <c r="U943" s="2">
        <f>IF(Q943="OVER",$J943,$K943)</f>
        <v>17.078722436637008</v>
      </c>
      <c r="V943" s="2">
        <f>IF(R943="OVER",$J943,$K943)</f>
        <v>17.078722436637008</v>
      </c>
      <c r="W943" s="2">
        <f>IF(S943="OVER",$J943,$K943)</f>
        <v>17.078722436637008</v>
      </c>
      <c r="X943" s="2">
        <f>IF(T943="OVER",$J943,$K943)</f>
        <v>17.078722436637008</v>
      </c>
      <c r="Y943" s="9">
        <f t="shared" si="124"/>
        <v>-41569.900886250776</v>
      </c>
      <c r="Z943" s="9">
        <f t="shared" si="124"/>
        <v>-39401.688435130651</v>
      </c>
      <c r="AA943" s="9">
        <f t="shared" si="124"/>
        <v>54153.775660497064</v>
      </c>
      <c r="AB943" s="9">
        <f t="shared" si="121"/>
        <v>22765.061753902366</v>
      </c>
    </row>
    <row r="944" spans="1:28" x14ac:dyDescent="0.3">
      <c r="A944" s="1">
        <v>45785</v>
      </c>
      <c r="B944" s="2">
        <v>78.89</v>
      </c>
      <c r="C944" s="2">
        <v>86.26</v>
      </c>
      <c r="D944" s="9">
        <f>B944-B943</f>
        <v>0.71999999999999886</v>
      </c>
      <c r="E944" s="9">
        <f>C944-C943</f>
        <v>1.0300000000000011</v>
      </c>
      <c r="F944" s="3">
        <f>F$1/B944</f>
        <v>1267.5877804537963</v>
      </c>
      <c r="G944" s="3">
        <f>F$1/C944</f>
        <v>1159.2858798979828</v>
      </c>
      <c r="H944" s="2">
        <f>D944*F943</f>
        <v>921.06946398874106</v>
      </c>
      <c r="I944" s="2">
        <f>E944*G943</f>
        <v>1208.4946615041665</v>
      </c>
      <c r="J944" s="2">
        <f>I944-H944</f>
        <v>287.42519751542545</v>
      </c>
      <c r="K944" s="2">
        <f t="shared" si="119"/>
        <v>-287.42519751542545</v>
      </c>
      <c r="L944" s="14">
        <f>C944/B944</f>
        <v>1.0934212194194448</v>
      </c>
      <c r="M944" s="14">
        <f t="shared" si="122"/>
        <v>1.0922144991579097</v>
      </c>
      <c r="N944" s="14">
        <f t="shared" si="126"/>
        <v>1.0940438820877036</v>
      </c>
      <c r="O944" s="14">
        <f t="shared" si="118"/>
        <v>1.0933405987866758</v>
      </c>
      <c r="P944" s="14">
        <f t="shared" si="120"/>
        <v>1.0923813949950953</v>
      </c>
      <c r="Q944" s="4" t="str">
        <f t="shared" si="125"/>
        <v>UNDER</v>
      </c>
      <c r="R944" s="4" t="str">
        <f t="shared" si="125"/>
        <v>UNDER</v>
      </c>
      <c r="S944" s="4" t="str">
        <f t="shared" si="123"/>
        <v>OVER</v>
      </c>
      <c r="T944" s="4" t="str">
        <f t="shared" si="123"/>
        <v>OVER</v>
      </c>
      <c r="U944" s="2">
        <f>IF(Q944="OVER",$J944,$K944)</f>
        <v>-287.42519751542545</v>
      </c>
      <c r="V944" s="2">
        <f>IF(R944="OVER",$J944,$K944)</f>
        <v>-287.42519751542545</v>
      </c>
      <c r="W944" s="2">
        <f>IF(S944="OVER",$J944,$K944)</f>
        <v>287.42519751542545</v>
      </c>
      <c r="X944" s="2">
        <f>IF(T944="OVER",$J944,$K944)</f>
        <v>287.42519751542545</v>
      </c>
      <c r="Y944" s="9">
        <f t="shared" si="124"/>
        <v>-41857.326083766202</v>
      </c>
      <c r="Z944" s="9">
        <f t="shared" si="124"/>
        <v>-39689.113632646076</v>
      </c>
      <c r="AA944" s="9">
        <f t="shared" si="124"/>
        <v>54441.200858012489</v>
      </c>
      <c r="AB944" s="9">
        <f t="shared" si="121"/>
        <v>23052.486951417792</v>
      </c>
    </row>
    <row r="945" spans="1:28" x14ac:dyDescent="0.3">
      <c r="A945" s="1">
        <v>45786</v>
      </c>
      <c r="B945" s="2">
        <v>78.91</v>
      </c>
      <c r="C945" s="2">
        <v>86.32</v>
      </c>
      <c r="D945" s="9">
        <f>B945-B944</f>
        <v>1.9999999999996021E-2</v>
      </c>
      <c r="E945" s="9">
        <f>C945-C944</f>
        <v>5.9999999999988063E-2</v>
      </c>
      <c r="F945" s="3">
        <f>F$1/B945</f>
        <v>1267.2665061462426</v>
      </c>
      <c r="G945" s="3">
        <f>F$1/C945</f>
        <v>1158.4800741427248</v>
      </c>
      <c r="H945" s="2">
        <f>D945*F944</f>
        <v>25.351755609070882</v>
      </c>
      <c r="I945" s="2">
        <f>E945*G944</f>
        <v>69.557152793865129</v>
      </c>
      <c r="J945" s="2">
        <f>I945-H945</f>
        <v>44.205397184794251</v>
      </c>
      <c r="K945" s="2">
        <f t="shared" si="119"/>
        <v>-44.205397184794251</v>
      </c>
      <c r="L945" s="14">
        <f>C945/B945</f>
        <v>1.0939044481054365</v>
      </c>
      <c r="M945" s="14">
        <f t="shared" si="122"/>
        <v>1.0925246330876246</v>
      </c>
      <c r="N945" s="14">
        <f t="shared" si="126"/>
        <v>1.093523498743489</v>
      </c>
      <c r="O945" s="14">
        <f t="shared" si="118"/>
        <v>1.0933963469176753</v>
      </c>
      <c r="P945" s="14">
        <f t="shared" si="120"/>
        <v>1.0923977901158286</v>
      </c>
      <c r="Q945" s="4" t="str">
        <f t="shared" si="125"/>
        <v>OVER</v>
      </c>
      <c r="R945" s="4" t="str">
        <f t="shared" si="125"/>
        <v>UNDER</v>
      </c>
      <c r="S945" s="4" t="str">
        <f t="shared" si="123"/>
        <v>OVER</v>
      </c>
      <c r="T945" s="4" t="str">
        <f t="shared" si="123"/>
        <v>OVER</v>
      </c>
      <c r="U945" s="2">
        <f>IF(Q945="OVER",$J945,$K945)</f>
        <v>44.205397184794251</v>
      </c>
      <c r="V945" s="2">
        <f>IF(R945="OVER",$J945,$K945)</f>
        <v>-44.205397184794251</v>
      </c>
      <c r="W945" s="2">
        <f>IF(S945="OVER",$J945,$K945)</f>
        <v>44.205397184794251</v>
      </c>
      <c r="X945" s="2">
        <f>IF(T945="OVER",$J945,$K945)</f>
        <v>44.205397184794251</v>
      </c>
      <c r="Y945" s="9">
        <f t="shared" si="124"/>
        <v>-41813.120686581409</v>
      </c>
      <c r="Z945" s="9">
        <f t="shared" si="124"/>
        <v>-39733.319029830869</v>
      </c>
      <c r="AA945" s="9">
        <f t="shared" si="124"/>
        <v>54485.406255197282</v>
      </c>
      <c r="AB945" s="9">
        <f t="shared" si="121"/>
        <v>23096.692348602584</v>
      </c>
    </row>
    <row r="946" spans="1:28" x14ac:dyDescent="0.3">
      <c r="A946" s="1">
        <v>45789</v>
      </c>
      <c r="B946" s="2">
        <v>79.95</v>
      </c>
      <c r="C946" s="2">
        <v>87.21</v>
      </c>
      <c r="D946" s="9">
        <f>B946-B945</f>
        <v>1.0400000000000063</v>
      </c>
      <c r="E946" s="9">
        <f>C946-C945</f>
        <v>0.89000000000000057</v>
      </c>
      <c r="F946" s="3">
        <f>F$1/B946</f>
        <v>1250.7817385866165</v>
      </c>
      <c r="G946" s="3">
        <f>F$1/C946</f>
        <v>1146.6574934067196</v>
      </c>
      <c r="H946" s="2">
        <f>D946*F945</f>
        <v>1317.9571663921001</v>
      </c>
      <c r="I946" s="2">
        <f>E946*G945</f>
        <v>1031.0472659870256</v>
      </c>
      <c r="J946" s="2">
        <f>I946-H946</f>
        <v>-286.9099004050745</v>
      </c>
      <c r="K946" s="2">
        <f t="shared" si="119"/>
        <v>286.9099004050745</v>
      </c>
      <c r="L946" s="14">
        <f>C946/B946</f>
        <v>1.0908067542213882</v>
      </c>
      <c r="M946" s="14">
        <f t="shared" si="122"/>
        <v>1.092567219420028</v>
      </c>
      <c r="N946" s="14">
        <f t="shared" si="126"/>
        <v>1.0932064994980366</v>
      </c>
      <c r="O946" s="14">
        <f t="shared" si="118"/>
        <v>1.0934080847314434</v>
      </c>
      <c r="P946" s="14">
        <f t="shared" si="120"/>
        <v>1.0923709886073643</v>
      </c>
      <c r="Q946" s="4" t="str">
        <f t="shared" si="125"/>
        <v>OVER</v>
      </c>
      <c r="R946" s="4" t="str">
        <f t="shared" si="125"/>
        <v>OVER</v>
      </c>
      <c r="S946" s="4" t="str">
        <f t="shared" si="123"/>
        <v>UNDER</v>
      </c>
      <c r="T946" s="4" t="str">
        <f t="shared" si="123"/>
        <v>UNDER</v>
      </c>
      <c r="U946" s="2">
        <f>IF(Q946="OVER",$J946,$K946)</f>
        <v>-286.9099004050745</v>
      </c>
      <c r="V946" s="2">
        <f>IF(R946="OVER",$J946,$K946)</f>
        <v>-286.9099004050745</v>
      </c>
      <c r="W946" s="2">
        <f>IF(S946="OVER",$J946,$K946)</f>
        <v>286.9099004050745</v>
      </c>
      <c r="X946" s="2">
        <f>IF(T946="OVER",$J946,$K946)</f>
        <v>286.9099004050745</v>
      </c>
      <c r="Y946" s="9">
        <f t="shared" si="124"/>
        <v>-42100.030586986482</v>
      </c>
      <c r="Z946" s="9">
        <f t="shared" si="124"/>
        <v>-40020.228930235942</v>
      </c>
      <c r="AA946" s="9">
        <f t="shared" si="124"/>
        <v>54772.316155602355</v>
      </c>
      <c r="AB946" s="9">
        <f t="shared" si="121"/>
        <v>23383.602249007658</v>
      </c>
    </row>
    <row r="947" spans="1:28" x14ac:dyDescent="0.3">
      <c r="A947" s="1">
        <v>45790</v>
      </c>
      <c r="B947" s="2">
        <v>80.45</v>
      </c>
      <c r="C947" s="2">
        <v>87.67</v>
      </c>
      <c r="D947" s="9">
        <f>B947-B946</f>
        <v>0.5</v>
      </c>
      <c r="E947" s="9">
        <f>C947-C946</f>
        <v>0.46000000000000796</v>
      </c>
      <c r="F947" s="3">
        <f>F$1/B947</f>
        <v>1243.0080795525171</v>
      </c>
      <c r="G947" s="3">
        <f>F$1/C947</f>
        <v>1140.6410402646286</v>
      </c>
      <c r="H947" s="2">
        <f>D947*F946</f>
        <v>625.39086929330824</v>
      </c>
      <c r="I947" s="2">
        <f>E947*G946</f>
        <v>527.46244696710016</v>
      </c>
      <c r="J947" s="2">
        <f>I947-H947</f>
        <v>-97.928422326208079</v>
      </c>
      <c r="K947" s="2">
        <f t="shared" si="119"/>
        <v>97.928422326208079</v>
      </c>
      <c r="L947" s="14">
        <f>C947/B947</f>
        <v>1.0897451833436917</v>
      </c>
      <c r="M947" s="14">
        <f t="shared" si="122"/>
        <v>1.0922367184493775</v>
      </c>
      <c r="N947" s="14">
        <f t="shared" si="126"/>
        <v>1.0929366464805725</v>
      </c>
      <c r="O947" s="14">
        <f t="shared" si="118"/>
        <v>1.0933410342428556</v>
      </c>
      <c r="P947" s="14">
        <f t="shared" si="120"/>
        <v>1.0923630432723632</v>
      </c>
      <c r="Q947" s="4" t="str">
        <f t="shared" si="125"/>
        <v>UNDER</v>
      </c>
      <c r="R947" s="4" t="str">
        <f t="shared" si="125"/>
        <v>UNDER</v>
      </c>
      <c r="S947" s="4" t="str">
        <f t="shared" si="123"/>
        <v>UNDER</v>
      </c>
      <c r="T947" s="4" t="str">
        <f t="shared" si="123"/>
        <v>UNDER</v>
      </c>
      <c r="U947" s="2">
        <f>IF(Q947="OVER",$J947,$K947)</f>
        <v>97.928422326208079</v>
      </c>
      <c r="V947" s="2">
        <f>IF(R947="OVER",$J947,$K947)</f>
        <v>97.928422326208079</v>
      </c>
      <c r="W947" s="2">
        <f>IF(S947="OVER",$J947,$K947)</f>
        <v>97.928422326208079</v>
      </c>
      <c r="X947" s="2">
        <f>IF(T947="OVER",$J947,$K947)</f>
        <v>97.928422326208079</v>
      </c>
      <c r="Y947" s="9">
        <f t="shared" si="124"/>
        <v>-42002.102164660275</v>
      </c>
      <c r="Z947" s="9">
        <f t="shared" si="124"/>
        <v>-39922.300507909735</v>
      </c>
      <c r="AA947" s="9">
        <f t="shared" si="124"/>
        <v>54870.244577928563</v>
      </c>
      <c r="AB947" s="9">
        <f t="shared" si="121"/>
        <v>23481.530671333865</v>
      </c>
    </row>
    <row r="948" spans="1:28" x14ac:dyDescent="0.3">
      <c r="A948" s="1">
        <v>45791</v>
      </c>
      <c r="B948" s="2">
        <v>80.52</v>
      </c>
      <c r="C948" s="2">
        <v>87.65</v>
      </c>
      <c r="D948" s="9">
        <f>B948-B947</f>
        <v>6.9999999999993179E-2</v>
      </c>
      <c r="E948" s="9">
        <f>C948-C947</f>
        <v>-1.9999999999996021E-2</v>
      </c>
      <c r="F948" s="3">
        <f>F$1/B948</f>
        <v>1241.9274714356682</v>
      </c>
      <c r="G948" s="3">
        <f>F$1/C948</f>
        <v>1140.9013120365087</v>
      </c>
      <c r="H948" s="2">
        <f>D948*F947</f>
        <v>87.010565568667715</v>
      </c>
      <c r="I948" s="2">
        <f>E948*G947</f>
        <v>-22.812820805288034</v>
      </c>
      <c r="J948" s="2">
        <f>I948-H948</f>
        <v>-109.82338637395574</v>
      </c>
      <c r="K948" s="2">
        <f t="shared" si="119"/>
        <v>109.82338637395574</v>
      </c>
      <c r="L948" s="14">
        <f>C948/B948</f>
        <v>1.0885494287133632</v>
      </c>
      <c r="M948" s="14">
        <f t="shared" si="122"/>
        <v>1.0917662389035852</v>
      </c>
      <c r="N948" s="14">
        <f t="shared" si="126"/>
        <v>1.0925811597168837</v>
      </c>
      <c r="O948" s="14">
        <f t="shared" si="118"/>
        <v>1.0932387091848474</v>
      </c>
      <c r="P948" s="14">
        <f t="shared" si="120"/>
        <v>1.092344894648227</v>
      </c>
      <c r="Q948" s="4" t="str">
        <f t="shared" si="125"/>
        <v>UNDER</v>
      </c>
      <c r="R948" s="4" t="str">
        <f t="shared" si="125"/>
        <v>UNDER</v>
      </c>
      <c r="S948" s="4" t="str">
        <f t="shared" si="123"/>
        <v>UNDER</v>
      </c>
      <c r="T948" s="4" t="str">
        <f t="shared" si="123"/>
        <v>UNDER</v>
      </c>
      <c r="U948" s="2">
        <f>IF(Q948="OVER",$J948,$K948)</f>
        <v>109.82338637395574</v>
      </c>
      <c r="V948" s="2">
        <f>IF(R948="OVER",$J948,$K948)</f>
        <v>109.82338637395574</v>
      </c>
      <c r="W948" s="2">
        <f>IF(S948="OVER",$J948,$K948)</f>
        <v>109.82338637395574</v>
      </c>
      <c r="X948" s="2">
        <f>IF(T948="OVER",$J948,$K948)</f>
        <v>109.82338637395574</v>
      </c>
      <c r="Y948" s="9">
        <f t="shared" si="124"/>
        <v>-41892.278778286316</v>
      </c>
      <c r="Z948" s="9">
        <f t="shared" si="124"/>
        <v>-39812.477121535776</v>
      </c>
      <c r="AA948" s="9">
        <f t="shared" si="124"/>
        <v>54980.067964302521</v>
      </c>
      <c r="AB948" s="9">
        <f t="shared" si="121"/>
        <v>23591.35405770782</v>
      </c>
    </row>
    <row r="949" spans="1:28" x14ac:dyDescent="0.3">
      <c r="A949" s="1">
        <v>45792</v>
      </c>
      <c r="B949" s="2">
        <v>80.459999999999994</v>
      </c>
      <c r="C949" s="2">
        <v>87.47</v>
      </c>
      <c r="D949" s="9">
        <f>B949-B948</f>
        <v>-6.0000000000002274E-2</v>
      </c>
      <c r="E949" s="9">
        <f>C949-C948</f>
        <v>-0.18000000000000682</v>
      </c>
      <c r="F949" s="3">
        <f>F$1/B949</f>
        <v>1242.8535918468806</v>
      </c>
      <c r="G949" s="3">
        <f>F$1/C949</f>
        <v>1143.2491139819367</v>
      </c>
      <c r="H949" s="2">
        <f>D949*F948</f>
        <v>-74.51564828614292</v>
      </c>
      <c r="I949" s="2">
        <f>E949*G948</f>
        <v>-205.36223616657935</v>
      </c>
      <c r="J949" s="2">
        <f>I949-H949</f>
        <v>-130.84658788043643</v>
      </c>
      <c r="K949" s="2">
        <f t="shared" si="119"/>
        <v>130.84658788043643</v>
      </c>
      <c r="L949" s="14">
        <f>C949/B949</f>
        <v>1.0871240367884665</v>
      </c>
      <c r="M949" s="14">
        <f t="shared" si="122"/>
        <v>1.0912427279953467</v>
      </c>
      <c r="N949" s="14">
        <f t="shared" si="126"/>
        <v>1.0921023447212905</v>
      </c>
      <c r="O949" s="14">
        <f t="shared" ref="O949:O1012" si="127">AVERAGE(L900:L949)</f>
        <v>1.0931001528082629</v>
      </c>
      <c r="P949" s="14">
        <f t="shared" si="120"/>
        <v>1.0923081709110303</v>
      </c>
      <c r="Q949" s="4" t="str">
        <f t="shared" si="125"/>
        <v>UNDER</v>
      </c>
      <c r="R949" s="4" t="str">
        <f t="shared" si="125"/>
        <v>UNDER</v>
      </c>
      <c r="S949" s="4" t="str">
        <f t="shared" si="123"/>
        <v>UNDER</v>
      </c>
      <c r="T949" s="4" t="str">
        <f t="shared" si="123"/>
        <v>UNDER</v>
      </c>
      <c r="U949" s="2">
        <f>IF(Q949="OVER",$J949,$K949)</f>
        <v>130.84658788043643</v>
      </c>
      <c r="V949" s="2">
        <f>IF(R949="OVER",$J949,$K949)</f>
        <v>130.84658788043643</v>
      </c>
      <c r="W949" s="2">
        <f>IF(S949="OVER",$J949,$K949)</f>
        <v>130.84658788043643</v>
      </c>
      <c r="X949" s="2">
        <f>IF(T949="OVER",$J949,$K949)</f>
        <v>130.84658788043643</v>
      </c>
      <c r="Y949" s="9">
        <f t="shared" si="124"/>
        <v>-41761.432190405882</v>
      </c>
      <c r="Z949" s="9">
        <f t="shared" si="124"/>
        <v>-39681.630533655341</v>
      </c>
      <c r="AA949" s="9">
        <f t="shared" si="124"/>
        <v>55110.914552182956</v>
      </c>
      <c r="AB949" s="9">
        <f t="shared" si="121"/>
        <v>23722.200645588258</v>
      </c>
    </row>
    <row r="950" spans="1:28" x14ac:dyDescent="0.3">
      <c r="A950" s="1">
        <v>45793</v>
      </c>
      <c r="B950" s="2">
        <v>80.87</v>
      </c>
      <c r="C950" s="2">
        <v>87.95</v>
      </c>
      <c r="D950" s="9">
        <f>B950-B949</f>
        <v>0.4100000000000108</v>
      </c>
      <c r="E950" s="9">
        <f>C950-C949</f>
        <v>0.48000000000000398</v>
      </c>
      <c r="F950" s="3">
        <f>F$1/B950</f>
        <v>1236.5524916532706</v>
      </c>
      <c r="G950" s="3">
        <f>F$1/C950</f>
        <v>1137.0096645821488</v>
      </c>
      <c r="H950" s="2">
        <f>D950*F949</f>
        <v>509.56997265723447</v>
      </c>
      <c r="I950" s="2">
        <f>E950*G949</f>
        <v>548.75957471133415</v>
      </c>
      <c r="J950" s="2">
        <f>I950-H950</f>
        <v>39.18960205409968</v>
      </c>
      <c r="K950" s="2">
        <f t="shared" si="119"/>
        <v>-39.18960205409968</v>
      </c>
      <c r="L950" s="14">
        <f>C950/B950</f>
        <v>1.0875479164090516</v>
      </c>
      <c r="M950" s="14">
        <f t="shared" si="122"/>
        <v>1.0905859047610609</v>
      </c>
      <c r="N950" s="14">
        <f t="shared" si="126"/>
        <v>1.0917631386390227</v>
      </c>
      <c r="O950" s="14">
        <f t="shared" si="127"/>
        <v>1.0929766751431478</v>
      </c>
      <c r="P950" s="14">
        <f t="shared" si="120"/>
        <v>1.0922750400338568</v>
      </c>
      <c r="Q950" s="4" t="str">
        <f t="shared" si="125"/>
        <v>UNDER</v>
      </c>
      <c r="R950" s="4" t="str">
        <f t="shared" si="125"/>
        <v>UNDER</v>
      </c>
      <c r="S950" s="4" t="str">
        <f t="shared" si="123"/>
        <v>UNDER</v>
      </c>
      <c r="T950" s="4" t="str">
        <f t="shared" si="123"/>
        <v>UNDER</v>
      </c>
      <c r="U950" s="2">
        <f>IF(Q950="OVER",$J950,$K950)</f>
        <v>-39.18960205409968</v>
      </c>
      <c r="V950" s="2">
        <f>IF(R950="OVER",$J950,$K950)</f>
        <v>-39.18960205409968</v>
      </c>
      <c r="W950" s="2">
        <f>IF(S950="OVER",$J950,$K950)</f>
        <v>-39.18960205409968</v>
      </c>
      <c r="X950" s="2">
        <f>IF(T950="OVER",$J950,$K950)</f>
        <v>-39.18960205409968</v>
      </c>
      <c r="Y950" s="9">
        <f t="shared" si="124"/>
        <v>-41800.621792459984</v>
      </c>
      <c r="Z950" s="9">
        <f t="shared" si="124"/>
        <v>-39720.820135709444</v>
      </c>
      <c r="AA950" s="9">
        <f t="shared" si="124"/>
        <v>55071.724950128853</v>
      </c>
      <c r="AB950" s="9">
        <f t="shared" si="121"/>
        <v>23683.011043534159</v>
      </c>
    </row>
    <row r="951" spans="1:28" x14ac:dyDescent="0.3">
      <c r="A951" s="1">
        <v>45796</v>
      </c>
      <c r="B951" s="2">
        <v>80.88</v>
      </c>
      <c r="C951" s="2">
        <v>88</v>
      </c>
      <c r="D951" s="9">
        <f>B951-B950</f>
        <v>9.9999999999909051E-3</v>
      </c>
      <c r="E951" s="9">
        <f>C951-C950</f>
        <v>4.9999999999997158E-2</v>
      </c>
      <c r="F951" s="3">
        <f>F$1/B951</f>
        <v>1236.3996043521267</v>
      </c>
      <c r="G951" s="3">
        <f>F$1/C951</f>
        <v>1136.3636363636363</v>
      </c>
      <c r="H951" s="2">
        <f>D951*F950</f>
        <v>12.36552491652146</v>
      </c>
      <c r="I951" s="2">
        <f>E951*G950</f>
        <v>56.850483229104213</v>
      </c>
      <c r="J951" s="2">
        <f>I951-H951</f>
        <v>44.484958312582755</v>
      </c>
      <c r="K951" s="2">
        <f t="shared" si="119"/>
        <v>-44.484958312582755</v>
      </c>
      <c r="L951" s="14">
        <f>C951/B951</f>
        <v>1.0880316518298714</v>
      </c>
      <c r="M951" s="14">
        <f t="shared" si="122"/>
        <v>1.0899948981649066</v>
      </c>
      <c r="N951" s="14">
        <f t="shared" si="126"/>
        <v>1.0913081194989149</v>
      </c>
      <c r="O951" s="14">
        <f t="shared" si="127"/>
        <v>1.0928804416420275</v>
      </c>
      <c r="P951" s="14">
        <f t="shared" si="120"/>
        <v>1.0922563267770309</v>
      </c>
      <c r="Q951" s="4" t="str">
        <f t="shared" si="125"/>
        <v>UNDER</v>
      </c>
      <c r="R951" s="4" t="str">
        <f t="shared" si="125"/>
        <v>UNDER</v>
      </c>
      <c r="S951" s="4" t="str">
        <f t="shared" si="123"/>
        <v>UNDER</v>
      </c>
      <c r="T951" s="4" t="str">
        <f t="shared" si="123"/>
        <v>UNDER</v>
      </c>
      <c r="U951" s="2">
        <f>IF(Q951="OVER",$J951,$K951)</f>
        <v>-44.484958312582755</v>
      </c>
      <c r="V951" s="2">
        <f>IF(R951="OVER",$J951,$K951)</f>
        <v>-44.484958312582755</v>
      </c>
      <c r="W951" s="2">
        <f>IF(S951="OVER",$J951,$K951)</f>
        <v>-44.484958312582755</v>
      </c>
      <c r="X951" s="2">
        <f>IF(T951="OVER",$J951,$K951)</f>
        <v>-44.484958312582755</v>
      </c>
      <c r="Y951" s="9">
        <f t="shared" si="124"/>
        <v>-41845.106750772567</v>
      </c>
      <c r="Z951" s="9">
        <f t="shared" si="124"/>
        <v>-39765.305094022027</v>
      </c>
      <c r="AA951" s="9">
        <f t="shared" si="124"/>
        <v>55027.23999181627</v>
      </c>
      <c r="AB951" s="9">
        <f t="shared" si="121"/>
        <v>23638.526085221576</v>
      </c>
    </row>
    <row r="952" spans="1:28" x14ac:dyDescent="0.3">
      <c r="A952" s="1">
        <v>45797</v>
      </c>
      <c r="B952" s="2">
        <v>80.709999999999994</v>
      </c>
      <c r="C952" s="2">
        <v>87.67</v>
      </c>
      <c r="D952" s="9">
        <f>B952-B951</f>
        <v>-0.17000000000000171</v>
      </c>
      <c r="E952" s="9">
        <f>C952-C951</f>
        <v>-0.32999999999999829</v>
      </c>
      <c r="F952" s="3">
        <f>F$1/B952</f>
        <v>1239.003840911907</v>
      </c>
      <c r="G952" s="3">
        <f>F$1/C952</f>
        <v>1140.6410402646286</v>
      </c>
      <c r="H952" s="2">
        <f>D952*F951</f>
        <v>-210.18793273986367</v>
      </c>
      <c r="I952" s="2">
        <f>E952*G951</f>
        <v>-374.99999999999801</v>
      </c>
      <c r="J952" s="2">
        <f>I952-H952</f>
        <v>-164.81206726013434</v>
      </c>
      <c r="K952" s="2">
        <f t="shared" si="119"/>
        <v>164.81206726013434</v>
      </c>
      <c r="L952" s="14">
        <f>C952/B952</f>
        <v>1.0862346673274688</v>
      </c>
      <c r="M952" s="14">
        <f t="shared" si="122"/>
        <v>1.0895681284154857</v>
      </c>
      <c r="N952" s="14">
        <f t="shared" si="126"/>
        <v>1.0909781373618253</v>
      </c>
      <c r="O952" s="14">
        <f t="shared" si="127"/>
        <v>1.0927127807314378</v>
      </c>
      <c r="P952" s="14">
        <f t="shared" si="120"/>
        <v>1.092224320485313</v>
      </c>
      <c r="Q952" s="4" t="str">
        <f t="shared" si="125"/>
        <v>UNDER</v>
      </c>
      <c r="R952" s="4" t="str">
        <f t="shared" si="125"/>
        <v>UNDER</v>
      </c>
      <c r="S952" s="4" t="str">
        <f t="shared" si="123"/>
        <v>UNDER</v>
      </c>
      <c r="T952" s="4" t="str">
        <f t="shared" si="123"/>
        <v>UNDER</v>
      </c>
      <c r="U952" s="2">
        <f>IF(Q952="OVER",$J952,$K952)</f>
        <v>164.81206726013434</v>
      </c>
      <c r="V952" s="2">
        <f>IF(R952="OVER",$J952,$K952)</f>
        <v>164.81206726013434</v>
      </c>
      <c r="W952" s="2">
        <f>IF(S952="OVER",$J952,$K952)</f>
        <v>164.81206726013434</v>
      </c>
      <c r="X952" s="2">
        <f>IF(T952="OVER",$J952,$K952)</f>
        <v>164.81206726013434</v>
      </c>
      <c r="Y952" s="9">
        <f t="shared" si="124"/>
        <v>-41680.294683512431</v>
      </c>
      <c r="Z952" s="9">
        <f t="shared" si="124"/>
        <v>-39600.493026761891</v>
      </c>
      <c r="AA952" s="9">
        <f t="shared" si="124"/>
        <v>55192.052059076406</v>
      </c>
      <c r="AB952" s="9">
        <f t="shared" si="121"/>
        <v>23803.338152481709</v>
      </c>
    </row>
    <row r="953" spans="1:28" x14ac:dyDescent="0.3">
      <c r="A953" s="1">
        <v>45798</v>
      </c>
      <c r="B953" s="2">
        <v>79.66</v>
      </c>
      <c r="C953" s="2">
        <v>86.79</v>
      </c>
      <c r="D953" s="9">
        <f>B953-B952</f>
        <v>-1.0499999999999972</v>
      </c>
      <c r="E953" s="9">
        <f>C953-C952</f>
        <v>-0.87999999999999545</v>
      </c>
      <c r="F953" s="3">
        <f>F$1/B953</f>
        <v>1255.3351744915892</v>
      </c>
      <c r="G953" s="3">
        <f>F$1/C953</f>
        <v>1152.2064754003916</v>
      </c>
      <c r="H953" s="2">
        <f>D953*F952</f>
        <v>-1300.9540329574988</v>
      </c>
      <c r="I953" s="2">
        <f>E953*G952</f>
        <v>-1003.7641154328679</v>
      </c>
      <c r="J953" s="2">
        <f>I953-H953</f>
        <v>297.18991752463091</v>
      </c>
      <c r="K953" s="2">
        <f t="shared" si="119"/>
        <v>-297.18991752463091</v>
      </c>
      <c r="L953" s="14">
        <f>C953/B953</f>
        <v>1.0895053979412503</v>
      </c>
      <c r="M953" s="14">
        <f t="shared" si="122"/>
        <v>1.0894870704099433</v>
      </c>
      <c r="N953" s="14">
        <f t="shared" si="126"/>
        <v>1.0907702298119109</v>
      </c>
      <c r="O953" s="14">
        <f t="shared" si="127"/>
        <v>1.0926446787570956</v>
      </c>
      <c r="P953" s="14">
        <f t="shared" si="120"/>
        <v>1.0922221120252837</v>
      </c>
      <c r="Q953" s="4" t="str">
        <f t="shared" si="125"/>
        <v>UNDER</v>
      </c>
      <c r="R953" s="4" t="str">
        <f t="shared" si="125"/>
        <v>UNDER</v>
      </c>
      <c r="S953" s="4" t="str">
        <f t="shared" si="123"/>
        <v>UNDER</v>
      </c>
      <c r="T953" s="4" t="str">
        <f t="shared" si="123"/>
        <v>UNDER</v>
      </c>
      <c r="U953" s="2">
        <f>IF(Q953="OVER",$J953,$K953)</f>
        <v>-297.18991752463091</v>
      </c>
      <c r="V953" s="2">
        <f>IF(R953="OVER",$J953,$K953)</f>
        <v>-297.18991752463091</v>
      </c>
      <c r="W953" s="2">
        <f>IF(S953="OVER",$J953,$K953)</f>
        <v>-297.18991752463091</v>
      </c>
      <c r="X953" s="2">
        <f>IF(T953="OVER",$J953,$K953)</f>
        <v>-297.18991752463091</v>
      </c>
      <c r="Y953" s="9">
        <f t="shared" si="124"/>
        <v>-41977.48460103706</v>
      </c>
      <c r="Z953" s="9">
        <f t="shared" si="124"/>
        <v>-39897.68294428652</v>
      </c>
      <c r="AA953" s="9">
        <f t="shared" si="124"/>
        <v>54894.862141551777</v>
      </c>
      <c r="AB953" s="9">
        <f t="shared" si="121"/>
        <v>23506.148234957076</v>
      </c>
    </row>
    <row r="954" spans="1:28" x14ac:dyDescent="0.3">
      <c r="A954" s="1">
        <v>45799</v>
      </c>
      <c r="B954" s="2">
        <v>79.7</v>
      </c>
      <c r="C954" s="2">
        <v>86.81</v>
      </c>
      <c r="D954" s="9">
        <f>B954-B953</f>
        <v>4.0000000000006253E-2</v>
      </c>
      <c r="E954" s="9">
        <f>C954-C953</f>
        <v>1.9999999999996021E-2</v>
      </c>
      <c r="F954" s="3">
        <f>F$1/B954</f>
        <v>1254.7051442910915</v>
      </c>
      <c r="G954" s="3">
        <f>F$1/C954</f>
        <v>1151.9410206197442</v>
      </c>
      <c r="H954" s="2">
        <f>D954*F953</f>
        <v>50.213406979671419</v>
      </c>
      <c r="I954" s="2">
        <f>E954*G953</f>
        <v>23.044129508003248</v>
      </c>
      <c r="J954" s="2">
        <f>I954-H954</f>
        <v>-27.16927747166817</v>
      </c>
      <c r="K954" s="2">
        <f t="shared" si="119"/>
        <v>27.16927747166817</v>
      </c>
      <c r="L954" s="14">
        <f>C954/B954</f>
        <v>1.0892095357590965</v>
      </c>
      <c r="M954" s="14">
        <f t="shared" si="122"/>
        <v>1.0890659020439084</v>
      </c>
      <c r="N954" s="14">
        <f t="shared" si="126"/>
        <v>1.0906402006009088</v>
      </c>
      <c r="O954" s="14">
        <f t="shared" si="127"/>
        <v>1.0925686473952037</v>
      </c>
      <c r="P954" s="14">
        <f t="shared" si="120"/>
        <v>1.0922432404738502</v>
      </c>
      <c r="Q954" s="4" t="str">
        <f t="shared" si="125"/>
        <v>OVER</v>
      </c>
      <c r="R954" s="4" t="str">
        <f t="shared" si="125"/>
        <v>UNDER</v>
      </c>
      <c r="S954" s="4" t="str">
        <f t="shared" si="123"/>
        <v>UNDER</v>
      </c>
      <c r="T954" s="4" t="str">
        <f t="shared" si="123"/>
        <v>UNDER</v>
      </c>
      <c r="U954" s="2">
        <f>IF(Q954="OVER",$J954,$K954)</f>
        <v>-27.16927747166817</v>
      </c>
      <c r="V954" s="2">
        <f>IF(R954="OVER",$J954,$K954)</f>
        <v>27.16927747166817</v>
      </c>
      <c r="W954" s="2">
        <f>IF(S954="OVER",$J954,$K954)</f>
        <v>27.16927747166817</v>
      </c>
      <c r="X954" s="2">
        <f>IF(T954="OVER",$J954,$K954)</f>
        <v>27.16927747166817</v>
      </c>
      <c r="Y954" s="9">
        <f t="shared" si="124"/>
        <v>-42004.653878508725</v>
      </c>
      <c r="Z954" s="9">
        <f t="shared" si="124"/>
        <v>-39870.513666814855</v>
      </c>
      <c r="AA954" s="9">
        <f t="shared" si="124"/>
        <v>54922.031419023442</v>
      </c>
      <c r="AB954" s="9">
        <f t="shared" si="121"/>
        <v>23533.317512428745</v>
      </c>
    </row>
    <row r="955" spans="1:28" x14ac:dyDescent="0.3">
      <c r="A955" s="1">
        <v>45800</v>
      </c>
      <c r="B955" s="2">
        <v>79.61</v>
      </c>
      <c r="C955" s="2">
        <v>86.66</v>
      </c>
      <c r="D955" s="9">
        <f>B955-B954</f>
        <v>-9.0000000000003411E-2</v>
      </c>
      <c r="E955" s="9">
        <f>C955-C954</f>
        <v>-0.15000000000000568</v>
      </c>
      <c r="F955" s="3">
        <f>F$1/B955</f>
        <v>1256.1236025624921</v>
      </c>
      <c r="G955" s="3">
        <f>F$1/C955</f>
        <v>1153.9349180706208</v>
      </c>
      <c r="H955" s="2">
        <f>D955*F954</f>
        <v>-112.92346298620252</v>
      </c>
      <c r="I955" s="2">
        <f>E955*G954</f>
        <v>-172.79115309296819</v>
      </c>
      <c r="J955" s="2">
        <f>I955-H955</f>
        <v>-59.867690106765664</v>
      </c>
      <c r="K955" s="2">
        <f t="shared" si="119"/>
        <v>59.867690106765664</v>
      </c>
      <c r="L955" s="14">
        <f>C955/B955</f>
        <v>1.0885567139806556</v>
      </c>
      <c r="M955" s="14">
        <f t="shared" si="122"/>
        <v>1.0885311286314305</v>
      </c>
      <c r="N955" s="14">
        <f t="shared" si="126"/>
        <v>1.0905278808595273</v>
      </c>
      <c r="O955" s="14">
        <f t="shared" si="127"/>
        <v>1.0924455433164901</v>
      </c>
      <c r="P955" s="14">
        <f t="shared" si="120"/>
        <v>1.092224162602186</v>
      </c>
      <c r="Q955" s="4" t="str">
        <f t="shared" si="125"/>
        <v>OVER</v>
      </c>
      <c r="R955" s="4" t="str">
        <f t="shared" si="125"/>
        <v>UNDER</v>
      </c>
      <c r="S955" s="4" t="str">
        <f t="shared" si="123"/>
        <v>UNDER</v>
      </c>
      <c r="T955" s="4" t="str">
        <f t="shared" si="123"/>
        <v>UNDER</v>
      </c>
      <c r="U955" s="2">
        <f>IF(Q955="OVER",$J955,$K955)</f>
        <v>-59.867690106765664</v>
      </c>
      <c r="V955" s="2">
        <f>IF(R955="OVER",$J955,$K955)</f>
        <v>59.867690106765664</v>
      </c>
      <c r="W955" s="2">
        <f>IF(S955="OVER",$J955,$K955)</f>
        <v>59.867690106765664</v>
      </c>
      <c r="X955" s="2">
        <f>IF(T955="OVER",$J955,$K955)</f>
        <v>59.867690106765664</v>
      </c>
      <c r="Y955" s="9">
        <f t="shared" si="124"/>
        <v>-42064.521568615492</v>
      </c>
      <c r="Z955" s="9">
        <f t="shared" si="124"/>
        <v>-39810.645976708089</v>
      </c>
      <c r="AA955" s="9">
        <f t="shared" si="124"/>
        <v>54981.899109130209</v>
      </c>
      <c r="AB955" s="9">
        <f t="shared" si="121"/>
        <v>23593.185202535511</v>
      </c>
    </row>
    <row r="956" spans="1:28" x14ac:dyDescent="0.3">
      <c r="A956" s="1">
        <v>45804</v>
      </c>
      <c r="B956" s="2">
        <v>80.099999999999994</v>
      </c>
      <c r="C956" s="2">
        <v>87.27</v>
      </c>
      <c r="D956" s="9">
        <f>B956-B955</f>
        <v>0.48999999999999488</v>
      </c>
      <c r="E956" s="9">
        <f>C956-C955</f>
        <v>0.60999999999999943</v>
      </c>
      <c r="F956" s="3">
        <f>F$1/B956</f>
        <v>1248.4394506866417</v>
      </c>
      <c r="G956" s="3">
        <f>F$1/C956</f>
        <v>1145.8691417440129</v>
      </c>
      <c r="H956" s="2">
        <f>D956*F955</f>
        <v>615.50056525561467</v>
      </c>
      <c r="I956" s="2">
        <f>E956*G955</f>
        <v>703.9003000230781</v>
      </c>
      <c r="J956" s="2">
        <f>I956-H956</f>
        <v>88.399734767463428</v>
      </c>
      <c r="K956" s="2">
        <f t="shared" si="119"/>
        <v>-88.399734767463428</v>
      </c>
      <c r="L956" s="14">
        <f>C956/B956</f>
        <v>1.0895131086142322</v>
      </c>
      <c r="M956" s="14">
        <f t="shared" si="122"/>
        <v>1.0884017640707149</v>
      </c>
      <c r="N956" s="14">
        <f t="shared" si="126"/>
        <v>1.0904844917453711</v>
      </c>
      <c r="O956" s="14">
        <f t="shared" si="127"/>
        <v>1.0923863041288475</v>
      </c>
      <c r="P956" s="14">
        <f t="shared" si="120"/>
        <v>1.0922420132175785</v>
      </c>
      <c r="Q956" s="4" t="str">
        <f t="shared" si="125"/>
        <v>OVER</v>
      </c>
      <c r="R956" s="4" t="str">
        <f t="shared" si="125"/>
        <v>UNDER</v>
      </c>
      <c r="S956" s="4" t="str">
        <f t="shared" si="123"/>
        <v>UNDER</v>
      </c>
      <c r="T956" s="4" t="str">
        <f t="shared" si="123"/>
        <v>UNDER</v>
      </c>
      <c r="U956" s="2">
        <f>IF(Q956="OVER",$J956,$K956)</f>
        <v>88.399734767463428</v>
      </c>
      <c r="V956" s="2">
        <f>IF(R956="OVER",$J956,$K956)</f>
        <v>-88.399734767463428</v>
      </c>
      <c r="W956" s="2">
        <f>IF(S956="OVER",$J956,$K956)</f>
        <v>-88.399734767463428</v>
      </c>
      <c r="X956" s="2">
        <f>IF(T956="OVER",$J956,$K956)</f>
        <v>-88.399734767463428</v>
      </c>
      <c r="Y956" s="9">
        <f t="shared" si="124"/>
        <v>-41976.121833848025</v>
      </c>
      <c r="Z956" s="9">
        <f t="shared" si="124"/>
        <v>-39899.045711475555</v>
      </c>
      <c r="AA956" s="9">
        <f t="shared" si="124"/>
        <v>54893.499374362742</v>
      </c>
      <c r="AB956" s="9">
        <f t="shared" si="121"/>
        <v>23504.785467768048</v>
      </c>
    </row>
    <row r="957" spans="1:28" x14ac:dyDescent="0.3">
      <c r="A957" s="1">
        <v>45805</v>
      </c>
      <c r="B957" s="2">
        <v>79.819999999999993</v>
      </c>
      <c r="C957" s="2">
        <v>86.91</v>
      </c>
      <c r="D957" s="9">
        <f>B957-B956</f>
        <v>-0.28000000000000114</v>
      </c>
      <c r="E957" s="9">
        <f>C957-C956</f>
        <v>-0.35999999999999943</v>
      </c>
      <c r="F957" s="3">
        <f>F$1/B957</f>
        <v>1252.8188423953898</v>
      </c>
      <c r="G957" s="3">
        <f>F$1/C957</f>
        <v>1150.6155793349442</v>
      </c>
      <c r="H957" s="2">
        <f>D957*F956</f>
        <v>-349.56304619226108</v>
      </c>
      <c r="I957" s="2">
        <f>E957*G956</f>
        <v>-412.51289102784403</v>
      </c>
      <c r="J957" s="2">
        <f>I957-H957</f>
        <v>-62.949844835582951</v>
      </c>
      <c r="K957" s="2">
        <f t="shared" si="119"/>
        <v>62.949844835582951</v>
      </c>
      <c r="L957" s="14">
        <f>C957/B957</f>
        <v>1.0888248559258331</v>
      </c>
      <c r="M957" s="14">
        <f t="shared" si="122"/>
        <v>1.0883097313289292</v>
      </c>
      <c r="N957" s="14">
        <f t="shared" si="126"/>
        <v>1.0902732248891529</v>
      </c>
      <c r="O957" s="14">
        <f t="shared" si="127"/>
        <v>1.0922852292309033</v>
      </c>
      <c r="P957" s="14">
        <f t="shared" si="120"/>
        <v>1.0922118017064162</v>
      </c>
      <c r="Q957" s="4" t="str">
        <f t="shared" si="125"/>
        <v>OVER</v>
      </c>
      <c r="R957" s="4" t="str">
        <f t="shared" si="125"/>
        <v>UNDER</v>
      </c>
      <c r="S957" s="4" t="str">
        <f t="shared" si="123"/>
        <v>UNDER</v>
      </c>
      <c r="T957" s="4" t="str">
        <f t="shared" si="123"/>
        <v>UNDER</v>
      </c>
      <c r="U957" s="2">
        <f>IF(Q957="OVER",$J957,$K957)</f>
        <v>-62.949844835582951</v>
      </c>
      <c r="V957" s="2">
        <f>IF(R957="OVER",$J957,$K957)</f>
        <v>62.949844835582951</v>
      </c>
      <c r="W957" s="2">
        <f>IF(S957="OVER",$J957,$K957)</f>
        <v>62.949844835582951</v>
      </c>
      <c r="X957" s="2">
        <f>IF(T957="OVER",$J957,$K957)</f>
        <v>62.949844835582951</v>
      </c>
      <c r="Y957" s="9">
        <f t="shared" si="124"/>
        <v>-42039.071678683606</v>
      </c>
      <c r="Z957" s="9">
        <f t="shared" si="124"/>
        <v>-39836.095866639975</v>
      </c>
      <c r="AA957" s="9">
        <f t="shared" si="124"/>
        <v>54956.449219198323</v>
      </c>
      <c r="AB957" s="9">
        <f t="shared" si="121"/>
        <v>23567.735312603632</v>
      </c>
    </row>
    <row r="958" spans="1:28" x14ac:dyDescent="0.3">
      <c r="A958" s="1">
        <v>45806</v>
      </c>
      <c r="B958" s="2">
        <v>79.739999999999995</v>
      </c>
      <c r="C958" s="2">
        <v>86.89</v>
      </c>
      <c r="D958" s="9">
        <f>B958-B957</f>
        <v>-7.9999999999998295E-2</v>
      </c>
      <c r="E958" s="9">
        <f>C958-C957</f>
        <v>-1.9999999999996021E-2</v>
      </c>
      <c r="F958" s="3">
        <f>F$1/B958</f>
        <v>1254.0757461750691</v>
      </c>
      <c r="G958" s="3">
        <f>F$1/C958</f>
        <v>1150.8804235239959</v>
      </c>
      <c r="H958" s="2">
        <f>D958*F957</f>
        <v>-100.22550739162905</v>
      </c>
      <c r="I958" s="2">
        <f>E958*G957</f>
        <v>-23.012311586694306</v>
      </c>
      <c r="J958" s="2">
        <f>I958-H958</f>
        <v>77.213195804934742</v>
      </c>
      <c r="K958" s="2">
        <f t="shared" si="119"/>
        <v>-77.213195804934742</v>
      </c>
      <c r="L958" s="14">
        <f>C958/B958</f>
        <v>1.0896664158515175</v>
      </c>
      <c r="M958" s="14">
        <f t="shared" si="122"/>
        <v>1.0884214300427444</v>
      </c>
      <c r="N958" s="14">
        <f t="shared" si="126"/>
        <v>1.0900938344731643</v>
      </c>
      <c r="O958" s="14">
        <f t="shared" si="127"/>
        <v>1.0921905451336054</v>
      </c>
      <c r="P958" s="14">
        <f t="shared" si="120"/>
        <v>1.0921877037496523</v>
      </c>
      <c r="Q958" s="4" t="str">
        <f t="shared" si="125"/>
        <v>OVER</v>
      </c>
      <c r="R958" s="4" t="str">
        <f t="shared" si="125"/>
        <v>UNDER</v>
      </c>
      <c r="S958" s="4" t="str">
        <f t="shared" si="123"/>
        <v>UNDER</v>
      </c>
      <c r="T958" s="4" t="str">
        <f t="shared" si="123"/>
        <v>UNDER</v>
      </c>
      <c r="U958" s="2">
        <f>IF(Q958="OVER",$J958,$K958)</f>
        <v>77.213195804934742</v>
      </c>
      <c r="V958" s="2">
        <f>IF(R958="OVER",$J958,$K958)</f>
        <v>-77.213195804934742</v>
      </c>
      <c r="W958" s="2">
        <f>IF(S958="OVER",$J958,$K958)</f>
        <v>-77.213195804934742</v>
      </c>
      <c r="X958" s="2">
        <f>IF(T958="OVER",$J958,$K958)</f>
        <v>-77.213195804934742</v>
      </c>
      <c r="Y958" s="9">
        <f t="shared" si="124"/>
        <v>-41961.85848287867</v>
      </c>
      <c r="Z958" s="9">
        <f t="shared" si="124"/>
        <v>-39913.309062444911</v>
      </c>
      <c r="AA958" s="9">
        <f t="shared" si="124"/>
        <v>54879.236023393387</v>
      </c>
      <c r="AB958" s="9">
        <f t="shared" si="121"/>
        <v>23490.522116798697</v>
      </c>
    </row>
    <row r="959" spans="1:28" x14ac:dyDescent="0.3">
      <c r="A959" s="1">
        <v>45807</v>
      </c>
      <c r="B959" s="2">
        <v>79.77</v>
      </c>
      <c r="C959" s="2">
        <v>87.04</v>
      </c>
      <c r="D959" s="9">
        <f>B959-B958</f>
        <v>3.0000000000001137E-2</v>
      </c>
      <c r="E959" s="9">
        <f>C959-C958</f>
        <v>0.15000000000000568</v>
      </c>
      <c r="F959" s="3">
        <f>F$1/B959</f>
        <v>1253.6041118214869</v>
      </c>
      <c r="G959" s="3">
        <f>F$1/C959</f>
        <v>1148.8970588235293</v>
      </c>
      <c r="H959" s="2">
        <f>D959*F958</f>
        <v>37.622272385253495</v>
      </c>
      <c r="I959" s="2">
        <f>E959*G958</f>
        <v>172.63206352860593</v>
      </c>
      <c r="J959" s="2">
        <f>I959-H959</f>
        <v>135.00979114335243</v>
      </c>
      <c r="K959" s="2">
        <f t="shared" si="119"/>
        <v>-135.00979114335243</v>
      </c>
      <c r="L959" s="14">
        <f>C959/B959</f>
        <v>1.0911370189294223</v>
      </c>
      <c r="M959" s="14">
        <f t="shared" si="122"/>
        <v>1.0888227282568401</v>
      </c>
      <c r="N959" s="14">
        <f t="shared" si="126"/>
        <v>1.0900327281260933</v>
      </c>
      <c r="O959" s="14">
        <f t="shared" si="127"/>
        <v>1.0921631894199455</v>
      </c>
      <c r="P959" s="14">
        <f t="shared" si="120"/>
        <v>1.092171992010087</v>
      </c>
      <c r="Q959" s="4" t="str">
        <f t="shared" si="125"/>
        <v>OVER</v>
      </c>
      <c r="R959" s="4" t="str">
        <f t="shared" si="125"/>
        <v>UNDER</v>
      </c>
      <c r="S959" s="4" t="str">
        <f t="shared" si="123"/>
        <v>UNDER</v>
      </c>
      <c r="T959" s="4" t="str">
        <f t="shared" si="123"/>
        <v>UNDER</v>
      </c>
      <c r="U959" s="2">
        <f>IF(Q959="OVER",$J959,$K959)</f>
        <v>135.00979114335243</v>
      </c>
      <c r="V959" s="2">
        <f>IF(R959="OVER",$J959,$K959)</f>
        <v>-135.00979114335243</v>
      </c>
      <c r="W959" s="2">
        <f>IF(S959="OVER",$J959,$K959)</f>
        <v>-135.00979114335243</v>
      </c>
      <c r="X959" s="2">
        <f>IF(T959="OVER",$J959,$K959)</f>
        <v>-135.00979114335243</v>
      </c>
      <c r="Y959" s="9">
        <f t="shared" si="124"/>
        <v>-41826.848691735315</v>
      </c>
      <c r="Z959" s="9">
        <f t="shared" si="124"/>
        <v>-40048.318853588265</v>
      </c>
      <c r="AA959" s="9">
        <f t="shared" si="124"/>
        <v>54744.226232250032</v>
      </c>
      <c r="AB959" s="9">
        <f t="shared" si="121"/>
        <v>23355.512325655345</v>
      </c>
    </row>
    <row r="960" spans="1:28" x14ac:dyDescent="0.3">
      <c r="A960" s="1">
        <v>45810</v>
      </c>
      <c r="B960" s="2">
        <v>79.760000000000005</v>
      </c>
      <c r="C960" s="2">
        <v>87.12</v>
      </c>
      <c r="D960" s="9">
        <f>B960-B959</f>
        <v>-9.9999999999909051E-3</v>
      </c>
      <c r="E960" s="9">
        <f>C960-C959</f>
        <v>7.9999999999998295E-2</v>
      </c>
      <c r="F960" s="3">
        <f>F$1/B960</f>
        <v>1253.7612838515545</v>
      </c>
      <c r="G960" s="3">
        <f>F$1/C960</f>
        <v>1147.842056932966</v>
      </c>
      <c r="H960" s="2">
        <f>D960*F959</f>
        <v>-12.536041118203467</v>
      </c>
      <c r="I960" s="2">
        <f>E960*G959</f>
        <v>91.911764705880387</v>
      </c>
      <c r="J960" s="2">
        <f>I960-H960</f>
        <v>104.44780582408386</v>
      </c>
      <c r="K960" s="2">
        <f t="shared" si="119"/>
        <v>-104.44780582408386</v>
      </c>
      <c r="L960" s="14">
        <f>C960/B960</f>
        <v>1.0922768304914745</v>
      </c>
      <c r="M960" s="14">
        <f t="shared" si="122"/>
        <v>1.0892956196650823</v>
      </c>
      <c r="N960" s="14">
        <f t="shared" si="126"/>
        <v>1.0899407622130715</v>
      </c>
      <c r="O960" s="14">
        <f t="shared" si="127"/>
        <v>1.0921489777636562</v>
      </c>
      <c r="P960" s="14">
        <f t="shared" si="120"/>
        <v>1.0921771365159403</v>
      </c>
      <c r="Q960" s="4" t="str">
        <f t="shared" si="125"/>
        <v>OVER</v>
      </c>
      <c r="R960" s="4" t="str">
        <f t="shared" si="125"/>
        <v>OVER</v>
      </c>
      <c r="S960" s="4" t="str">
        <f t="shared" si="123"/>
        <v>OVER</v>
      </c>
      <c r="T960" s="4" t="str">
        <f t="shared" si="123"/>
        <v>OVER</v>
      </c>
      <c r="U960" s="2">
        <f>IF(Q960="OVER",$J960,$K960)</f>
        <v>104.44780582408386</v>
      </c>
      <c r="V960" s="2">
        <f>IF(R960="OVER",$J960,$K960)</f>
        <v>104.44780582408386</v>
      </c>
      <c r="W960" s="2">
        <f>IF(S960="OVER",$J960,$K960)</f>
        <v>104.44780582408386</v>
      </c>
      <c r="X960" s="2">
        <f>IF(T960="OVER",$J960,$K960)</f>
        <v>104.44780582408386</v>
      </c>
      <c r="Y960" s="9">
        <f t="shared" si="124"/>
        <v>-41722.400885911229</v>
      </c>
      <c r="Z960" s="9">
        <f t="shared" si="124"/>
        <v>-39943.87104776418</v>
      </c>
      <c r="AA960" s="9">
        <f t="shared" si="124"/>
        <v>54848.674038074118</v>
      </c>
      <c r="AB960" s="9">
        <f t="shared" si="121"/>
        <v>23459.960131479431</v>
      </c>
    </row>
    <row r="961" spans="1:28" x14ac:dyDescent="0.3">
      <c r="A961" s="1">
        <v>45811</v>
      </c>
      <c r="B961" s="2">
        <v>80.33</v>
      </c>
      <c r="C961" s="2">
        <v>87.65</v>
      </c>
      <c r="D961" s="9">
        <f>B961-B960</f>
        <v>0.56999999999999318</v>
      </c>
      <c r="E961" s="9">
        <f>C961-C960</f>
        <v>0.53000000000000114</v>
      </c>
      <c r="F961" s="3">
        <f>F$1/B961</f>
        <v>1244.8649321548612</v>
      </c>
      <c r="G961" s="3">
        <f>F$1/C961</f>
        <v>1140.9013120365087</v>
      </c>
      <c r="H961" s="2">
        <f>D961*F960</f>
        <v>714.64393179537751</v>
      </c>
      <c r="I961" s="2">
        <f>E961*G960</f>
        <v>608.35629017447332</v>
      </c>
      <c r="J961" s="2">
        <f>I961-H961</f>
        <v>-106.2876416209042</v>
      </c>
      <c r="K961" s="2">
        <f t="shared" si="119"/>
        <v>106.2876416209042</v>
      </c>
      <c r="L961" s="14">
        <f>C961/B961</f>
        <v>1.0911241130337359</v>
      </c>
      <c r="M961" s="14">
        <f t="shared" si="122"/>
        <v>1.0896048657854689</v>
      </c>
      <c r="N961" s="14">
        <f t="shared" si="126"/>
        <v>1.0897998819751877</v>
      </c>
      <c r="O961" s="14">
        <f t="shared" si="127"/>
        <v>1.0921444135783469</v>
      </c>
      <c r="P961" s="14">
        <f t="shared" si="120"/>
        <v>1.09215488709494</v>
      </c>
      <c r="Q961" s="4" t="str">
        <f t="shared" si="125"/>
        <v>OVER</v>
      </c>
      <c r="R961" s="4" t="str">
        <f t="shared" si="125"/>
        <v>OVER</v>
      </c>
      <c r="S961" s="4" t="str">
        <f t="shared" si="123"/>
        <v>UNDER</v>
      </c>
      <c r="T961" s="4" t="str">
        <f t="shared" si="123"/>
        <v>UNDER</v>
      </c>
      <c r="U961" s="2">
        <f>IF(Q961="OVER",$J961,$K961)</f>
        <v>-106.2876416209042</v>
      </c>
      <c r="V961" s="2">
        <f>IF(R961="OVER",$J961,$K961)</f>
        <v>-106.2876416209042</v>
      </c>
      <c r="W961" s="2">
        <f>IF(S961="OVER",$J961,$K961)</f>
        <v>106.2876416209042</v>
      </c>
      <c r="X961" s="2">
        <f>IF(T961="OVER",$J961,$K961)</f>
        <v>106.2876416209042</v>
      </c>
      <c r="Y961" s="9">
        <f t="shared" si="124"/>
        <v>-41828.688527532133</v>
      </c>
      <c r="Z961" s="9">
        <f t="shared" si="124"/>
        <v>-40050.158689385084</v>
      </c>
      <c r="AA961" s="9">
        <f t="shared" si="124"/>
        <v>54954.961679695021</v>
      </c>
      <c r="AB961" s="9">
        <f t="shared" si="121"/>
        <v>23566.247773100335</v>
      </c>
    </row>
    <row r="962" spans="1:28" x14ac:dyDescent="0.3">
      <c r="A962" s="1">
        <v>45812</v>
      </c>
      <c r="B962" s="2">
        <v>80.569999999999993</v>
      </c>
      <c r="C962" s="2">
        <v>88.06</v>
      </c>
      <c r="D962" s="9">
        <f>B962-B961</f>
        <v>0.23999999999999488</v>
      </c>
      <c r="E962" s="9">
        <f>C962-C961</f>
        <v>0.40999999999999659</v>
      </c>
      <c r="F962" s="3">
        <f>F$1/B962</f>
        <v>1241.1567580985479</v>
      </c>
      <c r="G962" s="3">
        <f>F$1/C962</f>
        <v>1135.5893708834885</v>
      </c>
      <c r="H962" s="2">
        <f>D962*F961</f>
        <v>298.76758371716033</v>
      </c>
      <c r="I962" s="2">
        <f>E962*G961</f>
        <v>467.76953793496466</v>
      </c>
      <c r="J962" s="2">
        <f>I962-H962</f>
        <v>169.00195421780433</v>
      </c>
      <c r="K962" s="2">
        <f t="shared" si="119"/>
        <v>-169.00195421780433</v>
      </c>
      <c r="L962" s="14">
        <f>C962/B962</f>
        <v>1.0929626411815814</v>
      </c>
      <c r="M962" s="14">
        <f t="shared" si="122"/>
        <v>1.0902776631708799</v>
      </c>
      <c r="N962" s="14">
        <f t="shared" si="126"/>
        <v>1.089922895793183</v>
      </c>
      <c r="O962" s="14">
        <f t="shared" si="127"/>
        <v>1.0922097054783551</v>
      </c>
      <c r="P962" s="14">
        <f t="shared" si="120"/>
        <v>1.0921443264498398</v>
      </c>
      <c r="Q962" s="4" t="str">
        <f t="shared" si="125"/>
        <v>OVER</v>
      </c>
      <c r="R962" s="4" t="str">
        <f t="shared" si="125"/>
        <v>OVER</v>
      </c>
      <c r="S962" s="4" t="str">
        <f t="shared" si="123"/>
        <v>OVER</v>
      </c>
      <c r="T962" s="4" t="str">
        <f t="shared" si="123"/>
        <v>OVER</v>
      </c>
      <c r="U962" s="2">
        <f>IF(Q962="OVER",$J962,$K962)</f>
        <v>169.00195421780433</v>
      </c>
      <c r="V962" s="2">
        <f>IF(R962="OVER",$J962,$K962)</f>
        <v>169.00195421780433</v>
      </c>
      <c r="W962" s="2">
        <f>IF(S962="OVER",$J962,$K962)</f>
        <v>169.00195421780433</v>
      </c>
      <c r="X962" s="2">
        <f>IF(T962="OVER",$J962,$K962)</f>
        <v>169.00195421780433</v>
      </c>
      <c r="Y962" s="9">
        <f t="shared" si="124"/>
        <v>-41659.686573314328</v>
      </c>
      <c r="Z962" s="9">
        <f t="shared" si="124"/>
        <v>-39881.156735167278</v>
      </c>
      <c r="AA962" s="9">
        <f t="shared" si="124"/>
        <v>55123.963633912826</v>
      </c>
      <c r="AB962" s="9">
        <f t="shared" si="121"/>
        <v>23735.24972731814</v>
      </c>
    </row>
    <row r="963" spans="1:28" x14ac:dyDescent="0.3">
      <c r="A963" s="1">
        <v>45813</v>
      </c>
      <c r="B963" s="2">
        <v>80.5</v>
      </c>
      <c r="C963" s="2">
        <v>87.9</v>
      </c>
      <c r="D963" s="9">
        <f>B963-B962</f>
        <v>-6.9999999999993179E-2</v>
      </c>
      <c r="E963" s="9">
        <f>C963-C962</f>
        <v>-0.15999999999999659</v>
      </c>
      <c r="F963" s="3">
        <f>F$1/B963</f>
        <v>1242.2360248447205</v>
      </c>
      <c r="G963" s="3">
        <f>F$1/C963</f>
        <v>1137.6564277588168</v>
      </c>
      <c r="H963" s="2">
        <f>D963*F962</f>
        <v>-86.880973066889894</v>
      </c>
      <c r="I963" s="2">
        <f>E963*G962</f>
        <v>-181.69429934135428</v>
      </c>
      <c r="J963" s="2">
        <f>I963-H963</f>
        <v>-94.813326274464387</v>
      </c>
      <c r="K963" s="2">
        <f t="shared" si="119"/>
        <v>94.813326274464387</v>
      </c>
      <c r="L963" s="14">
        <f>C963/B963</f>
        <v>1.0919254658385094</v>
      </c>
      <c r="M963" s="14">
        <f t="shared" si="122"/>
        <v>1.0905196699606059</v>
      </c>
      <c r="N963" s="14">
        <f t="shared" si="126"/>
        <v>1.0900033701852749</v>
      </c>
      <c r="O963" s="14">
        <f t="shared" si="127"/>
        <v>1.0922346447253724</v>
      </c>
      <c r="P963" s="14">
        <f t="shared" si="120"/>
        <v>1.0921251576094015</v>
      </c>
      <c r="Q963" s="4" t="str">
        <f t="shared" si="125"/>
        <v>OVER</v>
      </c>
      <c r="R963" s="4" t="str">
        <f t="shared" si="125"/>
        <v>OVER</v>
      </c>
      <c r="S963" s="4" t="str">
        <f t="shared" si="123"/>
        <v>UNDER</v>
      </c>
      <c r="T963" s="4" t="str">
        <f t="shared" si="123"/>
        <v>UNDER</v>
      </c>
      <c r="U963" s="2">
        <f>IF(Q963="OVER",$J963,$K963)</f>
        <v>-94.813326274464387</v>
      </c>
      <c r="V963" s="2">
        <f>IF(R963="OVER",$J963,$K963)</f>
        <v>-94.813326274464387</v>
      </c>
      <c r="W963" s="2">
        <f>IF(S963="OVER",$J963,$K963)</f>
        <v>94.813326274464387</v>
      </c>
      <c r="X963" s="2">
        <f>IF(T963="OVER",$J963,$K963)</f>
        <v>94.813326274464387</v>
      </c>
      <c r="Y963" s="9">
        <f t="shared" si="124"/>
        <v>-41754.499899588795</v>
      </c>
      <c r="Z963" s="9">
        <f t="shared" si="124"/>
        <v>-39975.970061441745</v>
      </c>
      <c r="AA963" s="9">
        <f t="shared" si="124"/>
        <v>55218.776960187293</v>
      </c>
      <c r="AB963" s="9">
        <f t="shared" si="121"/>
        <v>23830.063053592603</v>
      </c>
    </row>
    <row r="964" spans="1:28" x14ac:dyDescent="0.3">
      <c r="A964" s="1">
        <v>45814</v>
      </c>
      <c r="B964" s="2">
        <v>81.12</v>
      </c>
      <c r="C964" s="2">
        <v>88.22</v>
      </c>
      <c r="D964" s="9">
        <f>B964-B963</f>
        <v>0.62000000000000455</v>
      </c>
      <c r="E964" s="9">
        <f>C964-C963</f>
        <v>0.31999999999999318</v>
      </c>
      <c r="F964" s="3">
        <f>F$1/B964</f>
        <v>1232.7416173570018</v>
      </c>
      <c r="G964" s="3">
        <f>F$1/C964</f>
        <v>1133.5298118340513</v>
      </c>
      <c r="H964" s="2">
        <f>D964*F963</f>
        <v>770.18633540373241</v>
      </c>
      <c r="I964" s="2">
        <f>E964*G963</f>
        <v>364.05005688281364</v>
      </c>
      <c r="J964" s="2">
        <f>I964-H964</f>
        <v>-406.13627852091878</v>
      </c>
      <c r="K964" s="2">
        <f t="shared" si="119"/>
        <v>406.13627852091878</v>
      </c>
      <c r="L964" s="14">
        <f>C964/B964</f>
        <v>1.0875246548323472</v>
      </c>
      <c r="M964" s="14">
        <f t="shared" si="122"/>
        <v>1.090351181867931</v>
      </c>
      <c r="N964" s="14">
        <f t="shared" si="126"/>
        <v>1.0897085419559198</v>
      </c>
      <c r="O964" s="14">
        <f t="shared" si="127"/>
        <v>1.092181146010351</v>
      </c>
      <c r="P964" s="14">
        <f t="shared" si="120"/>
        <v>1.09207884404719</v>
      </c>
      <c r="Q964" s="4" t="str">
        <f t="shared" si="125"/>
        <v>OVER</v>
      </c>
      <c r="R964" s="4" t="str">
        <f t="shared" si="125"/>
        <v>OVER</v>
      </c>
      <c r="S964" s="4" t="str">
        <f t="shared" si="123"/>
        <v>UNDER</v>
      </c>
      <c r="T964" s="4" t="str">
        <f t="shared" si="123"/>
        <v>UNDER</v>
      </c>
      <c r="U964" s="2">
        <f>IF(Q964="OVER",$J964,$K964)</f>
        <v>-406.13627852091878</v>
      </c>
      <c r="V964" s="2">
        <f>IF(R964="OVER",$J964,$K964)</f>
        <v>-406.13627852091878</v>
      </c>
      <c r="W964" s="2">
        <f>IF(S964="OVER",$J964,$K964)</f>
        <v>406.13627852091878</v>
      </c>
      <c r="X964" s="2">
        <f>IF(T964="OVER",$J964,$K964)</f>
        <v>406.13627852091878</v>
      </c>
      <c r="Y964" s="9">
        <f t="shared" si="124"/>
        <v>-42160.636178109715</v>
      </c>
      <c r="Z964" s="9">
        <f t="shared" si="124"/>
        <v>-40382.106339962666</v>
      </c>
      <c r="AA964" s="9">
        <f t="shared" si="124"/>
        <v>55624.913238708214</v>
      </c>
      <c r="AB964" s="9">
        <f t="shared" si="121"/>
        <v>24236.199332113523</v>
      </c>
    </row>
    <row r="965" spans="1:28" x14ac:dyDescent="0.3">
      <c r="A965" s="1">
        <v>45817</v>
      </c>
      <c r="B965" s="2">
        <v>81.260000000000005</v>
      </c>
      <c r="C965" s="2">
        <v>88.58</v>
      </c>
      <c r="D965" s="9">
        <f>B965-B964</f>
        <v>0.14000000000000057</v>
      </c>
      <c r="E965" s="9">
        <f>C965-C964</f>
        <v>0.35999999999999943</v>
      </c>
      <c r="F965" s="3">
        <f>F$1/B965</f>
        <v>1230.6177701206004</v>
      </c>
      <c r="G965" s="3">
        <f>F$1/C965</f>
        <v>1128.9230074508919</v>
      </c>
      <c r="H965" s="2">
        <f>D965*F964</f>
        <v>172.58382642998095</v>
      </c>
      <c r="I965" s="2">
        <f>E965*G964</f>
        <v>408.07073226025784</v>
      </c>
      <c r="J965" s="2">
        <f>I965-H965</f>
        <v>235.4869058302769</v>
      </c>
      <c r="K965" s="2">
        <f t="shared" ref="K965:K1028" si="128">H965-I965</f>
        <v>-235.4869058302769</v>
      </c>
      <c r="L965" s="14">
        <f>C965/B965</f>
        <v>1.0900812207728279</v>
      </c>
      <c r="M965" s="14">
        <f t="shared" si="122"/>
        <v>1.0905036325471482</v>
      </c>
      <c r="N965" s="14">
        <f t="shared" si="126"/>
        <v>1.0895173805892895</v>
      </c>
      <c r="O965" s="14">
        <f t="shared" si="127"/>
        <v>1.0921318706828771</v>
      </c>
      <c r="P965" s="14">
        <f t="shared" si="120"/>
        <v>1.0920602018827146</v>
      </c>
      <c r="Q965" s="4" t="str">
        <f t="shared" si="125"/>
        <v>UNDER</v>
      </c>
      <c r="R965" s="4" t="str">
        <f t="shared" si="125"/>
        <v>UNDER</v>
      </c>
      <c r="S965" s="4" t="str">
        <f t="shared" si="123"/>
        <v>UNDER</v>
      </c>
      <c r="T965" s="4" t="str">
        <f t="shared" si="123"/>
        <v>UNDER</v>
      </c>
      <c r="U965" s="2">
        <f>IF(Q965="OVER",$J965,$K965)</f>
        <v>-235.4869058302769</v>
      </c>
      <c r="V965" s="2">
        <f>IF(R965="OVER",$J965,$K965)</f>
        <v>-235.4869058302769</v>
      </c>
      <c r="W965" s="2">
        <f>IF(S965="OVER",$J965,$K965)</f>
        <v>-235.4869058302769</v>
      </c>
      <c r="X965" s="2">
        <f>IF(T965="OVER",$J965,$K965)</f>
        <v>-235.4869058302769</v>
      </c>
      <c r="Y965" s="9">
        <f t="shared" si="124"/>
        <v>-42396.123083939994</v>
      </c>
      <c r="Z965" s="9">
        <f t="shared" si="124"/>
        <v>-40617.593245792945</v>
      </c>
      <c r="AA965" s="9">
        <f t="shared" si="124"/>
        <v>55389.426332877934</v>
      </c>
      <c r="AB965" s="9">
        <f t="shared" si="121"/>
        <v>24000.712426283248</v>
      </c>
    </row>
    <row r="966" spans="1:28" x14ac:dyDescent="0.3">
      <c r="A966" s="1">
        <v>45818</v>
      </c>
      <c r="B966" s="2">
        <v>81.27</v>
      </c>
      <c r="C966" s="2">
        <v>88.51</v>
      </c>
      <c r="D966" s="9">
        <f>B966-B965</f>
        <v>9.9999999999909051E-3</v>
      </c>
      <c r="E966" s="9">
        <f>C966-C965</f>
        <v>-6.9999999999993179E-2</v>
      </c>
      <c r="F966" s="3">
        <f>F$1/B966</f>
        <v>1230.4663467454166</v>
      </c>
      <c r="G966" s="3">
        <f>F$1/C966</f>
        <v>1129.8158400180771</v>
      </c>
      <c r="H966" s="2">
        <f>D966*F965</f>
        <v>12.306177701194812</v>
      </c>
      <c r="I966" s="2">
        <f>E966*G965</f>
        <v>-79.024610521554735</v>
      </c>
      <c r="J966" s="2">
        <f>I966-H966</f>
        <v>-91.330788222749547</v>
      </c>
      <c r="K966" s="2">
        <f t="shared" si="128"/>
        <v>91.330788222749547</v>
      </c>
      <c r="L966" s="14">
        <f>C966/B966</f>
        <v>1.0890857635043683</v>
      </c>
      <c r="M966" s="14">
        <f t="shared" si="122"/>
        <v>1.0904608980361616</v>
      </c>
      <c r="N966" s="14">
        <f t="shared" si="126"/>
        <v>1.0894313310534385</v>
      </c>
      <c r="O966" s="14">
        <f t="shared" si="127"/>
        <v>1.0920859504401605</v>
      </c>
      <c r="P966" s="14">
        <f t="shared" si="120"/>
        <v>1.0920326760930061</v>
      </c>
      <c r="Q966" s="4" t="str">
        <f t="shared" si="125"/>
        <v>UNDER</v>
      </c>
      <c r="R966" s="4" t="str">
        <f t="shared" si="125"/>
        <v>OVER</v>
      </c>
      <c r="S966" s="4" t="str">
        <f t="shared" si="123"/>
        <v>UNDER</v>
      </c>
      <c r="T966" s="4" t="str">
        <f t="shared" si="123"/>
        <v>UNDER</v>
      </c>
      <c r="U966" s="2">
        <f>IF(Q966="OVER",$J966,$K966)</f>
        <v>91.330788222749547</v>
      </c>
      <c r="V966" s="2">
        <f>IF(R966="OVER",$J966,$K966)</f>
        <v>-91.330788222749547</v>
      </c>
      <c r="W966" s="2">
        <f>IF(S966="OVER",$J966,$K966)</f>
        <v>91.330788222749547</v>
      </c>
      <c r="X966" s="2">
        <f>IF(T966="OVER",$J966,$K966)</f>
        <v>91.330788222749547</v>
      </c>
      <c r="Y966" s="9">
        <f t="shared" si="124"/>
        <v>-42304.792295717241</v>
      </c>
      <c r="Z966" s="9">
        <f t="shared" si="124"/>
        <v>-40708.924034015698</v>
      </c>
      <c r="AA966" s="9">
        <f t="shared" si="124"/>
        <v>55480.757121100687</v>
      </c>
      <c r="AB966" s="9">
        <f t="shared" si="121"/>
        <v>24092.043214505997</v>
      </c>
    </row>
    <row r="967" spans="1:28" x14ac:dyDescent="0.3">
      <c r="A967" s="1">
        <v>45819</v>
      </c>
      <c r="B967" s="2">
        <v>81.209999999999994</v>
      </c>
      <c r="C967" s="2">
        <v>88.42</v>
      </c>
      <c r="D967" s="9">
        <f>B967-B966</f>
        <v>-6.0000000000002274E-2</v>
      </c>
      <c r="E967" s="9">
        <f>C967-C966</f>
        <v>-9.0000000000003411E-2</v>
      </c>
      <c r="F967" s="3">
        <f>F$1/B967</f>
        <v>1231.3754463735995</v>
      </c>
      <c r="G967" s="3">
        <f>F$1/C967</f>
        <v>1130.965844831486</v>
      </c>
      <c r="H967" s="2">
        <f>D967*F966</f>
        <v>-73.827980804727787</v>
      </c>
      <c r="I967" s="2">
        <f>E967*G966</f>
        <v>-101.68342560163079</v>
      </c>
      <c r="J967" s="2">
        <f>I967-H967</f>
        <v>-27.855444796903001</v>
      </c>
      <c r="K967" s="2">
        <f t="shared" si="128"/>
        <v>27.855444796903001</v>
      </c>
      <c r="L967" s="14">
        <f>C967/B967</f>
        <v>1.0887821696835367</v>
      </c>
      <c r="M967" s="14">
        <f t="shared" si="122"/>
        <v>1.090456629411932</v>
      </c>
      <c r="N967" s="14">
        <f t="shared" si="126"/>
        <v>1.0893831803704308</v>
      </c>
      <c r="O967" s="14">
        <f t="shared" si="127"/>
        <v>1.0920370049536432</v>
      </c>
      <c r="P967" s="14">
        <f t="shared" si="120"/>
        <v>1.0919947576233349</v>
      </c>
      <c r="Q967" s="4" t="str">
        <f t="shared" si="125"/>
        <v>UNDER</v>
      </c>
      <c r="R967" s="4" t="str">
        <f t="shared" si="125"/>
        <v>UNDER</v>
      </c>
      <c r="S967" s="4" t="str">
        <f t="shared" si="123"/>
        <v>UNDER</v>
      </c>
      <c r="T967" s="4" t="str">
        <f t="shared" si="123"/>
        <v>UNDER</v>
      </c>
      <c r="U967" s="2">
        <f>IF(Q967="OVER",$J967,$K967)</f>
        <v>27.855444796903001</v>
      </c>
      <c r="V967" s="2">
        <f>IF(R967="OVER",$J967,$K967)</f>
        <v>27.855444796903001</v>
      </c>
      <c r="W967" s="2">
        <f>IF(S967="OVER",$J967,$K967)</f>
        <v>27.855444796903001</v>
      </c>
      <c r="X967" s="2">
        <f>IF(T967="OVER",$J967,$K967)</f>
        <v>27.855444796903001</v>
      </c>
      <c r="Y967" s="9">
        <f t="shared" si="124"/>
        <v>-42276.936850920341</v>
      </c>
      <c r="Z967" s="9">
        <f t="shared" si="124"/>
        <v>-40681.068589218798</v>
      </c>
      <c r="AA967" s="9">
        <f t="shared" si="124"/>
        <v>55508.612565897587</v>
      </c>
      <c r="AB967" s="9">
        <f t="shared" si="121"/>
        <v>24119.8986593029</v>
      </c>
    </row>
    <row r="968" spans="1:28" x14ac:dyDescent="0.3">
      <c r="A968" s="1">
        <v>45820</v>
      </c>
      <c r="B968" s="2">
        <v>80.84</v>
      </c>
      <c r="C968" s="2">
        <v>88.12</v>
      </c>
      <c r="D968" s="9">
        <f>B968-B967</f>
        <v>-0.36999999999999034</v>
      </c>
      <c r="E968" s="9">
        <f>C968-C967</f>
        <v>-0.29999999999999716</v>
      </c>
      <c r="F968" s="3">
        <f>F$1/B968</f>
        <v>1237.0113805047006</v>
      </c>
      <c r="G968" s="3">
        <f>F$1/C968</f>
        <v>1134.8161597821152</v>
      </c>
      <c r="H968" s="2">
        <f>D968*F967</f>
        <v>-455.60891515821993</v>
      </c>
      <c r="I968" s="2">
        <f>E968*G967</f>
        <v>-339.28975344944257</v>
      </c>
      <c r="J968" s="2">
        <f>I968-H968</f>
        <v>116.31916170877736</v>
      </c>
      <c r="K968" s="2">
        <f t="shared" si="128"/>
        <v>-116.31916170877736</v>
      </c>
      <c r="L968" s="14">
        <f>C968/B968</f>
        <v>1.0900544285007423</v>
      </c>
      <c r="M968" s="14">
        <f t="shared" si="122"/>
        <v>1.0904954306768546</v>
      </c>
      <c r="N968" s="14">
        <f t="shared" si="126"/>
        <v>1.0894584303597994</v>
      </c>
      <c r="O968" s="14">
        <f t="shared" si="127"/>
        <v>1.0920277262405116</v>
      </c>
      <c r="P968" s="14">
        <f t="shared" si="120"/>
        <v>1.0919702523177675</v>
      </c>
      <c r="Q968" s="4" t="str">
        <f t="shared" si="125"/>
        <v>UNDER</v>
      </c>
      <c r="R968" s="4" t="str">
        <f t="shared" si="125"/>
        <v>UNDER</v>
      </c>
      <c r="S968" s="4" t="str">
        <f t="shared" si="123"/>
        <v>UNDER</v>
      </c>
      <c r="T968" s="4" t="str">
        <f t="shared" si="123"/>
        <v>UNDER</v>
      </c>
      <c r="U968" s="2">
        <f>IF(Q968="OVER",$J968,$K968)</f>
        <v>-116.31916170877736</v>
      </c>
      <c r="V968" s="2">
        <f>IF(R968="OVER",$J968,$K968)</f>
        <v>-116.31916170877736</v>
      </c>
      <c r="W968" s="2">
        <f>IF(S968="OVER",$J968,$K968)</f>
        <v>-116.31916170877736</v>
      </c>
      <c r="X968" s="2">
        <f>IF(T968="OVER",$J968,$K968)</f>
        <v>-116.31916170877736</v>
      </c>
      <c r="Y968" s="9">
        <f t="shared" si="124"/>
        <v>-42393.256012629121</v>
      </c>
      <c r="Z968" s="9">
        <f t="shared" si="124"/>
        <v>-40797.387750927577</v>
      </c>
      <c r="AA968" s="9">
        <f t="shared" si="124"/>
        <v>55392.293404188807</v>
      </c>
      <c r="AB968" s="9">
        <f t="shared" si="121"/>
        <v>24003.579497594124</v>
      </c>
    </row>
    <row r="969" spans="1:28" x14ac:dyDescent="0.3">
      <c r="A969" s="1">
        <v>45821</v>
      </c>
      <c r="B969" s="2">
        <v>80.27</v>
      </c>
      <c r="C969" s="2">
        <v>87.61</v>
      </c>
      <c r="D969" s="9">
        <f>B969-B968</f>
        <v>-0.57000000000000739</v>
      </c>
      <c r="E969" s="9">
        <f>C969-C968</f>
        <v>-0.51000000000000512</v>
      </c>
      <c r="F969" s="3">
        <f>F$1/B969</f>
        <v>1245.7954403886883</v>
      </c>
      <c r="G969" s="3">
        <f>F$1/C969</f>
        <v>1141.422212076247</v>
      </c>
      <c r="H969" s="2">
        <f>D969*F968</f>
        <v>-705.09648688768846</v>
      </c>
      <c r="I969" s="2">
        <f>E969*G968</f>
        <v>-578.75624148888448</v>
      </c>
      <c r="J969" s="2">
        <f>I969-H969</f>
        <v>126.34024539880397</v>
      </c>
      <c r="K969" s="2">
        <f t="shared" si="128"/>
        <v>-126.34024539880397</v>
      </c>
      <c r="L969" s="14">
        <f>C969/B969</f>
        <v>1.0914413853245297</v>
      </c>
      <c r="M969" s="14">
        <f t="shared" si="122"/>
        <v>1.0905258673163654</v>
      </c>
      <c r="N969" s="14">
        <f t="shared" si="126"/>
        <v>1.0896742977866025</v>
      </c>
      <c r="O969" s="14">
        <f t="shared" si="127"/>
        <v>1.0920626114152909</v>
      </c>
      <c r="P969" s="14">
        <f t="shared" si="120"/>
        <v>1.0919556082925879</v>
      </c>
      <c r="Q969" s="4" t="str">
        <f t="shared" si="125"/>
        <v>UNDER</v>
      </c>
      <c r="R969" s="4" t="str">
        <f t="shared" si="125"/>
        <v>OVER</v>
      </c>
      <c r="S969" s="4" t="str">
        <f t="shared" si="123"/>
        <v>UNDER</v>
      </c>
      <c r="T969" s="4" t="str">
        <f t="shared" si="123"/>
        <v>UNDER</v>
      </c>
      <c r="U969" s="2">
        <f>IF(Q969="OVER",$J969,$K969)</f>
        <v>-126.34024539880397</v>
      </c>
      <c r="V969" s="2">
        <f>IF(R969="OVER",$J969,$K969)</f>
        <v>126.34024539880397</v>
      </c>
      <c r="W969" s="2">
        <f>IF(S969="OVER",$J969,$K969)</f>
        <v>-126.34024539880397</v>
      </c>
      <c r="X969" s="2">
        <f>IF(T969="OVER",$J969,$K969)</f>
        <v>-126.34024539880397</v>
      </c>
      <c r="Y969" s="9">
        <f t="shared" si="124"/>
        <v>-42519.596258027923</v>
      </c>
      <c r="Z969" s="9">
        <f t="shared" si="124"/>
        <v>-40671.047505528775</v>
      </c>
      <c r="AA969" s="9">
        <f t="shared" si="124"/>
        <v>55265.953158790006</v>
      </c>
      <c r="AB969" s="9">
        <f t="shared" si="121"/>
        <v>23877.239252195319</v>
      </c>
    </row>
    <row r="970" spans="1:28" x14ac:dyDescent="0.3">
      <c r="A970" s="1">
        <v>45824</v>
      </c>
      <c r="B970" s="2">
        <v>80.88</v>
      </c>
      <c r="C970" s="2">
        <v>88.21</v>
      </c>
      <c r="D970" s="9">
        <f>B970-B969</f>
        <v>0.60999999999999943</v>
      </c>
      <c r="E970" s="9">
        <f>C970-C969</f>
        <v>0.59999999999999432</v>
      </c>
      <c r="F970" s="3">
        <f>F$1/B970</f>
        <v>1236.3996043521267</v>
      </c>
      <c r="G970" s="3">
        <f>F$1/C970</f>
        <v>1133.6583153837435</v>
      </c>
      <c r="H970" s="2">
        <f>D970*F969</f>
        <v>759.93521863709918</v>
      </c>
      <c r="I970" s="2">
        <f>E970*G969</f>
        <v>684.85332724574175</v>
      </c>
      <c r="J970" s="2">
        <f>I970-H970</f>
        <v>-75.081891391357431</v>
      </c>
      <c r="K970" s="2">
        <f t="shared" si="128"/>
        <v>75.081891391357431</v>
      </c>
      <c r="L970" s="14">
        <f>C970/B970</f>
        <v>1.0906280909990109</v>
      </c>
      <c r="M970" s="14">
        <f t="shared" si="122"/>
        <v>1.090360993367119</v>
      </c>
      <c r="N970" s="14">
        <f t="shared" si="126"/>
        <v>1.0898283065161005</v>
      </c>
      <c r="O970" s="14">
        <f t="shared" si="127"/>
        <v>1.0920227776660731</v>
      </c>
      <c r="P970" s="14">
        <f t="shared" si="120"/>
        <v>1.0919280313797295</v>
      </c>
      <c r="Q970" s="4" t="str">
        <f t="shared" si="125"/>
        <v>OVER</v>
      </c>
      <c r="R970" s="4" t="str">
        <f t="shared" si="125"/>
        <v>OVER</v>
      </c>
      <c r="S970" s="4" t="str">
        <f t="shared" si="123"/>
        <v>UNDER</v>
      </c>
      <c r="T970" s="4" t="str">
        <f t="shared" si="123"/>
        <v>UNDER</v>
      </c>
      <c r="U970" s="2">
        <f>IF(Q970="OVER",$J970,$K970)</f>
        <v>-75.081891391357431</v>
      </c>
      <c r="V970" s="2">
        <f>IF(R970="OVER",$J970,$K970)</f>
        <v>-75.081891391357431</v>
      </c>
      <c r="W970" s="2">
        <f>IF(S970="OVER",$J970,$K970)</f>
        <v>75.081891391357431</v>
      </c>
      <c r="X970" s="2">
        <f>IF(T970="OVER",$J970,$K970)</f>
        <v>75.081891391357431</v>
      </c>
      <c r="Y970" s="9">
        <f t="shared" si="124"/>
        <v>-42594.678149419284</v>
      </c>
      <c r="Z970" s="9">
        <f t="shared" si="124"/>
        <v>-40746.129396920136</v>
      </c>
      <c r="AA970" s="9">
        <f t="shared" si="124"/>
        <v>55341.035050181366</v>
      </c>
      <c r="AB970" s="9">
        <f t="shared" si="121"/>
        <v>23952.321143586676</v>
      </c>
    </row>
    <row r="971" spans="1:28" x14ac:dyDescent="0.3">
      <c r="A971" s="1">
        <v>45825</v>
      </c>
      <c r="B971" s="2">
        <v>80.44</v>
      </c>
      <c r="C971" s="2">
        <v>87.85</v>
      </c>
      <c r="D971" s="9">
        <f>B971-B970</f>
        <v>-0.43999999999999773</v>
      </c>
      <c r="E971" s="9">
        <f>C971-C970</f>
        <v>-0.35999999999999943</v>
      </c>
      <c r="F971" s="3">
        <f>F$1/B971</f>
        <v>1243.1626056688215</v>
      </c>
      <c r="G971" s="3">
        <f>F$1/C971</f>
        <v>1138.3039271485488</v>
      </c>
      <c r="H971" s="2">
        <f>D971*F970</f>
        <v>-544.01582591493298</v>
      </c>
      <c r="I971" s="2">
        <f>E971*G970</f>
        <v>-408.11699353814703</v>
      </c>
      <c r="J971" s="2">
        <f>I971-H971</f>
        <v>135.89883237678595</v>
      </c>
      <c r="K971" s="2">
        <f t="shared" si="128"/>
        <v>-135.89883237678595</v>
      </c>
      <c r="L971" s="14">
        <f>C971/B971</f>
        <v>1.0921183490800597</v>
      </c>
      <c r="M971" s="14">
        <f t="shared" si="122"/>
        <v>1.0904604169717513</v>
      </c>
      <c r="N971" s="14">
        <f t="shared" si="126"/>
        <v>1.0900326413786101</v>
      </c>
      <c r="O971" s="14">
        <f t="shared" si="127"/>
        <v>1.0919016680583569</v>
      </c>
      <c r="P971" s="14">
        <f t="shared" ref="P971:P1034" si="129">AVERAGE(L772:L971)</f>
        <v>1.0919146894758409</v>
      </c>
      <c r="Q971" s="4" t="str">
        <f t="shared" si="125"/>
        <v>OVER</v>
      </c>
      <c r="R971" s="4" t="str">
        <f t="shared" si="125"/>
        <v>OVER</v>
      </c>
      <c r="S971" s="4" t="str">
        <f t="shared" si="123"/>
        <v>OVER</v>
      </c>
      <c r="T971" s="4" t="str">
        <f t="shared" si="123"/>
        <v>OVER</v>
      </c>
      <c r="U971" s="2">
        <f>IF(Q971="OVER",$J971,$K971)</f>
        <v>135.89883237678595</v>
      </c>
      <c r="V971" s="2">
        <f>IF(R971="OVER",$J971,$K971)</f>
        <v>135.89883237678595</v>
      </c>
      <c r="W971" s="2">
        <f>IF(S971="OVER",$J971,$K971)</f>
        <v>135.89883237678595</v>
      </c>
      <c r="X971" s="2">
        <f>IF(T971="OVER",$J971,$K971)</f>
        <v>135.89883237678595</v>
      </c>
      <c r="Y971" s="9">
        <f t="shared" si="124"/>
        <v>-42458.779317042499</v>
      </c>
      <c r="Z971" s="9">
        <f t="shared" si="124"/>
        <v>-40610.230564543352</v>
      </c>
      <c r="AA971" s="9">
        <f t="shared" si="124"/>
        <v>55476.933882558151</v>
      </c>
      <c r="AB971" s="9">
        <f t="shared" si="121"/>
        <v>24088.21997596346</v>
      </c>
    </row>
    <row r="972" spans="1:28" x14ac:dyDescent="0.3">
      <c r="A972" s="1">
        <v>45826</v>
      </c>
      <c r="B972" s="2">
        <v>80.55</v>
      </c>
      <c r="C972" s="2">
        <v>87.96</v>
      </c>
      <c r="D972" s="9">
        <f>B972-B971</f>
        <v>0.10999999999999943</v>
      </c>
      <c r="E972" s="9">
        <f>C972-C971</f>
        <v>0.10999999999999943</v>
      </c>
      <c r="F972" s="3">
        <f>F$1/B972</f>
        <v>1241.4649286157667</v>
      </c>
      <c r="G972" s="3">
        <f>F$1/C972</f>
        <v>1136.880400181901</v>
      </c>
      <c r="H972" s="2">
        <f>D972*F971</f>
        <v>136.74788662356966</v>
      </c>
      <c r="I972" s="2">
        <f>E972*G971</f>
        <v>125.21343198633973</v>
      </c>
      <c r="J972" s="2">
        <f>I972-H972</f>
        <v>-11.534454637229928</v>
      </c>
      <c r="K972" s="2">
        <f t="shared" si="128"/>
        <v>11.534454637229928</v>
      </c>
      <c r="L972" s="14">
        <f>C972/B972</f>
        <v>1.0919925512104283</v>
      </c>
      <c r="M972" s="14">
        <f t="shared" si="122"/>
        <v>1.090363407974636</v>
      </c>
      <c r="N972" s="14">
        <f t="shared" si="126"/>
        <v>1.0903205355727579</v>
      </c>
      <c r="O972" s="14">
        <f t="shared" si="127"/>
        <v>1.0918218947212894</v>
      </c>
      <c r="P972" s="14">
        <f t="shared" si="129"/>
        <v>1.0918951816754372</v>
      </c>
      <c r="Q972" s="4" t="str">
        <f t="shared" si="125"/>
        <v>OVER</v>
      </c>
      <c r="R972" s="4" t="str">
        <f t="shared" si="125"/>
        <v>OVER</v>
      </c>
      <c r="S972" s="4" t="str">
        <f t="shared" si="123"/>
        <v>OVER</v>
      </c>
      <c r="T972" s="4" t="str">
        <f t="shared" si="123"/>
        <v>OVER</v>
      </c>
      <c r="U972" s="2">
        <f>IF(Q972="OVER",$J972,$K972)</f>
        <v>-11.534454637229928</v>
      </c>
      <c r="V972" s="2">
        <f>IF(R972="OVER",$J972,$K972)</f>
        <v>-11.534454637229928</v>
      </c>
      <c r="W972" s="2">
        <f>IF(S972="OVER",$J972,$K972)</f>
        <v>-11.534454637229928</v>
      </c>
      <c r="X972" s="2">
        <f>IF(T972="OVER",$J972,$K972)</f>
        <v>-11.534454637229928</v>
      </c>
      <c r="Y972" s="9">
        <f t="shared" si="124"/>
        <v>-42470.313771679728</v>
      </c>
      <c r="Z972" s="9">
        <f t="shared" si="124"/>
        <v>-40621.765019180581</v>
      </c>
      <c r="AA972" s="9">
        <f t="shared" si="124"/>
        <v>55465.399427920922</v>
      </c>
      <c r="AB972" s="9">
        <f t="shared" si="124"/>
        <v>24076.685521326232</v>
      </c>
    </row>
    <row r="973" spans="1:28" x14ac:dyDescent="0.3">
      <c r="A973" s="1">
        <v>45828</v>
      </c>
      <c r="B973" s="2">
        <v>80.61</v>
      </c>
      <c r="C973" s="2">
        <v>88.04</v>
      </c>
      <c r="D973" s="9">
        <f>B973-B972</f>
        <v>6.0000000000002274E-2</v>
      </c>
      <c r="E973" s="9">
        <f>C973-C972</f>
        <v>8.0000000000012506E-2</v>
      </c>
      <c r="F973" s="3">
        <f>F$1/B973</f>
        <v>1240.5408758218584</v>
      </c>
      <c r="G973" s="3">
        <f>F$1/C973</f>
        <v>1135.8473421172193</v>
      </c>
      <c r="H973" s="2">
        <f>D973*F972</f>
        <v>74.487895716948827</v>
      </c>
      <c r="I973" s="2">
        <f>E973*G972</f>
        <v>90.950432014566303</v>
      </c>
      <c r="J973" s="2">
        <f>I973-H973</f>
        <v>16.462536297617476</v>
      </c>
      <c r="K973" s="2">
        <f t="shared" si="128"/>
        <v>-16.462536297617476</v>
      </c>
      <c r="L973" s="14">
        <f>C973/B973</f>
        <v>1.0921721870735641</v>
      </c>
      <c r="M973" s="14">
        <f t="shared" ref="M973:M1036" si="130">AVERAGE(L964:L973)</f>
        <v>1.0903880800981411</v>
      </c>
      <c r="N973" s="14">
        <f t="shared" si="126"/>
        <v>1.0904538750293737</v>
      </c>
      <c r="O973" s="14">
        <f t="shared" si="127"/>
        <v>1.0916837075136929</v>
      </c>
      <c r="P973" s="14">
        <f t="shared" si="129"/>
        <v>1.0918849159450357</v>
      </c>
      <c r="Q973" s="4" t="str">
        <f t="shared" si="125"/>
        <v>OVER</v>
      </c>
      <c r="R973" s="4" t="str">
        <f t="shared" si="125"/>
        <v>OVER</v>
      </c>
      <c r="S973" s="4" t="str">
        <f t="shared" ref="S973:T1036" si="131">IF($L973&gt;O973,"OVER","UNDER")</f>
        <v>OVER</v>
      </c>
      <c r="T973" s="4" t="str">
        <f t="shared" si="131"/>
        <v>OVER</v>
      </c>
      <c r="U973" s="2">
        <f>IF(Q973="OVER",$J973,$K973)</f>
        <v>16.462536297617476</v>
      </c>
      <c r="V973" s="2">
        <f>IF(R973="OVER",$J973,$K973)</f>
        <v>16.462536297617476</v>
      </c>
      <c r="W973" s="2">
        <f>IF(S973="OVER",$J973,$K973)</f>
        <v>16.462536297617476</v>
      </c>
      <c r="X973" s="2">
        <f>IF(T973="OVER",$J973,$K973)</f>
        <v>16.462536297617476</v>
      </c>
      <c r="Y973" s="9">
        <f t="shared" ref="Y973:AB1036" si="132">Y972+U973</f>
        <v>-42453.851235382113</v>
      </c>
      <c r="Z973" s="9">
        <f t="shared" si="132"/>
        <v>-40605.302482882966</v>
      </c>
      <c r="AA973" s="9">
        <f t="shared" si="132"/>
        <v>55481.861964218537</v>
      </c>
      <c r="AB973" s="9">
        <f t="shared" si="132"/>
        <v>24093.14805762385</v>
      </c>
    </row>
    <row r="974" spans="1:28" x14ac:dyDescent="0.3">
      <c r="A974" s="1">
        <v>45831</v>
      </c>
      <c r="B974" s="2">
        <v>80.88</v>
      </c>
      <c r="C974" s="2">
        <v>88.31</v>
      </c>
      <c r="D974" s="9">
        <f>B974-B973</f>
        <v>0.26999999999999602</v>
      </c>
      <c r="E974" s="9">
        <f>C974-C973</f>
        <v>0.26999999999999602</v>
      </c>
      <c r="F974" s="3">
        <f>F$1/B974</f>
        <v>1236.3996043521267</v>
      </c>
      <c r="G974" s="3">
        <f>F$1/C974</f>
        <v>1132.3745895142113</v>
      </c>
      <c r="H974" s="2">
        <f>D974*F973</f>
        <v>334.94603647189683</v>
      </c>
      <c r="I974" s="2">
        <f>E974*G973</f>
        <v>306.67878237164473</v>
      </c>
      <c r="J974" s="2">
        <f>I974-H974</f>
        <v>-28.267254100252103</v>
      </c>
      <c r="K974" s="2">
        <f t="shared" si="128"/>
        <v>28.267254100252103</v>
      </c>
      <c r="L974" s="14">
        <f>C974/B974</f>
        <v>1.091864490603363</v>
      </c>
      <c r="M974" s="14">
        <f t="shared" si="130"/>
        <v>1.0908220636752428</v>
      </c>
      <c r="N974" s="14">
        <f t="shared" si="126"/>
        <v>1.090586622771587</v>
      </c>
      <c r="O974" s="14">
        <f t="shared" si="127"/>
        <v>1.0916653823524982</v>
      </c>
      <c r="P974" s="14">
        <f t="shared" si="129"/>
        <v>1.0918809600222519</v>
      </c>
      <c r="Q974" s="4" t="str">
        <f t="shared" ref="Q974:R1037" si="133">IF($L973&gt;M973,"OVER","UNDER")</f>
        <v>OVER</v>
      </c>
      <c r="R974" s="4" t="str">
        <f t="shared" si="133"/>
        <v>OVER</v>
      </c>
      <c r="S974" s="4" t="str">
        <f t="shared" si="131"/>
        <v>OVER</v>
      </c>
      <c r="T974" s="4" t="str">
        <f t="shared" si="131"/>
        <v>UNDER</v>
      </c>
      <c r="U974" s="2">
        <f>IF(Q974="OVER",$J974,$K974)</f>
        <v>-28.267254100252103</v>
      </c>
      <c r="V974" s="2">
        <f>IF(R974="OVER",$J974,$K974)</f>
        <v>-28.267254100252103</v>
      </c>
      <c r="W974" s="2">
        <f>IF(S974="OVER",$J974,$K974)</f>
        <v>-28.267254100252103</v>
      </c>
      <c r="X974" s="2">
        <f>IF(T974="OVER",$J974,$K974)</f>
        <v>28.267254100252103</v>
      </c>
      <c r="Y974" s="9">
        <f t="shared" si="132"/>
        <v>-42482.118489482367</v>
      </c>
      <c r="Z974" s="9">
        <f t="shared" si="132"/>
        <v>-40633.56973698322</v>
      </c>
      <c r="AA974" s="9">
        <f t="shared" si="132"/>
        <v>55453.594710118283</v>
      </c>
      <c r="AB974" s="9">
        <f t="shared" si="132"/>
        <v>24121.4153117241</v>
      </c>
    </row>
    <row r="975" spans="1:28" x14ac:dyDescent="0.3">
      <c r="A975" s="1">
        <v>45832</v>
      </c>
      <c r="B975" s="2">
        <v>81.650000000000006</v>
      </c>
      <c r="C975" s="2">
        <v>89.2</v>
      </c>
      <c r="D975" s="9">
        <f>B975-B974</f>
        <v>0.77000000000001023</v>
      </c>
      <c r="E975" s="9">
        <f>C975-C974</f>
        <v>0.89000000000000057</v>
      </c>
      <c r="F975" s="3">
        <f>F$1/B975</f>
        <v>1224.7397428046538</v>
      </c>
      <c r="G975" s="3">
        <f>F$1/C975</f>
        <v>1121.0762331838564</v>
      </c>
      <c r="H975" s="2">
        <f>D975*F974</f>
        <v>952.02769535115021</v>
      </c>
      <c r="I975" s="2">
        <f>E975*G974</f>
        <v>1007.8133846676486</v>
      </c>
      <c r="J975" s="2">
        <f>I975-H975</f>
        <v>55.785689316498406</v>
      </c>
      <c r="K975" s="2">
        <f t="shared" si="128"/>
        <v>-55.785689316498406</v>
      </c>
      <c r="L975" s="14">
        <f>C975/B975</f>
        <v>1.0924678505817513</v>
      </c>
      <c r="M975" s="14">
        <f t="shared" si="130"/>
        <v>1.0910607266561354</v>
      </c>
      <c r="N975" s="14">
        <f t="shared" si="126"/>
        <v>1.0907821796016419</v>
      </c>
      <c r="O975" s="14">
        <f t="shared" si="127"/>
        <v>1.0914284970643386</v>
      </c>
      <c r="P975" s="14">
        <f t="shared" si="129"/>
        <v>1.0918816244251881</v>
      </c>
      <c r="Q975" s="4" t="str">
        <f t="shared" si="133"/>
        <v>OVER</v>
      </c>
      <c r="R975" s="4" t="str">
        <f t="shared" si="133"/>
        <v>OVER</v>
      </c>
      <c r="S975" s="4" t="str">
        <f t="shared" si="131"/>
        <v>OVER</v>
      </c>
      <c r="T975" s="4" t="str">
        <f t="shared" si="131"/>
        <v>OVER</v>
      </c>
      <c r="U975" s="2">
        <f>IF(Q975="OVER",$J975,$K975)</f>
        <v>55.785689316498406</v>
      </c>
      <c r="V975" s="2">
        <f>IF(R975="OVER",$J975,$K975)</f>
        <v>55.785689316498406</v>
      </c>
      <c r="W975" s="2">
        <f>IF(S975="OVER",$J975,$K975)</f>
        <v>55.785689316498406</v>
      </c>
      <c r="X975" s="2">
        <f>IF(T975="OVER",$J975,$K975)</f>
        <v>55.785689316498406</v>
      </c>
      <c r="Y975" s="9">
        <f t="shared" si="132"/>
        <v>-42426.332800165867</v>
      </c>
      <c r="Z975" s="9">
        <f t="shared" si="132"/>
        <v>-40577.784047666719</v>
      </c>
      <c r="AA975" s="9">
        <f t="shared" si="132"/>
        <v>55509.380399434784</v>
      </c>
      <c r="AB975" s="9">
        <f t="shared" si="132"/>
        <v>24177.201001040597</v>
      </c>
    </row>
    <row r="976" spans="1:28" x14ac:dyDescent="0.3">
      <c r="A976" s="1">
        <v>45833</v>
      </c>
      <c r="B976" s="2">
        <v>81.5</v>
      </c>
      <c r="C976" s="2">
        <v>89.12</v>
      </c>
      <c r="D976" s="9">
        <f>B976-B975</f>
        <v>-0.15000000000000568</v>
      </c>
      <c r="E976" s="9">
        <f>C976-C975</f>
        <v>-7.9999999999998295E-2</v>
      </c>
      <c r="F976" s="3">
        <f>F$1/B976</f>
        <v>1226.9938650306749</v>
      </c>
      <c r="G976" s="3">
        <f>F$1/C976</f>
        <v>1122.0825852782764</v>
      </c>
      <c r="H976" s="2">
        <f>D976*F975</f>
        <v>-183.71096142070505</v>
      </c>
      <c r="I976" s="2">
        <f>E976*G975</f>
        <v>-89.686098654706598</v>
      </c>
      <c r="J976" s="2">
        <f>I976-H976</f>
        <v>94.024862765998449</v>
      </c>
      <c r="K976" s="2">
        <f t="shared" si="128"/>
        <v>-94.024862765998449</v>
      </c>
      <c r="L976" s="14">
        <f>C976/B976</f>
        <v>1.0934969325153374</v>
      </c>
      <c r="M976" s="14">
        <f t="shared" si="130"/>
        <v>1.0915018435572323</v>
      </c>
      <c r="N976" s="14">
        <f t="shared" si="126"/>
        <v>1.0909813707966971</v>
      </c>
      <c r="O976" s="14">
        <f t="shared" si="127"/>
        <v>1.0913555009320364</v>
      </c>
      <c r="P976" s="14">
        <f t="shared" si="129"/>
        <v>1.0918755828868916</v>
      </c>
      <c r="Q976" s="4" t="str">
        <f t="shared" si="133"/>
        <v>OVER</v>
      </c>
      <c r="R976" s="4" t="str">
        <f t="shared" si="133"/>
        <v>OVER</v>
      </c>
      <c r="S976" s="4" t="str">
        <f t="shared" si="131"/>
        <v>OVER</v>
      </c>
      <c r="T976" s="4" t="str">
        <f t="shared" si="131"/>
        <v>OVER</v>
      </c>
      <c r="U976" s="2">
        <f>IF(Q976="OVER",$J976,$K976)</f>
        <v>94.024862765998449</v>
      </c>
      <c r="V976" s="2">
        <f>IF(R976="OVER",$J976,$K976)</f>
        <v>94.024862765998449</v>
      </c>
      <c r="W976" s="2">
        <f>IF(S976="OVER",$J976,$K976)</f>
        <v>94.024862765998449</v>
      </c>
      <c r="X976" s="2">
        <f>IF(T976="OVER",$J976,$K976)</f>
        <v>94.024862765998449</v>
      </c>
      <c r="Y976" s="9">
        <f t="shared" si="132"/>
        <v>-42332.30793739987</v>
      </c>
      <c r="Z976" s="9">
        <f t="shared" si="132"/>
        <v>-40483.759184900722</v>
      </c>
      <c r="AA976" s="9">
        <f t="shared" si="132"/>
        <v>55603.40526220078</v>
      </c>
      <c r="AB976" s="9">
        <f t="shared" si="132"/>
        <v>24271.225863806594</v>
      </c>
    </row>
    <row r="977" spans="1:28" x14ac:dyDescent="0.3">
      <c r="A977" s="1">
        <v>45834</v>
      </c>
      <c r="B977" s="2">
        <v>82.08</v>
      </c>
      <c r="C977" s="2">
        <v>89.67</v>
      </c>
      <c r="D977" s="9">
        <f>B977-B976</f>
        <v>0.57999999999999829</v>
      </c>
      <c r="E977" s="9">
        <f>C977-C976</f>
        <v>0.54999999999999716</v>
      </c>
      <c r="F977" s="3">
        <f>F$1/B977</f>
        <v>1218.3235867446394</v>
      </c>
      <c r="G977" s="3">
        <f>F$1/C977</f>
        <v>1115.2001784320285</v>
      </c>
      <c r="H977" s="2">
        <f>D977*F976</f>
        <v>711.65644171778933</v>
      </c>
      <c r="I977" s="2">
        <f>E977*G976</f>
        <v>617.14542190304883</v>
      </c>
      <c r="J977" s="2">
        <f>I977-H977</f>
        <v>-94.511019814740507</v>
      </c>
      <c r="K977" s="2">
        <f t="shared" si="128"/>
        <v>94.511019814740507</v>
      </c>
      <c r="L977" s="14">
        <f>C977/B977</f>
        <v>1.0924707602339181</v>
      </c>
      <c r="M977" s="14">
        <f t="shared" si="130"/>
        <v>1.0918707026122703</v>
      </c>
      <c r="N977" s="14">
        <f t="shared" si="126"/>
        <v>1.0911636660121014</v>
      </c>
      <c r="O977" s="14">
        <f t="shared" si="127"/>
        <v>1.0913020712628554</v>
      </c>
      <c r="P977" s="14">
        <f t="shared" si="129"/>
        <v>1.0918680505582763</v>
      </c>
      <c r="Q977" s="4" t="str">
        <f t="shared" si="133"/>
        <v>OVER</v>
      </c>
      <c r="R977" s="4" t="str">
        <f t="shared" si="133"/>
        <v>OVER</v>
      </c>
      <c r="S977" s="4" t="str">
        <f t="shared" si="131"/>
        <v>OVER</v>
      </c>
      <c r="T977" s="4" t="str">
        <f t="shared" si="131"/>
        <v>OVER</v>
      </c>
      <c r="U977" s="2">
        <f>IF(Q977="OVER",$J977,$K977)</f>
        <v>-94.511019814740507</v>
      </c>
      <c r="V977" s="2">
        <f>IF(R977="OVER",$J977,$K977)</f>
        <v>-94.511019814740507</v>
      </c>
      <c r="W977" s="2">
        <f>IF(S977="OVER",$J977,$K977)</f>
        <v>-94.511019814740507</v>
      </c>
      <c r="X977" s="2">
        <f>IF(T977="OVER",$J977,$K977)</f>
        <v>-94.511019814740507</v>
      </c>
      <c r="Y977" s="9">
        <f t="shared" si="132"/>
        <v>-42426.818957214608</v>
      </c>
      <c r="Z977" s="9">
        <f t="shared" si="132"/>
        <v>-40578.27020471546</v>
      </c>
      <c r="AA977" s="9">
        <f t="shared" si="132"/>
        <v>55508.894242386043</v>
      </c>
      <c r="AB977" s="9">
        <f t="shared" si="132"/>
        <v>24176.714843991853</v>
      </c>
    </row>
    <row r="978" spans="1:28" x14ac:dyDescent="0.3">
      <c r="A978" s="1">
        <v>45835</v>
      </c>
      <c r="B978" s="2">
        <v>82.25</v>
      </c>
      <c r="C978" s="2">
        <v>89.67</v>
      </c>
      <c r="D978" s="9">
        <f>B978-B977</f>
        <v>0.17000000000000171</v>
      </c>
      <c r="E978" s="9">
        <f>C978-C977</f>
        <v>0</v>
      </c>
      <c r="F978" s="3">
        <f>F$1/B978</f>
        <v>1215.80547112462</v>
      </c>
      <c r="G978" s="3">
        <f>F$1/C978</f>
        <v>1115.2001784320285</v>
      </c>
      <c r="H978" s="2">
        <f>D978*F977</f>
        <v>207.11500974659077</v>
      </c>
      <c r="I978" s="2">
        <f>E978*G977</f>
        <v>0</v>
      </c>
      <c r="J978" s="2">
        <f>I978-H978</f>
        <v>-207.11500974659077</v>
      </c>
      <c r="K978" s="2">
        <f t="shared" si="128"/>
        <v>207.11500974659077</v>
      </c>
      <c r="L978" s="14">
        <f>C978/B978</f>
        <v>1.0902127659574468</v>
      </c>
      <c r="M978" s="14">
        <f t="shared" si="130"/>
        <v>1.0918865363579411</v>
      </c>
      <c r="N978" s="14">
        <f t="shared" si="126"/>
        <v>1.0911909835173979</v>
      </c>
      <c r="O978" s="14">
        <f t="shared" si="127"/>
        <v>1.0911931433022612</v>
      </c>
      <c r="P978" s="14">
        <f t="shared" si="129"/>
        <v>1.0918541253289826</v>
      </c>
      <c r="Q978" s="4" t="str">
        <f t="shared" si="133"/>
        <v>OVER</v>
      </c>
      <c r="R978" s="4" t="str">
        <f t="shared" si="133"/>
        <v>OVER</v>
      </c>
      <c r="S978" s="4" t="str">
        <f t="shared" si="131"/>
        <v>UNDER</v>
      </c>
      <c r="T978" s="4" t="str">
        <f t="shared" si="131"/>
        <v>UNDER</v>
      </c>
      <c r="U978" s="2">
        <f>IF(Q978="OVER",$J978,$K978)</f>
        <v>-207.11500974659077</v>
      </c>
      <c r="V978" s="2">
        <f>IF(R978="OVER",$J978,$K978)</f>
        <v>-207.11500974659077</v>
      </c>
      <c r="W978" s="2">
        <f>IF(S978="OVER",$J978,$K978)</f>
        <v>207.11500974659077</v>
      </c>
      <c r="X978" s="2">
        <f>IF(T978="OVER",$J978,$K978)</f>
        <v>207.11500974659077</v>
      </c>
      <c r="Y978" s="9">
        <f t="shared" si="132"/>
        <v>-42633.933966961202</v>
      </c>
      <c r="Z978" s="9">
        <f t="shared" si="132"/>
        <v>-40785.385214462054</v>
      </c>
      <c r="AA978" s="9">
        <f t="shared" si="132"/>
        <v>55716.009252132637</v>
      </c>
      <c r="AB978" s="9">
        <f t="shared" si="132"/>
        <v>24383.829853738443</v>
      </c>
    </row>
    <row r="979" spans="1:28" x14ac:dyDescent="0.3">
      <c r="A979" s="1">
        <v>45838</v>
      </c>
      <c r="B979" s="2">
        <v>82.66</v>
      </c>
      <c r="C979" s="2">
        <v>90.1</v>
      </c>
      <c r="D979" s="9">
        <f>B979-B978</f>
        <v>0.40999999999999659</v>
      </c>
      <c r="E979" s="9">
        <f>C979-C978</f>
        <v>0.42999999999999261</v>
      </c>
      <c r="F979" s="3">
        <f>F$1/B979</f>
        <v>1209.7749818533753</v>
      </c>
      <c r="G979" s="3">
        <f>F$1/C979</f>
        <v>1109.8779134295228</v>
      </c>
      <c r="H979" s="2">
        <f>D979*F978</f>
        <v>498.48024316109007</v>
      </c>
      <c r="I979" s="2">
        <f>E979*G978</f>
        <v>479.53607672576402</v>
      </c>
      <c r="J979" s="2">
        <f>I979-H979</f>
        <v>-18.944166435326053</v>
      </c>
      <c r="K979" s="2">
        <f t="shared" si="128"/>
        <v>18.944166435326053</v>
      </c>
      <c r="L979" s="14">
        <f>C979/B979</f>
        <v>1.090007258649891</v>
      </c>
      <c r="M979" s="14">
        <f t="shared" si="130"/>
        <v>1.0917431236904771</v>
      </c>
      <c r="N979" s="14">
        <f t="shared" si="126"/>
        <v>1.0911344955034212</v>
      </c>
      <c r="O979" s="14">
        <f t="shared" si="127"/>
        <v>1.0910592817412523</v>
      </c>
      <c r="P979" s="14">
        <f t="shared" si="129"/>
        <v>1.0918273205237214</v>
      </c>
      <c r="Q979" s="4" t="str">
        <f t="shared" si="133"/>
        <v>UNDER</v>
      </c>
      <c r="R979" s="4" t="str">
        <f t="shared" si="133"/>
        <v>UNDER</v>
      </c>
      <c r="S979" s="4" t="str">
        <f t="shared" si="131"/>
        <v>UNDER</v>
      </c>
      <c r="T979" s="4" t="str">
        <f t="shared" si="131"/>
        <v>UNDER</v>
      </c>
      <c r="U979" s="2">
        <f>IF(Q979="OVER",$J979,$K979)</f>
        <v>18.944166435326053</v>
      </c>
      <c r="V979" s="2">
        <f>IF(R979="OVER",$J979,$K979)</f>
        <v>18.944166435326053</v>
      </c>
      <c r="W979" s="2">
        <f>IF(S979="OVER",$J979,$K979)</f>
        <v>18.944166435326053</v>
      </c>
      <c r="X979" s="2">
        <f>IF(T979="OVER",$J979,$K979)</f>
        <v>18.944166435326053</v>
      </c>
      <c r="Y979" s="9">
        <f t="shared" si="132"/>
        <v>-42614.989800525873</v>
      </c>
      <c r="Z979" s="9">
        <f t="shared" si="132"/>
        <v>-40766.441048026725</v>
      </c>
      <c r="AA979" s="9">
        <f t="shared" si="132"/>
        <v>55734.953418567966</v>
      </c>
      <c r="AB979" s="9">
        <f t="shared" si="132"/>
        <v>24402.774020173769</v>
      </c>
    </row>
    <row r="980" spans="1:28" x14ac:dyDescent="0.3">
      <c r="A980" s="1">
        <v>45839</v>
      </c>
      <c r="B980" s="2">
        <v>82.29</v>
      </c>
      <c r="C980" s="2">
        <v>89.29</v>
      </c>
      <c r="D980" s="9">
        <f>B980-B979</f>
        <v>-0.36999999999999034</v>
      </c>
      <c r="E980" s="9">
        <f>C980-C979</f>
        <v>-0.80999999999998806</v>
      </c>
      <c r="F980" s="3">
        <f>F$1/B980</f>
        <v>1215.2144853566654</v>
      </c>
      <c r="G980" s="3">
        <f>F$1/C980</f>
        <v>1119.9462425803561</v>
      </c>
      <c r="H980" s="2">
        <f>D980*F979</f>
        <v>-447.61674328573713</v>
      </c>
      <c r="I980" s="2">
        <f>E980*G979</f>
        <v>-899.00110987790015</v>
      </c>
      <c r="J980" s="2">
        <f>I980-H980</f>
        <v>-451.38436659216302</v>
      </c>
      <c r="K980" s="2">
        <f t="shared" si="128"/>
        <v>451.38436659216302</v>
      </c>
      <c r="L980" s="14">
        <f>C980/B980</f>
        <v>1.0850650139749667</v>
      </c>
      <c r="M980" s="14">
        <f t="shared" si="130"/>
        <v>1.0911868159880727</v>
      </c>
      <c r="N980" s="14">
        <f t="shared" si="126"/>
        <v>1.0907739046775957</v>
      </c>
      <c r="O980" s="14">
        <f t="shared" si="127"/>
        <v>1.090873941259664</v>
      </c>
      <c r="P980" s="14">
        <f t="shared" si="129"/>
        <v>1.091791931792538</v>
      </c>
      <c r="Q980" s="4" t="str">
        <f t="shared" si="133"/>
        <v>UNDER</v>
      </c>
      <c r="R980" s="4" t="str">
        <f t="shared" si="133"/>
        <v>UNDER</v>
      </c>
      <c r="S980" s="4" t="str">
        <f t="shared" si="131"/>
        <v>UNDER</v>
      </c>
      <c r="T980" s="4" t="str">
        <f t="shared" si="131"/>
        <v>UNDER</v>
      </c>
      <c r="U980" s="2">
        <f>IF(Q980="OVER",$J980,$K980)</f>
        <v>451.38436659216302</v>
      </c>
      <c r="V980" s="2">
        <f>IF(R980="OVER",$J980,$K980)</f>
        <v>451.38436659216302</v>
      </c>
      <c r="W980" s="2">
        <f>IF(S980="OVER",$J980,$K980)</f>
        <v>451.38436659216302</v>
      </c>
      <c r="X980" s="2">
        <f>IF(T980="OVER",$J980,$K980)</f>
        <v>451.38436659216302</v>
      </c>
      <c r="Y980" s="9">
        <f t="shared" si="132"/>
        <v>-42163.605433933713</v>
      </c>
      <c r="Z980" s="9">
        <f t="shared" si="132"/>
        <v>-40315.056681434566</v>
      </c>
      <c r="AA980" s="9">
        <f t="shared" si="132"/>
        <v>56186.337785160125</v>
      </c>
      <c r="AB980" s="9">
        <f t="shared" si="132"/>
        <v>24854.158386765932</v>
      </c>
    </row>
    <row r="981" spans="1:28" x14ac:dyDescent="0.3">
      <c r="A981" s="1">
        <v>45840</v>
      </c>
      <c r="B981" s="2">
        <v>82.73</v>
      </c>
      <c r="C981" s="2">
        <v>89.82</v>
      </c>
      <c r="D981" s="9">
        <f>B981-B980</f>
        <v>0.43999999999999773</v>
      </c>
      <c r="E981" s="9">
        <f>C981-C980</f>
        <v>0.52999999999998693</v>
      </c>
      <c r="F981" s="3">
        <f>F$1/B981</f>
        <v>1208.7513598452797</v>
      </c>
      <c r="G981" s="3">
        <f>F$1/C981</f>
        <v>1113.3377866844801</v>
      </c>
      <c r="H981" s="2">
        <f>D981*F980</f>
        <v>534.69437355693003</v>
      </c>
      <c r="I981" s="2">
        <f>E981*G980</f>
        <v>593.57150856757403</v>
      </c>
      <c r="J981" s="2">
        <f>I981-H981</f>
        <v>58.877135010643997</v>
      </c>
      <c r="K981" s="2">
        <f t="shared" si="128"/>
        <v>-58.877135010643997</v>
      </c>
      <c r="L981" s="14">
        <f>C981/B981</f>
        <v>1.0857004714130303</v>
      </c>
      <c r="M981" s="14">
        <f t="shared" si="130"/>
        <v>1.0905450282213698</v>
      </c>
      <c r="N981" s="14">
        <f t="shared" si="126"/>
        <v>1.0905027225965604</v>
      </c>
      <c r="O981" s="14">
        <f t="shared" si="127"/>
        <v>1.0906453099952838</v>
      </c>
      <c r="P981" s="14">
        <f t="shared" si="129"/>
        <v>1.091755003220094</v>
      </c>
      <c r="Q981" s="4" t="str">
        <f t="shared" si="133"/>
        <v>UNDER</v>
      </c>
      <c r="R981" s="4" t="str">
        <f t="shared" si="133"/>
        <v>UNDER</v>
      </c>
      <c r="S981" s="4" t="str">
        <f t="shared" si="131"/>
        <v>UNDER</v>
      </c>
      <c r="T981" s="4" t="str">
        <f t="shared" si="131"/>
        <v>UNDER</v>
      </c>
      <c r="U981" s="2">
        <f>IF(Q981="OVER",$J981,$K981)</f>
        <v>-58.877135010643997</v>
      </c>
      <c r="V981" s="2">
        <f>IF(R981="OVER",$J981,$K981)</f>
        <v>-58.877135010643997</v>
      </c>
      <c r="W981" s="2">
        <f>IF(S981="OVER",$J981,$K981)</f>
        <v>-58.877135010643997</v>
      </c>
      <c r="X981" s="2">
        <f>IF(T981="OVER",$J981,$K981)</f>
        <v>-58.877135010643997</v>
      </c>
      <c r="Y981" s="9">
        <f t="shared" si="132"/>
        <v>-42222.482568944361</v>
      </c>
      <c r="Z981" s="9">
        <f t="shared" si="132"/>
        <v>-40373.933816445213</v>
      </c>
      <c r="AA981" s="9">
        <f t="shared" si="132"/>
        <v>56127.460650149478</v>
      </c>
      <c r="AB981" s="9">
        <f t="shared" si="132"/>
        <v>24795.281251755288</v>
      </c>
    </row>
    <row r="982" spans="1:28" x14ac:dyDescent="0.3">
      <c r="A982" s="1">
        <v>45841</v>
      </c>
      <c r="B982" s="2">
        <v>83.1</v>
      </c>
      <c r="C982" s="2">
        <v>90.26</v>
      </c>
      <c r="D982" s="9">
        <f>B982-B981</f>
        <v>0.36999999999999034</v>
      </c>
      <c r="E982" s="9">
        <f>C982-C981</f>
        <v>0.44000000000001194</v>
      </c>
      <c r="F982" s="3">
        <f>F$1/B982</f>
        <v>1203.3694344163659</v>
      </c>
      <c r="G982" s="3">
        <f>F$1/C982</f>
        <v>1107.9104808331485</v>
      </c>
      <c r="H982" s="2">
        <f>D982*F981</f>
        <v>447.23800314274183</v>
      </c>
      <c r="I982" s="2">
        <f>E982*G981</f>
        <v>489.86862614118451</v>
      </c>
      <c r="J982" s="2">
        <f>I982-H982</f>
        <v>42.630622998442675</v>
      </c>
      <c r="K982" s="2">
        <f t="shared" si="128"/>
        <v>-42.630622998442675</v>
      </c>
      <c r="L982" s="14">
        <f>C982/B982</f>
        <v>1.0861612515042118</v>
      </c>
      <c r="M982" s="14">
        <f t="shared" si="130"/>
        <v>1.089961898250748</v>
      </c>
      <c r="N982" s="14">
        <f t="shared" si="126"/>
        <v>1.090162653112692</v>
      </c>
      <c r="O982" s="14">
        <f t="shared" si="127"/>
        <v>1.0905118488239831</v>
      </c>
      <c r="P982" s="14">
        <f t="shared" si="129"/>
        <v>1.0917250357000763</v>
      </c>
      <c r="Q982" s="4" t="str">
        <f t="shared" si="133"/>
        <v>UNDER</v>
      </c>
      <c r="R982" s="4" t="str">
        <f t="shared" si="133"/>
        <v>UNDER</v>
      </c>
      <c r="S982" s="4" t="str">
        <f t="shared" si="131"/>
        <v>UNDER</v>
      </c>
      <c r="T982" s="4" t="str">
        <f t="shared" si="131"/>
        <v>UNDER</v>
      </c>
      <c r="U982" s="2">
        <f>IF(Q982="OVER",$J982,$K982)</f>
        <v>-42.630622998442675</v>
      </c>
      <c r="V982" s="2">
        <f>IF(R982="OVER",$J982,$K982)</f>
        <v>-42.630622998442675</v>
      </c>
      <c r="W982" s="2">
        <f>IF(S982="OVER",$J982,$K982)</f>
        <v>-42.630622998442675</v>
      </c>
      <c r="X982" s="2">
        <f>IF(T982="OVER",$J982,$K982)</f>
        <v>-42.630622998442675</v>
      </c>
      <c r="Y982" s="9">
        <f t="shared" si="132"/>
        <v>-42265.113191942801</v>
      </c>
      <c r="Z982" s="9">
        <f t="shared" si="132"/>
        <v>-40416.564439443653</v>
      </c>
      <c r="AA982" s="9">
        <f t="shared" si="132"/>
        <v>56084.830027151038</v>
      </c>
      <c r="AB982" s="9">
        <f t="shared" si="132"/>
        <v>24752.650628756845</v>
      </c>
    </row>
    <row r="983" spans="1:28" x14ac:dyDescent="0.3">
      <c r="A983" s="1">
        <v>45845</v>
      </c>
      <c r="B983" s="2">
        <v>82.88</v>
      </c>
      <c r="C983" s="2">
        <v>90.11</v>
      </c>
      <c r="D983" s="9">
        <f>B983-B982</f>
        <v>-0.21999999999999886</v>
      </c>
      <c r="E983" s="9">
        <f>C983-C982</f>
        <v>-0.15000000000000568</v>
      </c>
      <c r="F983" s="3">
        <f>F$1/B983</f>
        <v>1206.5637065637065</v>
      </c>
      <c r="G983" s="3">
        <f>F$1/C983</f>
        <v>1109.7547442015314</v>
      </c>
      <c r="H983" s="2">
        <f>D983*F982</f>
        <v>-264.74127557159915</v>
      </c>
      <c r="I983" s="2">
        <f>E983*G982</f>
        <v>-166.18657212497857</v>
      </c>
      <c r="J983" s="2">
        <f>I983-H983</f>
        <v>98.554703446620579</v>
      </c>
      <c r="K983" s="2">
        <f t="shared" si="128"/>
        <v>-98.554703446620579</v>
      </c>
      <c r="L983" s="14">
        <f>C983/B983</f>
        <v>1.087234555984556</v>
      </c>
      <c r="M983" s="14">
        <f t="shared" si="130"/>
        <v>1.0894681351418474</v>
      </c>
      <c r="N983" s="14">
        <f t="shared" ref="N983:N1046" si="134">AVERAGE(L964:L983)</f>
        <v>1.089928107619994</v>
      </c>
      <c r="O983" s="14">
        <f t="shared" si="127"/>
        <v>1.0903832689648836</v>
      </c>
      <c r="P983" s="14">
        <f t="shared" si="129"/>
        <v>1.0917019769898397</v>
      </c>
      <c r="Q983" s="4" t="str">
        <f t="shared" si="133"/>
        <v>UNDER</v>
      </c>
      <c r="R983" s="4" t="str">
        <f t="shared" si="133"/>
        <v>UNDER</v>
      </c>
      <c r="S983" s="4" t="str">
        <f t="shared" si="131"/>
        <v>UNDER</v>
      </c>
      <c r="T983" s="4" t="str">
        <f t="shared" si="131"/>
        <v>UNDER</v>
      </c>
      <c r="U983" s="2">
        <f>IF(Q983="OVER",$J983,$K983)</f>
        <v>-98.554703446620579</v>
      </c>
      <c r="V983" s="2">
        <f>IF(R983="OVER",$J983,$K983)</f>
        <v>-98.554703446620579</v>
      </c>
      <c r="W983" s="2">
        <f>IF(S983="OVER",$J983,$K983)</f>
        <v>-98.554703446620579</v>
      </c>
      <c r="X983" s="2">
        <f>IF(T983="OVER",$J983,$K983)</f>
        <v>-98.554703446620579</v>
      </c>
      <c r="Y983" s="9">
        <f t="shared" si="132"/>
        <v>-42363.667895389422</v>
      </c>
      <c r="Z983" s="9">
        <f t="shared" si="132"/>
        <v>-40515.119142890275</v>
      </c>
      <c r="AA983" s="9">
        <f t="shared" si="132"/>
        <v>55986.275323704416</v>
      </c>
      <c r="AB983" s="9">
        <f t="shared" si="132"/>
        <v>24654.095925310223</v>
      </c>
    </row>
    <row r="984" spans="1:28" x14ac:dyDescent="0.3">
      <c r="A984" s="1">
        <v>45846</v>
      </c>
      <c r="B984" s="2">
        <v>83.09</v>
      </c>
      <c r="C984" s="2">
        <v>90.2</v>
      </c>
      <c r="D984" s="9">
        <f>B984-B983</f>
        <v>0.21000000000000796</v>
      </c>
      <c r="E984" s="9">
        <f>C984-C983</f>
        <v>9.0000000000003411E-2</v>
      </c>
      <c r="F984" s="3">
        <f>F$1/B984</f>
        <v>1203.5142616440005</v>
      </c>
      <c r="G984" s="3">
        <f>F$1/C984</f>
        <v>1108.6474501108646</v>
      </c>
      <c r="H984" s="2">
        <f>D984*F983</f>
        <v>253.37837837838796</v>
      </c>
      <c r="I984" s="2">
        <f>E984*G983</f>
        <v>99.877926978141602</v>
      </c>
      <c r="J984" s="2">
        <f>I984-H984</f>
        <v>-153.50045140024636</v>
      </c>
      <c r="K984" s="2">
        <f t="shared" si="128"/>
        <v>153.50045140024636</v>
      </c>
      <c r="L984" s="14">
        <f>C984/B984</f>
        <v>1.0855698640028884</v>
      </c>
      <c r="M984" s="14">
        <f t="shared" si="130"/>
        <v>1.0888386724817998</v>
      </c>
      <c r="N984" s="14">
        <f t="shared" si="134"/>
        <v>1.0898303680785211</v>
      </c>
      <c r="O984" s="14">
        <f t="shared" si="127"/>
        <v>1.0902584638453583</v>
      </c>
      <c r="P984" s="14">
        <f t="shared" si="129"/>
        <v>1.0916627052192367</v>
      </c>
      <c r="Q984" s="4" t="str">
        <f t="shared" si="133"/>
        <v>UNDER</v>
      </c>
      <c r="R984" s="4" t="str">
        <f t="shared" si="133"/>
        <v>UNDER</v>
      </c>
      <c r="S984" s="4" t="str">
        <f t="shared" si="131"/>
        <v>UNDER</v>
      </c>
      <c r="T984" s="4" t="str">
        <f t="shared" si="131"/>
        <v>UNDER</v>
      </c>
      <c r="U984" s="2">
        <f>IF(Q984="OVER",$J984,$K984)</f>
        <v>153.50045140024636</v>
      </c>
      <c r="V984" s="2">
        <f>IF(R984="OVER",$J984,$K984)</f>
        <v>153.50045140024636</v>
      </c>
      <c r="W984" s="2">
        <f>IF(S984="OVER",$J984,$K984)</f>
        <v>153.50045140024636</v>
      </c>
      <c r="X984" s="2">
        <f>IF(T984="OVER",$J984,$K984)</f>
        <v>153.50045140024636</v>
      </c>
      <c r="Y984" s="9">
        <f t="shared" si="132"/>
        <v>-42210.167443989179</v>
      </c>
      <c r="Z984" s="9">
        <f t="shared" si="132"/>
        <v>-40361.618691490032</v>
      </c>
      <c r="AA984" s="9">
        <f t="shared" si="132"/>
        <v>56139.775775104659</v>
      </c>
      <c r="AB984" s="9">
        <f t="shared" si="132"/>
        <v>24807.596376710469</v>
      </c>
    </row>
    <row r="985" spans="1:28" x14ac:dyDescent="0.3">
      <c r="A985" s="1">
        <v>45847</v>
      </c>
      <c r="B985" s="2">
        <v>83.46</v>
      </c>
      <c r="C985" s="2">
        <v>90.59</v>
      </c>
      <c r="D985" s="9">
        <f>B985-B984</f>
        <v>0.36999999999999034</v>
      </c>
      <c r="E985" s="9">
        <f>C985-C984</f>
        <v>0.39000000000000057</v>
      </c>
      <c r="F985" s="3">
        <f>F$1/B985</f>
        <v>1198.1787682722263</v>
      </c>
      <c r="G985" s="3">
        <f>F$1/C985</f>
        <v>1103.8745998454576</v>
      </c>
      <c r="H985" s="2">
        <f>D985*F984</f>
        <v>445.30027680826856</v>
      </c>
      <c r="I985" s="2">
        <f>E985*G984</f>
        <v>432.37250554323782</v>
      </c>
      <c r="J985" s="2">
        <f>I985-H985</f>
        <v>-12.927771265030742</v>
      </c>
      <c r="K985" s="2">
        <f t="shared" si="128"/>
        <v>12.927771265030742</v>
      </c>
      <c r="L985" s="14">
        <f>C985/B985</f>
        <v>1.0854301461778098</v>
      </c>
      <c r="M985" s="14">
        <f t="shared" si="130"/>
        <v>1.0881349020414057</v>
      </c>
      <c r="N985" s="14">
        <f t="shared" si="134"/>
        <v>1.0895978143487703</v>
      </c>
      <c r="O985" s="14">
        <f t="shared" si="127"/>
        <v>1.0901510045927487</v>
      </c>
      <c r="P985" s="14">
        <f t="shared" si="129"/>
        <v>1.0916243663835126</v>
      </c>
      <c r="Q985" s="4" t="str">
        <f t="shared" si="133"/>
        <v>UNDER</v>
      </c>
      <c r="R985" s="4" t="str">
        <f t="shared" si="133"/>
        <v>UNDER</v>
      </c>
      <c r="S985" s="4" t="str">
        <f t="shared" si="131"/>
        <v>UNDER</v>
      </c>
      <c r="T985" s="4" t="str">
        <f t="shared" si="131"/>
        <v>UNDER</v>
      </c>
      <c r="U985" s="2">
        <f>IF(Q985="OVER",$J985,$K985)</f>
        <v>12.927771265030742</v>
      </c>
      <c r="V985" s="2">
        <f>IF(R985="OVER",$J985,$K985)</f>
        <v>12.927771265030742</v>
      </c>
      <c r="W985" s="2">
        <f>IF(S985="OVER",$J985,$K985)</f>
        <v>12.927771265030742</v>
      </c>
      <c r="X985" s="2">
        <f>IF(T985="OVER",$J985,$K985)</f>
        <v>12.927771265030742</v>
      </c>
      <c r="Y985" s="9">
        <f t="shared" si="132"/>
        <v>-42197.23967272415</v>
      </c>
      <c r="Z985" s="9">
        <f t="shared" si="132"/>
        <v>-40348.690920225003</v>
      </c>
      <c r="AA985" s="9">
        <f t="shared" si="132"/>
        <v>56152.703546369688</v>
      </c>
      <c r="AB985" s="9">
        <f t="shared" si="132"/>
        <v>24820.524147975499</v>
      </c>
    </row>
    <row r="986" spans="1:28" x14ac:dyDescent="0.3">
      <c r="A986" s="1">
        <v>45848</v>
      </c>
      <c r="B986" s="2">
        <v>83.82</v>
      </c>
      <c r="C986" s="2">
        <v>90.93</v>
      </c>
      <c r="D986" s="9">
        <f>B986-B985</f>
        <v>0.35999999999999943</v>
      </c>
      <c r="E986" s="9">
        <f>C986-C985</f>
        <v>0.34000000000000341</v>
      </c>
      <c r="F986" s="3">
        <f>F$1/B986</f>
        <v>1193.0326890956812</v>
      </c>
      <c r="G986" s="3">
        <f>F$1/C986</f>
        <v>1099.7470581766192</v>
      </c>
      <c r="H986" s="2">
        <f>D986*F985</f>
        <v>431.34435657800077</v>
      </c>
      <c r="I986" s="2">
        <f>E986*G985</f>
        <v>375.31736394745934</v>
      </c>
      <c r="J986" s="2">
        <f>I986-H986</f>
        <v>-56.026992630541429</v>
      </c>
      <c r="K986" s="2">
        <f t="shared" si="128"/>
        <v>56.026992630541429</v>
      </c>
      <c r="L986" s="14">
        <f>C986/B986</f>
        <v>1.084824624194703</v>
      </c>
      <c r="M986" s="14">
        <f t="shared" si="130"/>
        <v>1.0872676712093423</v>
      </c>
      <c r="N986" s="14">
        <f t="shared" si="134"/>
        <v>1.0893847573832871</v>
      </c>
      <c r="O986" s="14">
        <f t="shared" si="127"/>
        <v>1.0900398792586958</v>
      </c>
      <c r="P986" s="14">
        <f t="shared" si="129"/>
        <v>1.0915777920767482</v>
      </c>
      <c r="Q986" s="4" t="str">
        <f t="shared" si="133"/>
        <v>UNDER</v>
      </c>
      <c r="R986" s="4" t="str">
        <f t="shared" si="133"/>
        <v>UNDER</v>
      </c>
      <c r="S986" s="4" t="str">
        <f t="shared" si="131"/>
        <v>UNDER</v>
      </c>
      <c r="T986" s="4" t="str">
        <f t="shared" si="131"/>
        <v>UNDER</v>
      </c>
      <c r="U986" s="2">
        <f>IF(Q986="OVER",$J986,$K986)</f>
        <v>56.026992630541429</v>
      </c>
      <c r="V986" s="2">
        <f>IF(R986="OVER",$J986,$K986)</f>
        <v>56.026992630541429</v>
      </c>
      <c r="W986" s="2">
        <f>IF(S986="OVER",$J986,$K986)</f>
        <v>56.026992630541429</v>
      </c>
      <c r="X986" s="2">
        <f>IF(T986="OVER",$J986,$K986)</f>
        <v>56.026992630541429</v>
      </c>
      <c r="Y986" s="9">
        <f t="shared" si="132"/>
        <v>-42141.212680093609</v>
      </c>
      <c r="Z986" s="9">
        <f t="shared" si="132"/>
        <v>-40292.663927594462</v>
      </c>
      <c r="AA986" s="9">
        <f t="shared" si="132"/>
        <v>56208.730539000229</v>
      </c>
      <c r="AB986" s="9">
        <f t="shared" si="132"/>
        <v>24876.55114060604</v>
      </c>
    </row>
    <row r="987" spans="1:28" x14ac:dyDescent="0.3">
      <c r="A987" s="1">
        <v>45849</v>
      </c>
      <c r="B987" s="2">
        <v>83.61</v>
      </c>
      <c r="C987" s="2">
        <v>90.81</v>
      </c>
      <c r="D987" s="9">
        <f>B987-B986</f>
        <v>-0.20999999999999375</v>
      </c>
      <c r="E987" s="9">
        <f>C987-C986</f>
        <v>-0.12000000000000455</v>
      </c>
      <c r="F987" s="3">
        <f>F$1/B987</f>
        <v>1196.029183112068</v>
      </c>
      <c r="G987" s="3">
        <f>F$1/C987</f>
        <v>1101.2003083360862</v>
      </c>
      <c r="H987" s="2">
        <f>D987*F986</f>
        <v>-250.53686471008561</v>
      </c>
      <c r="I987" s="2">
        <f>E987*G986</f>
        <v>-131.9696469811993</v>
      </c>
      <c r="J987" s="2">
        <f>I987-H987</f>
        <v>118.56721772888631</v>
      </c>
      <c r="K987" s="2">
        <f t="shared" si="128"/>
        <v>-118.56721772888631</v>
      </c>
      <c r="L987" s="14">
        <f>C987/B987</f>
        <v>1.0861141011840689</v>
      </c>
      <c r="M987" s="14">
        <f t="shared" si="130"/>
        <v>1.0866320053043572</v>
      </c>
      <c r="N987" s="14">
        <f t="shared" si="134"/>
        <v>1.0892513539583137</v>
      </c>
      <c r="O987" s="14">
        <f t="shared" si="127"/>
        <v>1.0899011574213731</v>
      </c>
      <c r="P987" s="14">
        <f t="shared" si="129"/>
        <v>1.0915331203153116</v>
      </c>
      <c r="Q987" s="4" t="str">
        <f t="shared" si="133"/>
        <v>UNDER</v>
      </c>
      <c r="R987" s="4" t="str">
        <f t="shared" si="133"/>
        <v>UNDER</v>
      </c>
      <c r="S987" s="4" t="str">
        <f t="shared" si="131"/>
        <v>UNDER</v>
      </c>
      <c r="T987" s="4" t="str">
        <f t="shared" si="131"/>
        <v>UNDER</v>
      </c>
      <c r="U987" s="2">
        <f>IF(Q987="OVER",$J987,$K987)</f>
        <v>-118.56721772888631</v>
      </c>
      <c r="V987" s="2">
        <f>IF(R987="OVER",$J987,$K987)</f>
        <v>-118.56721772888631</v>
      </c>
      <c r="W987" s="2">
        <f>IF(S987="OVER",$J987,$K987)</f>
        <v>-118.56721772888631</v>
      </c>
      <c r="X987" s="2">
        <f>IF(T987="OVER",$J987,$K987)</f>
        <v>-118.56721772888631</v>
      </c>
      <c r="Y987" s="9">
        <f t="shared" si="132"/>
        <v>-42259.779897822496</v>
      </c>
      <c r="Z987" s="9">
        <f t="shared" si="132"/>
        <v>-40411.231145323349</v>
      </c>
      <c r="AA987" s="9">
        <f t="shared" si="132"/>
        <v>56090.163321271342</v>
      </c>
      <c r="AB987" s="9">
        <f t="shared" si="132"/>
        <v>24757.983922877153</v>
      </c>
    </row>
    <row r="988" spans="1:28" x14ac:dyDescent="0.3">
      <c r="A988" s="1">
        <v>45852</v>
      </c>
      <c r="B988" s="2">
        <v>84.23</v>
      </c>
      <c r="C988" s="2">
        <v>91.47</v>
      </c>
      <c r="D988" s="9">
        <f>B988-B987</f>
        <v>0.62000000000000455</v>
      </c>
      <c r="E988" s="9">
        <f>C988-C987</f>
        <v>0.65999999999999659</v>
      </c>
      <c r="F988" s="3">
        <f>F$1/B988</f>
        <v>1187.2254541137361</v>
      </c>
      <c r="G988" s="3">
        <f>F$1/C988</f>
        <v>1093.2546190007654</v>
      </c>
      <c r="H988" s="2">
        <f>D988*F987</f>
        <v>741.53809352948758</v>
      </c>
      <c r="I988" s="2">
        <f>E988*G987</f>
        <v>726.79220350181311</v>
      </c>
      <c r="J988" s="2">
        <f>I988-H988</f>
        <v>-14.745890027674477</v>
      </c>
      <c r="K988" s="2">
        <f t="shared" si="128"/>
        <v>14.745890027674477</v>
      </c>
      <c r="L988" s="14">
        <f>C988/B988</f>
        <v>1.0859551228778344</v>
      </c>
      <c r="M988" s="14">
        <f t="shared" si="130"/>
        <v>1.0862062409963962</v>
      </c>
      <c r="N988" s="14">
        <f t="shared" si="134"/>
        <v>1.0890463886771686</v>
      </c>
      <c r="O988" s="14">
        <f t="shared" si="127"/>
        <v>1.0897551753955039</v>
      </c>
      <c r="P988" s="14">
        <f t="shared" si="129"/>
        <v>1.0914938565012806</v>
      </c>
      <c r="Q988" s="4" t="str">
        <f t="shared" si="133"/>
        <v>UNDER</v>
      </c>
      <c r="R988" s="4" t="str">
        <f t="shared" si="133"/>
        <v>UNDER</v>
      </c>
      <c r="S988" s="4" t="str">
        <f t="shared" si="131"/>
        <v>UNDER</v>
      </c>
      <c r="T988" s="4" t="str">
        <f t="shared" si="131"/>
        <v>UNDER</v>
      </c>
      <c r="U988" s="2">
        <f>IF(Q988="OVER",$J988,$K988)</f>
        <v>14.745890027674477</v>
      </c>
      <c r="V988" s="2">
        <f>IF(R988="OVER",$J988,$K988)</f>
        <v>14.745890027674477</v>
      </c>
      <c r="W988" s="2">
        <f>IF(S988="OVER",$J988,$K988)</f>
        <v>14.745890027674477</v>
      </c>
      <c r="X988" s="2">
        <f>IF(T988="OVER",$J988,$K988)</f>
        <v>14.745890027674477</v>
      </c>
      <c r="Y988" s="9">
        <f t="shared" si="132"/>
        <v>-42245.03400779482</v>
      </c>
      <c r="Z988" s="9">
        <f t="shared" si="132"/>
        <v>-40396.485255295673</v>
      </c>
      <c r="AA988" s="9">
        <f t="shared" si="132"/>
        <v>56104.909211299018</v>
      </c>
      <c r="AB988" s="9">
        <f t="shared" si="132"/>
        <v>24772.729812904829</v>
      </c>
    </row>
    <row r="989" spans="1:28" x14ac:dyDescent="0.3">
      <c r="A989" s="1">
        <v>45853</v>
      </c>
      <c r="B989" s="2">
        <v>84.24</v>
      </c>
      <c r="C989" s="2">
        <v>91.53</v>
      </c>
      <c r="D989" s="9">
        <f>B989-B988</f>
        <v>9.9999999999909051E-3</v>
      </c>
      <c r="E989" s="9">
        <f>C989-C988</f>
        <v>6.0000000000002274E-2</v>
      </c>
      <c r="F989" s="3">
        <f>F$1/B989</f>
        <v>1187.0845204178538</v>
      </c>
      <c r="G989" s="3">
        <f>F$1/C989</f>
        <v>1092.5379656943078</v>
      </c>
      <c r="H989" s="2">
        <f>D989*F988</f>
        <v>11.872254541126564</v>
      </c>
      <c r="I989" s="2">
        <f>E989*G988</f>
        <v>65.59527714004841</v>
      </c>
      <c r="J989" s="2">
        <f>I989-H989</f>
        <v>53.723022598921844</v>
      </c>
      <c r="K989" s="2">
        <f t="shared" si="128"/>
        <v>-53.723022598921844</v>
      </c>
      <c r="L989" s="14">
        <f>C989/B989</f>
        <v>1.0865384615384617</v>
      </c>
      <c r="M989" s="14">
        <f t="shared" si="130"/>
        <v>1.085859361285253</v>
      </c>
      <c r="N989" s="14">
        <f t="shared" si="134"/>
        <v>1.0888012424878653</v>
      </c>
      <c r="O989" s="14">
        <f t="shared" si="127"/>
        <v>1.0896387617088563</v>
      </c>
      <c r="P989" s="14">
        <f t="shared" si="129"/>
        <v>1.0914624887773774</v>
      </c>
      <c r="Q989" s="4" t="str">
        <f t="shared" si="133"/>
        <v>UNDER</v>
      </c>
      <c r="R989" s="4" t="str">
        <f t="shared" si="133"/>
        <v>UNDER</v>
      </c>
      <c r="S989" s="4" t="str">
        <f t="shared" si="131"/>
        <v>UNDER</v>
      </c>
      <c r="T989" s="4" t="str">
        <f t="shared" si="131"/>
        <v>UNDER</v>
      </c>
      <c r="U989" s="2">
        <f>IF(Q989="OVER",$J989,$K989)</f>
        <v>-53.723022598921844</v>
      </c>
      <c r="V989" s="2">
        <f>IF(R989="OVER",$J989,$K989)</f>
        <v>-53.723022598921844</v>
      </c>
      <c r="W989" s="2">
        <f>IF(S989="OVER",$J989,$K989)</f>
        <v>-53.723022598921844</v>
      </c>
      <c r="X989" s="2">
        <f>IF(T989="OVER",$J989,$K989)</f>
        <v>-53.723022598921844</v>
      </c>
      <c r="Y989" s="9">
        <f t="shared" si="132"/>
        <v>-42298.757030393739</v>
      </c>
      <c r="Z989" s="9">
        <f t="shared" si="132"/>
        <v>-40450.208277894591</v>
      </c>
      <c r="AA989" s="9">
        <f t="shared" si="132"/>
        <v>56051.1861887001</v>
      </c>
      <c r="AB989" s="9">
        <f t="shared" si="132"/>
        <v>24719.006790305906</v>
      </c>
    </row>
    <row r="990" spans="1:28" x14ac:dyDescent="0.3">
      <c r="A990" s="1">
        <v>45854</v>
      </c>
      <c r="B990" s="2">
        <v>84.62</v>
      </c>
      <c r="C990" s="2">
        <v>91.92</v>
      </c>
      <c r="D990" s="9">
        <f>B990-B989</f>
        <v>0.38000000000000966</v>
      </c>
      <c r="E990" s="9">
        <f>C990-C989</f>
        <v>0.39000000000000057</v>
      </c>
      <c r="F990" s="3">
        <f>F$1/B990</f>
        <v>1181.7537225242259</v>
      </c>
      <c r="G990" s="3">
        <f>F$1/C990</f>
        <v>1087.9025239338555</v>
      </c>
      <c r="H990" s="2">
        <f>D990*F989</f>
        <v>451.09211775879589</v>
      </c>
      <c r="I990" s="2">
        <f>E990*G989</f>
        <v>426.08980662078068</v>
      </c>
      <c r="J990" s="2">
        <f>I990-H990</f>
        <v>-25.002311138015216</v>
      </c>
      <c r="K990" s="2">
        <f t="shared" si="128"/>
        <v>25.002311138015216</v>
      </c>
      <c r="L990" s="14">
        <f>C990/B990</f>
        <v>1.0862680217442684</v>
      </c>
      <c r="M990" s="14">
        <f t="shared" si="130"/>
        <v>1.0859796620621833</v>
      </c>
      <c r="N990" s="14">
        <f t="shared" si="134"/>
        <v>1.088583239025128</v>
      </c>
      <c r="O990" s="14">
        <f t="shared" si="127"/>
        <v>1.0894817991687031</v>
      </c>
      <c r="P990" s="14">
        <f t="shared" si="129"/>
        <v>1.091438803129924</v>
      </c>
      <c r="Q990" s="4" t="str">
        <f t="shared" si="133"/>
        <v>OVER</v>
      </c>
      <c r="R990" s="4" t="str">
        <f t="shared" si="133"/>
        <v>UNDER</v>
      </c>
      <c r="S990" s="4" t="str">
        <f t="shared" si="131"/>
        <v>UNDER</v>
      </c>
      <c r="T990" s="4" t="str">
        <f t="shared" si="131"/>
        <v>UNDER</v>
      </c>
      <c r="U990" s="2">
        <f>IF(Q990="OVER",$J990,$K990)</f>
        <v>-25.002311138015216</v>
      </c>
      <c r="V990" s="2">
        <f>IF(R990="OVER",$J990,$K990)</f>
        <v>25.002311138015216</v>
      </c>
      <c r="W990" s="2">
        <f>IF(S990="OVER",$J990,$K990)</f>
        <v>25.002311138015216</v>
      </c>
      <c r="X990" s="2">
        <f>IF(T990="OVER",$J990,$K990)</f>
        <v>25.002311138015216</v>
      </c>
      <c r="Y990" s="9">
        <f t="shared" si="132"/>
        <v>-42323.759341531753</v>
      </c>
      <c r="Z990" s="9">
        <f t="shared" si="132"/>
        <v>-40425.205966756577</v>
      </c>
      <c r="AA990" s="9">
        <f t="shared" si="132"/>
        <v>56076.188499838114</v>
      </c>
      <c r="AB990" s="9">
        <f t="shared" si="132"/>
        <v>24744.00910144392</v>
      </c>
    </row>
    <row r="991" spans="1:28" x14ac:dyDescent="0.3">
      <c r="A991" s="1">
        <v>45855</v>
      </c>
      <c r="B991" s="2">
        <v>84.8</v>
      </c>
      <c r="C991" s="2">
        <v>92.65</v>
      </c>
      <c r="D991" s="9">
        <f>B991-B990</f>
        <v>0.17999999999999261</v>
      </c>
      <c r="E991" s="9">
        <f>C991-C990</f>
        <v>0.73000000000000398</v>
      </c>
      <c r="F991" s="3">
        <f>F$1/B991</f>
        <v>1179.2452830188679</v>
      </c>
      <c r="G991" s="3">
        <f>F$1/C991</f>
        <v>1079.3308148947651</v>
      </c>
      <c r="H991" s="2">
        <f>D991*F990</f>
        <v>212.71567005435193</v>
      </c>
      <c r="I991" s="2">
        <f>E991*G990</f>
        <v>794.16884247171879</v>
      </c>
      <c r="J991" s="2">
        <f>I991-H991</f>
        <v>581.45317241736689</v>
      </c>
      <c r="K991" s="2">
        <f t="shared" si="128"/>
        <v>-581.45317241736689</v>
      </c>
      <c r="L991" s="14">
        <f>C991/B991</f>
        <v>1.0925707547169812</v>
      </c>
      <c r="M991" s="14">
        <f t="shared" si="130"/>
        <v>1.0866666903925783</v>
      </c>
      <c r="N991" s="14">
        <f t="shared" si="134"/>
        <v>1.0886058593069741</v>
      </c>
      <c r="O991" s="14">
        <f t="shared" si="127"/>
        <v>1.0894543799072145</v>
      </c>
      <c r="P991" s="14">
        <f t="shared" si="129"/>
        <v>1.0914423995881959</v>
      </c>
      <c r="Q991" s="4" t="str">
        <f t="shared" si="133"/>
        <v>OVER</v>
      </c>
      <c r="R991" s="4" t="str">
        <f t="shared" si="133"/>
        <v>UNDER</v>
      </c>
      <c r="S991" s="4" t="str">
        <f t="shared" si="131"/>
        <v>OVER</v>
      </c>
      <c r="T991" s="4" t="str">
        <f t="shared" si="131"/>
        <v>OVER</v>
      </c>
      <c r="U991" s="2">
        <f>IF(Q991="OVER",$J991,$K991)</f>
        <v>581.45317241736689</v>
      </c>
      <c r="V991" s="2">
        <f>IF(R991="OVER",$J991,$K991)</f>
        <v>-581.45317241736689</v>
      </c>
      <c r="W991" s="2">
        <f>IF(S991="OVER",$J991,$K991)</f>
        <v>581.45317241736689</v>
      </c>
      <c r="X991" s="2">
        <f>IF(T991="OVER",$J991,$K991)</f>
        <v>581.45317241736689</v>
      </c>
      <c r="Y991" s="9">
        <f t="shared" si="132"/>
        <v>-41742.306169114388</v>
      </c>
      <c r="Z991" s="9">
        <f t="shared" si="132"/>
        <v>-41006.659139173942</v>
      </c>
      <c r="AA991" s="9">
        <f t="shared" si="132"/>
        <v>56657.641672255479</v>
      </c>
      <c r="AB991" s="9">
        <f t="shared" si="132"/>
        <v>25325.462273861289</v>
      </c>
    </row>
    <row r="992" spans="1:28" x14ac:dyDescent="0.3">
      <c r="A992" s="1">
        <v>45856</v>
      </c>
      <c r="B992" s="2">
        <v>85.19</v>
      </c>
      <c r="C992" s="2">
        <v>92.65</v>
      </c>
      <c r="D992" s="9">
        <f>B992-B991</f>
        <v>0.39000000000000057</v>
      </c>
      <c r="E992" s="9">
        <f>C992-C991</f>
        <v>0</v>
      </c>
      <c r="F992" s="3">
        <f>F$1/B992</f>
        <v>1173.8466956215518</v>
      </c>
      <c r="G992" s="3">
        <f>F$1/C992</f>
        <v>1079.3308148947651</v>
      </c>
      <c r="H992" s="2">
        <f>D992*F991</f>
        <v>459.90566037735914</v>
      </c>
      <c r="I992" s="2">
        <f>E992*G991</f>
        <v>0</v>
      </c>
      <c r="J992" s="2">
        <f>I992-H992</f>
        <v>-459.90566037735914</v>
      </c>
      <c r="K992" s="2">
        <f t="shared" si="128"/>
        <v>459.90566037735914</v>
      </c>
      <c r="L992" s="14">
        <f>C992/B992</f>
        <v>1.0875689634933678</v>
      </c>
      <c r="M992" s="14">
        <f t="shared" si="130"/>
        <v>1.086807461591494</v>
      </c>
      <c r="N992" s="14">
        <f t="shared" si="134"/>
        <v>1.088384679921121</v>
      </c>
      <c r="O992" s="14">
        <f t="shared" si="127"/>
        <v>1.0893957118806485</v>
      </c>
      <c r="P992" s="14">
        <f t="shared" si="129"/>
        <v>1.0914284883017329</v>
      </c>
      <c r="Q992" s="4" t="str">
        <f t="shared" si="133"/>
        <v>OVER</v>
      </c>
      <c r="R992" s="4" t="str">
        <f t="shared" si="133"/>
        <v>OVER</v>
      </c>
      <c r="S992" s="4" t="str">
        <f t="shared" si="131"/>
        <v>UNDER</v>
      </c>
      <c r="T992" s="4" t="str">
        <f t="shared" si="131"/>
        <v>UNDER</v>
      </c>
      <c r="U992" s="2">
        <f>IF(Q992="OVER",$J992,$K992)</f>
        <v>-459.90566037735914</v>
      </c>
      <c r="V992" s="2">
        <f>IF(R992="OVER",$J992,$K992)</f>
        <v>-459.90566037735914</v>
      </c>
      <c r="W992" s="2">
        <f>IF(S992="OVER",$J992,$K992)</f>
        <v>459.90566037735914</v>
      </c>
      <c r="X992" s="2">
        <f>IF(T992="OVER",$J992,$K992)</f>
        <v>459.90566037735914</v>
      </c>
      <c r="Y992" s="9">
        <f t="shared" si="132"/>
        <v>-42202.211829491745</v>
      </c>
      <c r="Z992" s="9">
        <f t="shared" si="132"/>
        <v>-41466.564799551299</v>
      </c>
      <c r="AA992" s="9">
        <f t="shared" si="132"/>
        <v>57117.547332632836</v>
      </c>
      <c r="AB992" s="9">
        <f t="shared" si="132"/>
        <v>25785.367934238649</v>
      </c>
    </row>
    <row r="993" spans="1:28" x14ac:dyDescent="0.3">
      <c r="A993" s="1">
        <v>45859</v>
      </c>
      <c r="B993" s="2">
        <v>84.96</v>
      </c>
      <c r="C993" s="2">
        <v>92.67</v>
      </c>
      <c r="D993" s="9">
        <f>B993-B992</f>
        <v>-0.23000000000000398</v>
      </c>
      <c r="E993" s="9">
        <f>C993-C992</f>
        <v>1.9999999999996021E-2</v>
      </c>
      <c r="F993" s="3">
        <f>F$1/B993</f>
        <v>1177.0244821092278</v>
      </c>
      <c r="G993" s="3">
        <f>F$1/C993</f>
        <v>1079.0978741771878</v>
      </c>
      <c r="H993" s="2">
        <f>D993*F992</f>
        <v>-269.98473999296158</v>
      </c>
      <c r="I993" s="2">
        <f>E993*G992</f>
        <v>21.586616297891009</v>
      </c>
      <c r="J993" s="2">
        <f>I993-H993</f>
        <v>291.57135629085258</v>
      </c>
      <c r="K993" s="2">
        <f t="shared" si="128"/>
        <v>-291.57135629085258</v>
      </c>
      <c r="L993" s="14">
        <f>C993/B993</f>
        <v>1.0907485875706215</v>
      </c>
      <c r="M993" s="14">
        <f t="shared" si="130"/>
        <v>1.0871588647501005</v>
      </c>
      <c r="N993" s="14">
        <f t="shared" si="134"/>
        <v>1.0883134999459738</v>
      </c>
      <c r="O993" s="14">
        <f t="shared" si="127"/>
        <v>1.0894043640721274</v>
      </c>
      <c r="P993" s="14">
        <f t="shared" si="129"/>
        <v>1.0914200299078194</v>
      </c>
      <c r="Q993" s="4" t="str">
        <f t="shared" si="133"/>
        <v>OVER</v>
      </c>
      <c r="R993" s="4" t="str">
        <f t="shared" si="133"/>
        <v>UNDER</v>
      </c>
      <c r="S993" s="4" t="str">
        <f t="shared" si="131"/>
        <v>OVER</v>
      </c>
      <c r="T993" s="4" t="str">
        <f t="shared" si="131"/>
        <v>UNDER</v>
      </c>
      <c r="U993" s="2">
        <f>IF(Q993="OVER",$J993,$K993)</f>
        <v>291.57135629085258</v>
      </c>
      <c r="V993" s="2">
        <f>IF(R993="OVER",$J993,$K993)</f>
        <v>-291.57135629085258</v>
      </c>
      <c r="W993" s="2">
        <f>IF(S993="OVER",$J993,$K993)</f>
        <v>291.57135629085258</v>
      </c>
      <c r="X993" s="2">
        <f>IF(T993="OVER",$J993,$K993)</f>
        <v>-291.57135629085258</v>
      </c>
      <c r="Y993" s="9">
        <f t="shared" si="132"/>
        <v>-41910.640473200896</v>
      </c>
      <c r="Z993" s="9">
        <f t="shared" si="132"/>
        <v>-41758.136155842149</v>
      </c>
      <c r="AA993" s="9">
        <f t="shared" si="132"/>
        <v>57409.118688923685</v>
      </c>
      <c r="AB993" s="9">
        <f t="shared" si="132"/>
        <v>25493.796577947796</v>
      </c>
    </row>
    <row r="994" spans="1:28" x14ac:dyDescent="0.3">
      <c r="A994" s="1">
        <v>45860</v>
      </c>
      <c r="B994" s="2">
        <v>85.28</v>
      </c>
      <c r="C994" s="2">
        <v>92.82</v>
      </c>
      <c r="D994" s="9">
        <f>B994-B993</f>
        <v>0.32000000000000739</v>
      </c>
      <c r="E994" s="9">
        <f>C994-C993</f>
        <v>0.14999999999999147</v>
      </c>
      <c r="F994" s="3">
        <f>F$1/B994</f>
        <v>1172.6078799249531</v>
      </c>
      <c r="G994" s="3">
        <f>F$1/C994</f>
        <v>1077.3540185304892</v>
      </c>
      <c r="H994" s="2">
        <f>D994*F993</f>
        <v>376.64783427496161</v>
      </c>
      <c r="I994" s="2">
        <f>E994*G993</f>
        <v>161.86468112656897</v>
      </c>
      <c r="J994" s="2">
        <f>I994-H994</f>
        <v>-214.78315314839264</v>
      </c>
      <c r="K994" s="2">
        <f t="shared" si="128"/>
        <v>214.78315314839264</v>
      </c>
      <c r="L994" s="14">
        <f>C994/B994</f>
        <v>1.0884146341463414</v>
      </c>
      <c r="M994" s="14">
        <f t="shared" si="130"/>
        <v>1.0874433417644458</v>
      </c>
      <c r="N994" s="14">
        <f t="shared" si="134"/>
        <v>1.0881410071231228</v>
      </c>
      <c r="O994" s="14">
        <f t="shared" si="127"/>
        <v>1.0893042323666653</v>
      </c>
      <c r="P994" s="14">
        <f t="shared" si="129"/>
        <v>1.0914114874117973</v>
      </c>
      <c r="Q994" s="4" t="str">
        <f t="shared" si="133"/>
        <v>OVER</v>
      </c>
      <c r="R994" s="4" t="str">
        <f t="shared" si="133"/>
        <v>OVER</v>
      </c>
      <c r="S994" s="4" t="str">
        <f t="shared" si="131"/>
        <v>UNDER</v>
      </c>
      <c r="T994" s="4" t="str">
        <f t="shared" si="131"/>
        <v>UNDER</v>
      </c>
      <c r="U994" s="2">
        <f>IF(Q994="OVER",$J994,$K994)</f>
        <v>-214.78315314839264</v>
      </c>
      <c r="V994" s="2">
        <f>IF(R994="OVER",$J994,$K994)</f>
        <v>-214.78315314839264</v>
      </c>
      <c r="W994" s="2">
        <f>IF(S994="OVER",$J994,$K994)</f>
        <v>214.78315314839264</v>
      </c>
      <c r="X994" s="2">
        <f>IF(T994="OVER",$J994,$K994)</f>
        <v>214.78315314839264</v>
      </c>
      <c r="Y994" s="9">
        <f t="shared" si="132"/>
        <v>-42125.423626349286</v>
      </c>
      <c r="Z994" s="9">
        <f t="shared" si="132"/>
        <v>-41972.919308990538</v>
      </c>
      <c r="AA994" s="9">
        <f t="shared" si="132"/>
        <v>57623.901842072075</v>
      </c>
      <c r="AB994" s="9">
        <f t="shared" si="132"/>
        <v>25708.57973109619</v>
      </c>
    </row>
    <row r="995" spans="1:28" x14ac:dyDescent="0.3">
      <c r="A995" s="1">
        <v>45861</v>
      </c>
      <c r="B995" s="2">
        <v>85.39</v>
      </c>
      <c r="C995" s="2">
        <v>92.99</v>
      </c>
      <c r="D995" s="9">
        <f>B995-B994</f>
        <v>0.10999999999999943</v>
      </c>
      <c r="E995" s="9">
        <f>C995-C994</f>
        <v>0.17000000000000171</v>
      </c>
      <c r="F995" s="3">
        <f>F$1/B995</f>
        <v>1171.0973181871414</v>
      </c>
      <c r="G995" s="3">
        <f>F$1/C995</f>
        <v>1075.384449940854</v>
      </c>
      <c r="H995" s="2">
        <f>D995*F994</f>
        <v>128.98686679174418</v>
      </c>
      <c r="I995" s="2">
        <f>E995*G994</f>
        <v>183.150183150185</v>
      </c>
      <c r="J995" s="2">
        <f>I995-H995</f>
        <v>54.163316358440824</v>
      </c>
      <c r="K995" s="2">
        <f t="shared" si="128"/>
        <v>-54.163316358440824</v>
      </c>
      <c r="L995" s="14">
        <f>C995/B995</f>
        <v>1.0890033961822227</v>
      </c>
      <c r="M995" s="14">
        <f t="shared" si="130"/>
        <v>1.087800666764887</v>
      </c>
      <c r="N995" s="14">
        <f t="shared" si="134"/>
        <v>1.0879677844031463</v>
      </c>
      <c r="O995" s="14">
        <f t="shared" si="127"/>
        <v>1.0892062113282011</v>
      </c>
      <c r="P995" s="14">
        <f t="shared" si="129"/>
        <v>1.0914046932249299</v>
      </c>
      <c r="Q995" s="4" t="str">
        <f t="shared" si="133"/>
        <v>OVER</v>
      </c>
      <c r="R995" s="4" t="str">
        <f t="shared" si="133"/>
        <v>OVER</v>
      </c>
      <c r="S995" s="4" t="str">
        <f t="shared" si="131"/>
        <v>UNDER</v>
      </c>
      <c r="T995" s="4" t="str">
        <f t="shared" si="131"/>
        <v>UNDER</v>
      </c>
      <c r="U995" s="2">
        <f>IF(Q995="OVER",$J995,$K995)</f>
        <v>54.163316358440824</v>
      </c>
      <c r="V995" s="2">
        <f>IF(R995="OVER",$J995,$K995)</f>
        <v>54.163316358440824</v>
      </c>
      <c r="W995" s="2">
        <f>IF(S995="OVER",$J995,$K995)</f>
        <v>-54.163316358440824</v>
      </c>
      <c r="X995" s="2">
        <f>IF(T995="OVER",$J995,$K995)</f>
        <v>-54.163316358440824</v>
      </c>
      <c r="Y995" s="9">
        <f t="shared" si="132"/>
        <v>-42071.260309990845</v>
      </c>
      <c r="Z995" s="9">
        <f t="shared" si="132"/>
        <v>-41918.755992632097</v>
      </c>
      <c r="AA995" s="9">
        <f t="shared" si="132"/>
        <v>57569.738525713634</v>
      </c>
      <c r="AB995" s="9">
        <f t="shared" si="132"/>
        <v>25654.416414737749</v>
      </c>
    </row>
    <row r="996" spans="1:28" x14ac:dyDescent="0.3">
      <c r="A996" s="1">
        <v>45862</v>
      </c>
      <c r="B996" s="2">
        <v>85.29</v>
      </c>
      <c r="C996" s="2">
        <v>92.84</v>
      </c>
      <c r="D996" s="9">
        <f>B996-B995</f>
        <v>-9.9999999999994316E-2</v>
      </c>
      <c r="E996" s="9">
        <f>C996-C995</f>
        <v>-0.14999999999999147</v>
      </c>
      <c r="F996" s="3">
        <f>F$1/B996</f>
        <v>1172.4703951225231</v>
      </c>
      <c r="G996" s="3">
        <f>F$1/C996</f>
        <v>1077.1219302024988</v>
      </c>
      <c r="H996" s="2">
        <f>D996*F995</f>
        <v>-117.10973181870747</v>
      </c>
      <c r="I996" s="2">
        <f>E996*G995</f>
        <v>-161.30766749111893</v>
      </c>
      <c r="J996" s="2">
        <f>I996-H996</f>
        <v>-44.197935672411461</v>
      </c>
      <c r="K996" s="2">
        <f t="shared" si="128"/>
        <v>44.197935672411461</v>
      </c>
      <c r="L996" s="14">
        <f>C996/B996</f>
        <v>1.0885215148317504</v>
      </c>
      <c r="M996" s="14">
        <f t="shared" si="130"/>
        <v>1.0881703558285918</v>
      </c>
      <c r="N996" s="14">
        <f t="shared" si="134"/>
        <v>1.0877190135189672</v>
      </c>
      <c r="O996" s="14">
        <f t="shared" si="127"/>
        <v>1.0891605065404082</v>
      </c>
      <c r="P996" s="14">
        <f t="shared" si="129"/>
        <v>1.0913959164663241</v>
      </c>
      <c r="Q996" s="4" t="str">
        <f t="shared" si="133"/>
        <v>OVER</v>
      </c>
      <c r="R996" s="4" t="str">
        <f t="shared" si="133"/>
        <v>OVER</v>
      </c>
      <c r="S996" s="4" t="str">
        <f t="shared" si="131"/>
        <v>UNDER</v>
      </c>
      <c r="T996" s="4" t="str">
        <f t="shared" si="131"/>
        <v>UNDER</v>
      </c>
      <c r="U996" s="2">
        <f>IF(Q996="OVER",$J996,$K996)</f>
        <v>-44.197935672411461</v>
      </c>
      <c r="V996" s="2">
        <f>IF(R996="OVER",$J996,$K996)</f>
        <v>-44.197935672411461</v>
      </c>
      <c r="W996" s="2">
        <f>IF(S996="OVER",$J996,$K996)</f>
        <v>44.197935672411461</v>
      </c>
      <c r="X996" s="2">
        <f>IF(T996="OVER",$J996,$K996)</f>
        <v>44.197935672411461</v>
      </c>
      <c r="Y996" s="9">
        <f t="shared" si="132"/>
        <v>-42115.458245663256</v>
      </c>
      <c r="Z996" s="9">
        <f t="shared" si="132"/>
        <v>-41962.953928304509</v>
      </c>
      <c r="AA996" s="9">
        <f t="shared" si="132"/>
        <v>57613.936461386045</v>
      </c>
      <c r="AB996" s="9">
        <f t="shared" si="132"/>
        <v>25698.61435041016</v>
      </c>
    </row>
    <row r="997" spans="1:28" x14ac:dyDescent="0.3">
      <c r="A997" s="1">
        <v>45863</v>
      </c>
      <c r="B997" s="2">
        <v>85.35</v>
      </c>
      <c r="C997" s="2">
        <v>92.89</v>
      </c>
      <c r="D997" s="9">
        <f>B997-B996</f>
        <v>5.9999999999988063E-2</v>
      </c>
      <c r="E997" s="9">
        <f>C997-C996</f>
        <v>4.9999999999997158E-2</v>
      </c>
      <c r="F997" s="3">
        <f>F$1/B997</f>
        <v>1171.6461628588168</v>
      </c>
      <c r="G997" s="3">
        <f>F$1/C997</f>
        <v>1076.5421466250405</v>
      </c>
      <c r="H997" s="2">
        <f>D997*F996</f>
        <v>70.348223707337382</v>
      </c>
      <c r="I997" s="2">
        <f>E997*G996</f>
        <v>53.85609651012188</v>
      </c>
      <c r="J997" s="2">
        <f>I997-H997</f>
        <v>-16.492127197215503</v>
      </c>
      <c r="K997" s="2">
        <f t="shared" si="128"/>
        <v>16.492127197215503</v>
      </c>
      <c r="L997" s="14">
        <f>C997/B997</f>
        <v>1.0883421206795549</v>
      </c>
      <c r="M997" s="14">
        <f t="shared" si="130"/>
        <v>1.0883931577781403</v>
      </c>
      <c r="N997" s="14">
        <f t="shared" si="134"/>
        <v>1.0875125815412487</v>
      </c>
      <c r="O997" s="14">
        <f t="shared" si="127"/>
        <v>1.0891324452871256</v>
      </c>
      <c r="P997" s="14">
        <f t="shared" si="129"/>
        <v>1.091385631243998</v>
      </c>
      <c r="Q997" s="4" t="str">
        <f t="shared" si="133"/>
        <v>OVER</v>
      </c>
      <c r="R997" s="4" t="str">
        <f t="shared" si="133"/>
        <v>OVER</v>
      </c>
      <c r="S997" s="4" t="str">
        <f t="shared" si="131"/>
        <v>UNDER</v>
      </c>
      <c r="T997" s="4" t="str">
        <f t="shared" si="131"/>
        <v>UNDER</v>
      </c>
      <c r="U997" s="2">
        <f>IF(Q997="OVER",$J997,$K997)</f>
        <v>-16.492127197215503</v>
      </c>
      <c r="V997" s="2">
        <f>IF(R997="OVER",$J997,$K997)</f>
        <v>-16.492127197215503</v>
      </c>
      <c r="W997" s="2">
        <f>IF(S997="OVER",$J997,$K997)</f>
        <v>16.492127197215503</v>
      </c>
      <c r="X997" s="2">
        <f>IF(T997="OVER",$J997,$K997)</f>
        <v>16.492127197215503</v>
      </c>
      <c r="Y997" s="9">
        <f t="shared" si="132"/>
        <v>-42131.950372860469</v>
      </c>
      <c r="Z997" s="9">
        <f t="shared" si="132"/>
        <v>-41979.446055501721</v>
      </c>
      <c r="AA997" s="9">
        <f t="shared" si="132"/>
        <v>57630.428588583258</v>
      </c>
      <c r="AB997" s="9">
        <f t="shared" si="132"/>
        <v>25715.106477607376</v>
      </c>
    </row>
    <row r="998" spans="1:28" x14ac:dyDescent="0.3">
      <c r="A998" s="1">
        <v>45866</v>
      </c>
      <c r="B998" s="2">
        <v>85.1</v>
      </c>
      <c r="C998" s="2">
        <v>92.77</v>
      </c>
      <c r="D998" s="9">
        <f>B998-B997</f>
        <v>-0.25</v>
      </c>
      <c r="E998" s="9">
        <f>C998-C997</f>
        <v>-0.12000000000000455</v>
      </c>
      <c r="F998" s="3">
        <f>F$1/B998</f>
        <v>1175.0881316098707</v>
      </c>
      <c r="G998" s="3">
        <f>F$1/C998</f>
        <v>1077.9346771585642</v>
      </c>
      <c r="H998" s="2">
        <f>D998*F997</f>
        <v>-292.91154071470419</v>
      </c>
      <c r="I998" s="2">
        <f>E998*G997</f>
        <v>-129.18505759500974</v>
      </c>
      <c r="J998" s="2">
        <f>I998-H998</f>
        <v>163.72648311969445</v>
      </c>
      <c r="K998" s="2">
        <f t="shared" si="128"/>
        <v>-163.72648311969445</v>
      </c>
      <c r="L998" s="14">
        <f>C998/B998</f>
        <v>1.0901292596944772</v>
      </c>
      <c r="M998" s="14">
        <f t="shared" si="130"/>
        <v>1.0888105714598046</v>
      </c>
      <c r="N998" s="14">
        <f t="shared" si="134"/>
        <v>1.0875084062281006</v>
      </c>
      <c r="O998" s="14">
        <f t="shared" si="127"/>
        <v>1.0891640419067479</v>
      </c>
      <c r="P998" s="14">
        <f t="shared" si="129"/>
        <v>1.0913767331591238</v>
      </c>
      <c r="Q998" s="4" t="str">
        <f t="shared" si="133"/>
        <v>UNDER</v>
      </c>
      <c r="R998" s="4" t="str">
        <f t="shared" si="133"/>
        <v>OVER</v>
      </c>
      <c r="S998" s="4" t="str">
        <f t="shared" si="131"/>
        <v>OVER</v>
      </c>
      <c r="T998" s="4" t="str">
        <f t="shared" si="131"/>
        <v>UNDER</v>
      </c>
      <c r="U998" s="2">
        <f>IF(Q998="OVER",$J998,$K998)</f>
        <v>-163.72648311969445</v>
      </c>
      <c r="V998" s="2">
        <f>IF(R998="OVER",$J998,$K998)</f>
        <v>163.72648311969445</v>
      </c>
      <c r="W998" s="2">
        <f>IF(S998="OVER",$J998,$K998)</f>
        <v>163.72648311969445</v>
      </c>
      <c r="X998" s="2">
        <f>IF(T998="OVER",$J998,$K998)</f>
        <v>-163.72648311969445</v>
      </c>
      <c r="Y998" s="9">
        <f t="shared" si="132"/>
        <v>-42295.676855980164</v>
      </c>
      <c r="Z998" s="9">
        <f t="shared" si="132"/>
        <v>-41815.719572382026</v>
      </c>
      <c r="AA998" s="9">
        <f t="shared" si="132"/>
        <v>57794.155071702953</v>
      </c>
      <c r="AB998" s="9">
        <f t="shared" si="132"/>
        <v>25551.379994487681</v>
      </c>
    </row>
    <row r="999" spans="1:28" x14ac:dyDescent="0.3">
      <c r="A999" s="1">
        <v>45867</v>
      </c>
      <c r="B999" s="2">
        <v>84.57</v>
      </c>
      <c r="C999" s="2">
        <v>92.29</v>
      </c>
      <c r="D999" s="9">
        <f>B999-B998</f>
        <v>-0.53000000000000114</v>
      </c>
      <c r="E999" s="9">
        <f>C999-C998</f>
        <v>-0.47999999999998977</v>
      </c>
      <c r="F999" s="3">
        <f>F$1/B999</f>
        <v>1182.4524062906469</v>
      </c>
      <c r="G999" s="3">
        <f>F$1/C999</f>
        <v>1083.5410120273052</v>
      </c>
      <c r="H999" s="2">
        <f>D999*F998</f>
        <v>-622.79670975323279</v>
      </c>
      <c r="I999" s="2">
        <f>E999*G998</f>
        <v>-517.40864503609976</v>
      </c>
      <c r="J999" s="2">
        <f>I999-H999</f>
        <v>105.38806471713303</v>
      </c>
      <c r="K999" s="2">
        <f t="shared" si="128"/>
        <v>-105.38806471713303</v>
      </c>
      <c r="L999" s="14">
        <f>C999/B999</f>
        <v>1.0912853257656381</v>
      </c>
      <c r="M999" s="14">
        <f t="shared" si="130"/>
        <v>1.0892852578825223</v>
      </c>
      <c r="N999" s="14">
        <f t="shared" si="134"/>
        <v>1.0875723095838878</v>
      </c>
      <c r="O999" s="14">
        <f t="shared" si="127"/>
        <v>1.0892472676862914</v>
      </c>
      <c r="P999" s="14">
        <f t="shared" si="129"/>
        <v>1.0913708758696699</v>
      </c>
      <c r="Q999" s="4" t="str">
        <f t="shared" si="133"/>
        <v>OVER</v>
      </c>
      <c r="R999" s="4" t="str">
        <f t="shared" si="133"/>
        <v>OVER</v>
      </c>
      <c r="S999" s="4" t="str">
        <f t="shared" si="131"/>
        <v>OVER</v>
      </c>
      <c r="T999" s="4" t="str">
        <f t="shared" si="131"/>
        <v>UNDER</v>
      </c>
      <c r="U999" s="2">
        <f>IF(Q999="OVER",$J999,$K999)</f>
        <v>105.38806471713303</v>
      </c>
      <c r="V999" s="2">
        <f>IF(R999="OVER",$J999,$K999)</f>
        <v>105.38806471713303</v>
      </c>
      <c r="W999" s="2">
        <f>IF(S999="OVER",$J999,$K999)</f>
        <v>105.38806471713303</v>
      </c>
      <c r="X999" s="2">
        <f>IF(T999="OVER",$J999,$K999)</f>
        <v>-105.38806471713303</v>
      </c>
      <c r="Y999" s="9">
        <f t="shared" si="132"/>
        <v>-42190.288791263032</v>
      </c>
      <c r="Z999" s="9">
        <f t="shared" si="132"/>
        <v>-41710.331507664894</v>
      </c>
      <c r="AA999" s="9">
        <f t="shared" si="132"/>
        <v>57899.543136420085</v>
      </c>
      <c r="AB999" s="9">
        <f t="shared" si="132"/>
        <v>25445.991929770549</v>
      </c>
    </row>
    <row r="1000" spans="1:28" x14ac:dyDescent="0.3">
      <c r="A1000" s="1">
        <v>45868</v>
      </c>
      <c r="B1000" s="2">
        <v>84.88</v>
      </c>
      <c r="C1000" s="2">
        <v>92.47</v>
      </c>
      <c r="D1000" s="9">
        <f>B1000-B999</f>
        <v>0.31000000000000227</v>
      </c>
      <c r="E1000" s="9">
        <f>C1000-C999</f>
        <v>0.17999999999999261</v>
      </c>
      <c r="F1000" s="3">
        <f>F$1/B1000</f>
        <v>1178.1338360037701</v>
      </c>
      <c r="G1000" s="3">
        <f>F$1/C1000</f>
        <v>1081.4318157240186</v>
      </c>
      <c r="H1000" s="2">
        <f>D1000*F999</f>
        <v>366.56024595010319</v>
      </c>
      <c r="I1000" s="2">
        <f>E1000*G999</f>
        <v>195.03738216490694</v>
      </c>
      <c r="J1000" s="2">
        <f>I1000-H1000</f>
        <v>-171.52286378519625</v>
      </c>
      <c r="K1000" s="2">
        <f t="shared" si="128"/>
        <v>171.52286378519625</v>
      </c>
      <c r="L1000" s="14">
        <f>C1000/B1000</f>
        <v>1.0894203581526862</v>
      </c>
      <c r="M1000" s="14">
        <f t="shared" si="130"/>
        <v>1.0896004915233644</v>
      </c>
      <c r="N1000" s="14">
        <f t="shared" si="134"/>
        <v>1.087790076792774</v>
      </c>
      <c r="O1000" s="14">
        <f t="shared" si="127"/>
        <v>1.0892847165211639</v>
      </c>
      <c r="P1000" s="14">
        <f t="shared" si="129"/>
        <v>1.0913648567411334</v>
      </c>
      <c r="Q1000" s="4" t="str">
        <f t="shared" si="133"/>
        <v>OVER</v>
      </c>
      <c r="R1000" s="4" t="str">
        <f t="shared" si="133"/>
        <v>OVER</v>
      </c>
      <c r="S1000" s="4" t="str">
        <f t="shared" si="131"/>
        <v>OVER</v>
      </c>
      <c r="T1000" s="4" t="str">
        <f t="shared" si="131"/>
        <v>UNDER</v>
      </c>
      <c r="U1000" s="2">
        <f>IF(Q1000="OVER",$J1000,$K1000)</f>
        <v>-171.52286378519625</v>
      </c>
      <c r="V1000" s="2">
        <f>IF(R1000="OVER",$J1000,$K1000)</f>
        <v>-171.52286378519625</v>
      </c>
      <c r="W1000" s="2">
        <f>IF(S1000="OVER",$J1000,$K1000)</f>
        <v>-171.52286378519625</v>
      </c>
      <c r="X1000" s="2">
        <f>IF(T1000="OVER",$J1000,$K1000)</f>
        <v>171.52286378519625</v>
      </c>
      <c r="Y1000" s="9">
        <f t="shared" si="132"/>
        <v>-42361.81165504823</v>
      </c>
      <c r="Z1000" s="9">
        <f t="shared" si="132"/>
        <v>-41881.854371450092</v>
      </c>
      <c r="AA1000" s="9">
        <f t="shared" si="132"/>
        <v>57728.020272634887</v>
      </c>
      <c r="AB1000" s="9">
        <f t="shared" si="132"/>
        <v>25617.514793555747</v>
      </c>
    </row>
    <row r="1001" spans="1:28" x14ac:dyDescent="0.3">
      <c r="A1001" s="1">
        <v>45869</v>
      </c>
      <c r="B1001" s="2">
        <v>84.92</v>
      </c>
      <c r="C1001" s="2">
        <v>92.61</v>
      </c>
      <c r="D1001" s="9">
        <f>B1001-B1000</f>
        <v>4.0000000000006253E-2</v>
      </c>
      <c r="E1001" s="9">
        <f>C1001-C1000</f>
        <v>0.14000000000000057</v>
      </c>
      <c r="F1001" s="3">
        <f>F$1/B1001</f>
        <v>1177.5788977861516</v>
      </c>
      <c r="G1001" s="3">
        <f>F$1/C1001</f>
        <v>1079.796998164345</v>
      </c>
      <c r="H1001" s="2">
        <f>D1001*F1000</f>
        <v>47.125353440158172</v>
      </c>
      <c r="I1001" s="2">
        <f>E1001*G1000</f>
        <v>151.40045420136323</v>
      </c>
      <c r="J1001" s="2">
        <f>I1001-H1001</f>
        <v>104.27510076120507</v>
      </c>
      <c r="K1001" s="2">
        <f t="shared" si="128"/>
        <v>-104.27510076120507</v>
      </c>
      <c r="L1001" s="14">
        <f>C1001/B1001</f>
        <v>1.0905558172397551</v>
      </c>
      <c r="M1001" s="14">
        <f t="shared" si="130"/>
        <v>1.0893989977756415</v>
      </c>
      <c r="N1001" s="14">
        <f t="shared" si="134"/>
        <v>1.0880328440841101</v>
      </c>
      <c r="O1001" s="14">
        <f t="shared" si="127"/>
        <v>1.0893351998293617</v>
      </c>
      <c r="P1001" s="14">
        <f t="shared" si="129"/>
        <v>1.0913607167672799</v>
      </c>
      <c r="Q1001" s="4" t="str">
        <f t="shared" si="133"/>
        <v>UNDER</v>
      </c>
      <c r="R1001" s="4" t="str">
        <f t="shared" si="133"/>
        <v>OVER</v>
      </c>
      <c r="S1001" s="4" t="str">
        <f t="shared" si="131"/>
        <v>OVER</v>
      </c>
      <c r="T1001" s="4" t="str">
        <f t="shared" si="131"/>
        <v>UNDER</v>
      </c>
      <c r="U1001" s="2">
        <f>IF(Q1001="OVER",$J1001,$K1001)</f>
        <v>-104.27510076120507</v>
      </c>
      <c r="V1001" s="2">
        <f>IF(R1001="OVER",$J1001,$K1001)</f>
        <v>104.27510076120507</v>
      </c>
      <c r="W1001" s="2">
        <f>IF(S1001="OVER",$J1001,$K1001)</f>
        <v>104.27510076120507</v>
      </c>
      <c r="X1001" s="2">
        <f>IF(T1001="OVER",$J1001,$K1001)</f>
        <v>-104.27510076120507</v>
      </c>
      <c r="Y1001" s="9">
        <f t="shared" si="132"/>
        <v>-42466.086755809432</v>
      </c>
      <c r="Z1001" s="9">
        <f t="shared" si="132"/>
        <v>-41777.57927068889</v>
      </c>
      <c r="AA1001" s="9">
        <f t="shared" si="132"/>
        <v>57832.295373396089</v>
      </c>
      <c r="AB1001" s="9">
        <f t="shared" si="132"/>
        <v>25513.239692794541</v>
      </c>
    </row>
    <row r="1002" spans="1:28" x14ac:dyDescent="0.3">
      <c r="A1002" s="1">
        <v>45870</v>
      </c>
      <c r="B1002" s="2">
        <v>83.82</v>
      </c>
      <c r="C1002" s="2">
        <v>91.36</v>
      </c>
      <c r="D1002" s="9">
        <f>B1002-B1001</f>
        <v>-1.1000000000000085</v>
      </c>
      <c r="E1002" s="9">
        <f>C1002-C1001</f>
        <v>-1.25</v>
      </c>
      <c r="F1002" s="3">
        <f>F$1/B1002</f>
        <v>1193.0326890956812</v>
      </c>
      <c r="G1002" s="3">
        <f>F$1/C1002</f>
        <v>1094.5709281961472</v>
      </c>
      <c r="H1002" s="2">
        <f>D1002*F1001</f>
        <v>-1295.3367875647768</v>
      </c>
      <c r="I1002" s="2">
        <f>E1002*G1001</f>
        <v>-1349.7462477054314</v>
      </c>
      <c r="J1002" s="2">
        <f>I1002-H1002</f>
        <v>-54.409460140654573</v>
      </c>
      <c r="K1002" s="2">
        <f t="shared" si="128"/>
        <v>54.409460140654573</v>
      </c>
      <c r="L1002" s="14">
        <f>C1002/B1002</f>
        <v>1.0899546647578144</v>
      </c>
      <c r="M1002" s="14">
        <f t="shared" si="130"/>
        <v>1.0896375679020862</v>
      </c>
      <c r="N1002" s="14">
        <f t="shared" si="134"/>
        <v>1.0882225147467905</v>
      </c>
      <c r="O1002" s="14">
        <f t="shared" si="127"/>
        <v>1.0894095997779685</v>
      </c>
      <c r="P1002" s="14">
        <f t="shared" si="129"/>
        <v>1.0913650414145035</v>
      </c>
      <c r="Q1002" s="4" t="str">
        <f t="shared" si="133"/>
        <v>OVER</v>
      </c>
      <c r="R1002" s="4" t="str">
        <f t="shared" si="133"/>
        <v>OVER</v>
      </c>
      <c r="S1002" s="4" t="str">
        <f t="shared" si="131"/>
        <v>OVER</v>
      </c>
      <c r="T1002" s="4" t="str">
        <f t="shared" si="131"/>
        <v>UNDER</v>
      </c>
      <c r="U1002" s="2">
        <f>IF(Q1002="OVER",$J1002,$K1002)</f>
        <v>-54.409460140654573</v>
      </c>
      <c r="V1002" s="2">
        <f>IF(R1002="OVER",$J1002,$K1002)</f>
        <v>-54.409460140654573</v>
      </c>
      <c r="W1002" s="2">
        <f>IF(S1002="OVER",$J1002,$K1002)</f>
        <v>-54.409460140654573</v>
      </c>
      <c r="X1002" s="2">
        <f>IF(T1002="OVER",$J1002,$K1002)</f>
        <v>54.409460140654573</v>
      </c>
      <c r="Y1002" s="9">
        <f t="shared" si="132"/>
        <v>-42520.496215950086</v>
      </c>
      <c r="Z1002" s="9">
        <f t="shared" si="132"/>
        <v>-41831.988730829544</v>
      </c>
      <c r="AA1002" s="9">
        <f t="shared" si="132"/>
        <v>57777.885913255435</v>
      </c>
      <c r="AB1002" s="9">
        <f t="shared" si="132"/>
        <v>25567.649152935195</v>
      </c>
    </row>
    <row r="1003" spans="1:28" x14ac:dyDescent="0.3">
      <c r="A1003" s="1">
        <v>45873</v>
      </c>
      <c r="B1003" s="2">
        <v>84.56</v>
      </c>
      <c r="C1003" s="2">
        <v>92.36</v>
      </c>
      <c r="D1003" s="9">
        <f>B1003-B1002</f>
        <v>0.74000000000000909</v>
      </c>
      <c r="E1003" s="9">
        <f>C1003-C1002</f>
        <v>1</v>
      </c>
      <c r="F1003" s="3">
        <f>F$1/B1003</f>
        <v>1182.5922421948912</v>
      </c>
      <c r="G1003" s="3">
        <f>F$1/C1003</f>
        <v>1082.7197921177999</v>
      </c>
      <c r="H1003" s="2">
        <f>D1003*F1002</f>
        <v>882.84418993081499</v>
      </c>
      <c r="I1003" s="2">
        <f>E1003*G1002</f>
        <v>1094.5709281961472</v>
      </c>
      <c r="J1003" s="2">
        <f>I1003-H1003</f>
        <v>211.72673826533219</v>
      </c>
      <c r="K1003" s="2">
        <f t="shared" si="128"/>
        <v>-211.72673826533219</v>
      </c>
      <c r="L1003" s="14">
        <f>C1003/B1003</f>
        <v>1.0922421948912016</v>
      </c>
      <c r="M1003" s="14">
        <f t="shared" si="130"/>
        <v>1.0897869286341444</v>
      </c>
      <c r="N1003" s="14">
        <f t="shared" si="134"/>
        <v>1.0884728966921227</v>
      </c>
      <c r="O1003" s="14">
        <f t="shared" si="127"/>
        <v>1.0894643357169675</v>
      </c>
      <c r="P1003" s="14">
        <f t="shared" si="129"/>
        <v>1.0913765749696047</v>
      </c>
      <c r="Q1003" s="4" t="str">
        <f t="shared" si="133"/>
        <v>OVER</v>
      </c>
      <c r="R1003" s="4" t="str">
        <f t="shared" si="133"/>
        <v>OVER</v>
      </c>
      <c r="S1003" s="4" t="str">
        <f t="shared" si="131"/>
        <v>OVER</v>
      </c>
      <c r="T1003" s="4" t="str">
        <f t="shared" si="131"/>
        <v>OVER</v>
      </c>
      <c r="U1003" s="2">
        <f>IF(Q1003="OVER",$J1003,$K1003)</f>
        <v>211.72673826533219</v>
      </c>
      <c r="V1003" s="2">
        <f>IF(R1003="OVER",$J1003,$K1003)</f>
        <v>211.72673826533219</v>
      </c>
      <c r="W1003" s="2">
        <f>IF(S1003="OVER",$J1003,$K1003)</f>
        <v>211.72673826533219</v>
      </c>
      <c r="X1003" s="2">
        <f>IF(T1003="OVER",$J1003,$K1003)</f>
        <v>211.72673826533219</v>
      </c>
      <c r="Y1003" s="9">
        <f t="shared" si="132"/>
        <v>-42308.769477684757</v>
      </c>
      <c r="Z1003" s="9">
        <f t="shared" si="132"/>
        <v>-41620.261992564214</v>
      </c>
      <c r="AA1003" s="9">
        <f t="shared" si="132"/>
        <v>57989.612651520765</v>
      </c>
      <c r="AB1003" s="9">
        <f t="shared" si="132"/>
        <v>25779.375891200529</v>
      </c>
    </row>
    <row r="1004" spans="1:28" x14ac:dyDescent="0.3">
      <c r="A1004" s="1">
        <v>45874</v>
      </c>
      <c r="B1004" s="2">
        <v>84.39</v>
      </c>
      <c r="C1004" s="2">
        <v>92.04</v>
      </c>
      <c r="D1004" s="9">
        <f>B1004-B1003</f>
        <v>-0.17000000000000171</v>
      </c>
      <c r="E1004" s="9">
        <f>C1004-C1003</f>
        <v>-0.31999999999999318</v>
      </c>
      <c r="F1004" s="3">
        <f>F$1/B1004</f>
        <v>1184.9745230477545</v>
      </c>
      <c r="G1004" s="3">
        <f>F$1/C1004</f>
        <v>1086.4841373315949</v>
      </c>
      <c r="H1004" s="2">
        <f>D1004*F1003</f>
        <v>-201.04068117313352</v>
      </c>
      <c r="I1004" s="2">
        <f>E1004*G1003</f>
        <v>-346.4703334776886</v>
      </c>
      <c r="J1004" s="2">
        <f>I1004-H1004</f>
        <v>-145.42965230455508</v>
      </c>
      <c r="K1004" s="2">
        <f t="shared" si="128"/>
        <v>145.42965230455508</v>
      </c>
      <c r="L1004" s="14">
        <f>C1004/B1004</f>
        <v>1.0906505510131532</v>
      </c>
      <c r="M1004" s="14">
        <f t="shared" si="130"/>
        <v>1.0900105203208255</v>
      </c>
      <c r="N1004" s="14">
        <f t="shared" si="134"/>
        <v>1.0887269310426357</v>
      </c>
      <c r="O1004" s="14">
        <f t="shared" si="127"/>
        <v>1.0894931560220487</v>
      </c>
      <c r="P1004" s="14">
        <f t="shared" si="129"/>
        <v>1.0913803314704724</v>
      </c>
      <c r="Q1004" s="4" t="str">
        <f t="shared" si="133"/>
        <v>OVER</v>
      </c>
      <c r="R1004" s="4" t="str">
        <f t="shared" si="133"/>
        <v>OVER</v>
      </c>
      <c r="S1004" s="4" t="str">
        <f t="shared" si="131"/>
        <v>OVER</v>
      </c>
      <c r="T1004" s="4" t="str">
        <f t="shared" si="131"/>
        <v>UNDER</v>
      </c>
      <c r="U1004" s="2">
        <f>IF(Q1004="OVER",$J1004,$K1004)</f>
        <v>-145.42965230455508</v>
      </c>
      <c r="V1004" s="2">
        <f>IF(R1004="OVER",$J1004,$K1004)</f>
        <v>-145.42965230455508</v>
      </c>
      <c r="W1004" s="2">
        <f>IF(S1004="OVER",$J1004,$K1004)</f>
        <v>-145.42965230455508</v>
      </c>
      <c r="X1004" s="2">
        <f>IF(T1004="OVER",$J1004,$K1004)</f>
        <v>145.42965230455508</v>
      </c>
      <c r="Y1004" s="9">
        <f t="shared" si="132"/>
        <v>-42454.199129989312</v>
      </c>
      <c r="Z1004" s="9">
        <f t="shared" si="132"/>
        <v>-41765.69164486877</v>
      </c>
      <c r="AA1004" s="9">
        <f t="shared" si="132"/>
        <v>57844.182999216209</v>
      </c>
      <c r="AB1004" s="9">
        <f t="shared" si="132"/>
        <v>25924.805543505085</v>
      </c>
    </row>
    <row r="1005" spans="1:28" x14ac:dyDescent="0.3">
      <c r="A1005" s="1">
        <v>45875</v>
      </c>
      <c r="B1005" s="2">
        <v>84.27</v>
      </c>
      <c r="C1005" s="2">
        <v>91.84</v>
      </c>
      <c r="D1005" s="9">
        <f>B1005-B1004</f>
        <v>-0.12000000000000455</v>
      </c>
      <c r="E1005" s="9">
        <f>C1005-C1004</f>
        <v>-0.20000000000000284</v>
      </c>
      <c r="F1005" s="3">
        <f>F$1/B1005</f>
        <v>1186.6619200189866</v>
      </c>
      <c r="G1005" s="3">
        <f>F$1/C1005</f>
        <v>1088.8501742160279</v>
      </c>
      <c r="H1005" s="2">
        <f>D1005*F1004</f>
        <v>-142.19694276573591</v>
      </c>
      <c r="I1005" s="2">
        <f>E1005*G1004</f>
        <v>-217.29682746632207</v>
      </c>
      <c r="J1005" s="2">
        <f>I1005-H1005</f>
        <v>-75.099884700586159</v>
      </c>
      <c r="K1005" s="2">
        <f t="shared" si="128"/>
        <v>75.099884700586159</v>
      </c>
      <c r="L1005" s="14">
        <f>C1005/B1005</f>
        <v>1.0898303073454374</v>
      </c>
      <c r="M1005" s="14">
        <f t="shared" si="130"/>
        <v>1.0900932114371469</v>
      </c>
      <c r="N1005" s="14">
        <f t="shared" si="134"/>
        <v>1.0889469391010169</v>
      </c>
      <c r="O1005" s="14">
        <f t="shared" si="127"/>
        <v>1.0895186278893443</v>
      </c>
      <c r="P1005" s="14">
        <f t="shared" si="129"/>
        <v>1.0913758162975722</v>
      </c>
      <c r="Q1005" s="4" t="str">
        <f t="shared" si="133"/>
        <v>OVER</v>
      </c>
      <c r="R1005" s="4" t="str">
        <f t="shared" si="133"/>
        <v>OVER</v>
      </c>
      <c r="S1005" s="4" t="str">
        <f t="shared" si="131"/>
        <v>OVER</v>
      </c>
      <c r="T1005" s="4" t="str">
        <f t="shared" si="131"/>
        <v>UNDER</v>
      </c>
      <c r="U1005" s="2">
        <f>IF(Q1005="OVER",$J1005,$K1005)</f>
        <v>-75.099884700586159</v>
      </c>
      <c r="V1005" s="2">
        <f>IF(R1005="OVER",$J1005,$K1005)</f>
        <v>-75.099884700586159</v>
      </c>
      <c r="W1005" s="2">
        <f>IF(S1005="OVER",$J1005,$K1005)</f>
        <v>-75.099884700586159</v>
      </c>
      <c r="X1005" s="2">
        <f>IF(T1005="OVER",$J1005,$K1005)</f>
        <v>75.099884700586159</v>
      </c>
      <c r="Y1005" s="9">
        <f t="shared" si="132"/>
        <v>-42529.299014689896</v>
      </c>
      <c r="Z1005" s="9">
        <f t="shared" si="132"/>
        <v>-41840.791529569353</v>
      </c>
      <c r="AA1005" s="9">
        <f t="shared" si="132"/>
        <v>57769.083114515626</v>
      </c>
      <c r="AB1005" s="9">
        <f t="shared" si="132"/>
        <v>25999.905428205671</v>
      </c>
    </row>
    <row r="1006" spans="1:28" x14ac:dyDescent="0.3">
      <c r="A1006" s="1">
        <v>45876</v>
      </c>
      <c r="B1006" s="2">
        <v>84.68</v>
      </c>
      <c r="C1006" s="2">
        <v>92.08</v>
      </c>
      <c r="D1006" s="9">
        <f>B1006-B1005</f>
        <v>0.4100000000000108</v>
      </c>
      <c r="E1006" s="9">
        <f>C1006-C1005</f>
        <v>0.23999999999999488</v>
      </c>
      <c r="F1006" s="3">
        <f>F$1/B1006</f>
        <v>1180.9163911195087</v>
      </c>
      <c r="G1006" s="3">
        <f>F$1/C1006</f>
        <v>1086.0121633362294</v>
      </c>
      <c r="H1006" s="2">
        <f>D1006*F1005</f>
        <v>486.53138720779731</v>
      </c>
      <c r="I1006" s="2">
        <f>E1006*G1005</f>
        <v>261.32404181184114</v>
      </c>
      <c r="J1006" s="2">
        <f>I1006-H1006</f>
        <v>-225.20734539595617</v>
      </c>
      <c r="K1006" s="2">
        <f t="shared" si="128"/>
        <v>225.20734539595617</v>
      </c>
      <c r="L1006" s="14">
        <f>C1006/B1006</f>
        <v>1.0873878129428436</v>
      </c>
      <c r="M1006" s="14">
        <f t="shared" si="130"/>
        <v>1.089979841248256</v>
      </c>
      <c r="N1006" s="14">
        <f t="shared" si="134"/>
        <v>1.0890750985384239</v>
      </c>
      <c r="O1006" s="14">
        <f t="shared" si="127"/>
        <v>1.0894761219759166</v>
      </c>
      <c r="P1006" s="14">
        <f t="shared" si="129"/>
        <v>1.091358386179246</v>
      </c>
      <c r="Q1006" s="4" t="str">
        <f t="shared" si="133"/>
        <v>UNDER</v>
      </c>
      <c r="R1006" s="4" t="str">
        <f t="shared" si="133"/>
        <v>OVER</v>
      </c>
      <c r="S1006" s="4" t="str">
        <f t="shared" si="131"/>
        <v>UNDER</v>
      </c>
      <c r="T1006" s="4" t="str">
        <f t="shared" si="131"/>
        <v>UNDER</v>
      </c>
      <c r="U1006" s="2">
        <f>IF(Q1006="OVER",$J1006,$K1006)</f>
        <v>225.20734539595617</v>
      </c>
      <c r="V1006" s="2">
        <f>IF(R1006="OVER",$J1006,$K1006)</f>
        <v>-225.20734539595617</v>
      </c>
      <c r="W1006" s="2">
        <f>IF(S1006="OVER",$J1006,$K1006)</f>
        <v>225.20734539595617</v>
      </c>
      <c r="X1006" s="2">
        <f>IF(T1006="OVER",$J1006,$K1006)</f>
        <v>225.20734539595617</v>
      </c>
      <c r="Y1006" s="9">
        <f t="shared" si="132"/>
        <v>-42304.091669293943</v>
      </c>
      <c r="Z1006" s="9">
        <f t="shared" si="132"/>
        <v>-42065.998874965306</v>
      </c>
      <c r="AA1006" s="9">
        <f t="shared" si="132"/>
        <v>57994.290459911579</v>
      </c>
      <c r="AB1006" s="9">
        <f t="shared" si="132"/>
        <v>26225.112773601628</v>
      </c>
    </row>
    <row r="1007" spans="1:28" x14ac:dyDescent="0.3">
      <c r="A1007" s="1">
        <v>45877</v>
      </c>
      <c r="B1007" s="2">
        <v>84.49</v>
      </c>
      <c r="C1007" s="2">
        <v>91.87</v>
      </c>
      <c r="D1007" s="9">
        <f>B1007-B1006</f>
        <v>-0.19000000000001194</v>
      </c>
      <c r="E1007" s="9">
        <f>C1007-C1006</f>
        <v>-0.20999999999999375</v>
      </c>
      <c r="F1007" s="3">
        <f>F$1/B1007</f>
        <v>1183.5720203574388</v>
      </c>
      <c r="G1007" s="3">
        <f>F$1/C1007</f>
        <v>1088.4946119516708</v>
      </c>
      <c r="H1007" s="2">
        <f>D1007*F1006</f>
        <v>-224.37411431272076</v>
      </c>
      <c r="I1007" s="2">
        <f>E1007*G1006</f>
        <v>-228.06255430060139</v>
      </c>
      <c r="J1007" s="2">
        <f>I1007-H1007</f>
        <v>-3.6884399878806278</v>
      </c>
      <c r="K1007" s="2">
        <f t="shared" si="128"/>
        <v>3.6884399878806278</v>
      </c>
      <c r="L1007" s="14">
        <f>C1007/B1007</f>
        <v>1.0873476151023791</v>
      </c>
      <c r="M1007" s="14">
        <f t="shared" si="130"/>
        <v>1.0898803906905385</v>
      </c>
      <c r="N1007" s="14">
        <f t="shared" si="134"/>
        <v>1.0891367742343394</v>
      </c>
      <c r="O1007" s="14">
        <f t="shared" si="127"/>
        <v>1.0894465771594475</v>
      </c>
      <c r="P1007" s="14">
        <f t="shared" si="129"/>
        <v>1.0913414563010897</v>
      </c>
      <c r="Q1007" s="4" t="str">
        <f t="shared" si="133"/>
        <v>UNDER</v>
      </c>
      <c r="R1007" s="4" t="str">
        <f t="shared" si="133"/>
        <v>UNDER</v>
      </c>
      <c r="S1007" s="4" t="str">
        <f t="shared" si="131"/>
        <v>UNDER</v>
      </c>
      <c r="T1007" s="4" t="str">
        <f t="shared" si="131"/>
        <v>UNDER</v>
      </c>
      <c r="U1007" s="2">
        <f>IF(Q1007="OVER",$J1007,$K1007)</f>
        <v>3.6884399878806278</v>
      </c>
      <c r="V1007" s="2">
        <f>IF(R1007="OVER",$J1007,$K1007)</f>
        <v>3.6884399878806278</v>
      </c>
      <c r="W1007" s="2">
        <f>IF(S1007="OVER",$J1007,$K1007)</f>
        <v>3.6884399878806278</v>
      </c>
      <c r="X1007" s="2">
        <f>IF(T1007="OVER",$J1007,$K1007)</f>
        <v>3.6884399878806278</v>
      </c>
      <c r="Y1007" s="9">
        <f t="shared" si="132"/>
        <v>-42300.403229306059</v>
      </c>
      <c r="Z1007" s="9">
        <f t="shared" si="132"/>
        <v>-42062.310434977422</v>
      </c>
      <c r="AA1007" s="9">
        <f t="shared" si="132"/>
        <v>57997.978899899463</v>
      </c>
      <c r="AB1007" s="9">
        <f t="shared" si="132"/>
        <v>26228.801213589508</v>
      </c>
    </row>
    <row r="1008" spans="1:28" x14ac:dyDescent="0.3">
      <c r="A1008" s="1">
        <v>45880</v>
      </c>
      <c r="B1008" s="2">
        <v>84.46</v>
      </c>
      <c r="C1008" s="2">
        <v>91.98</v>
      </c>
      <c r="D1008" s="9">
        <f>B1008-B1007</f>
        <v>-3.0000000000001137E-2</v>
      </c>
      <c r="E1008" s="9">
        <f>C1008-C1007</f>
        <v>0.10999999999999943</v>
      </c>
      <c r="F1008" s="3">
        <f>F$1/B1008</f>
        <v>1183.9924224484964</v>
      </c>
      <c r="G1008" s="3">
        <f>F$1/C1008</f>
        <v>1087.1928680147857</v>
      </c>
      <c r="H1008" s="2">
        <f>D1008*F1007</f>
        <v>-35.507160610724512</v>
      </c>
      <c r="I1008" s="2">
        <f>E1008*G1007</f>
        <v>119.73440731468317</v>
      </c>
      <c r="J1008" s="2">
        <f>I1008-H1008</f>
        <v>155.24156792540768</v>
      </c>
      <c r="K1008" s="2">
        <f t="shared" si="128"/>
        <v>-155.24156792540768</v>
      </c>
      <c r="L1008" s="14">
        <f>C1008/B1008</f>
        <v>1.0890362301681271</v>
      </c>
      <c r="M1008" s="14">
        <f t="shared" si="130"/>
        <v>1.0897710877379034</v>
      </c>
      <c r="N1008" s="14">
        <f t="shared" si="134"/>
        <v>1.0892908295988541</v>
      </c>
      <c r="O1008" s="14">
        <f t="shared" si="127"/>
        <v>1.0894339734457796</v>
      </c>
      <c r="P1008" s="14">
        <f t="shared" si="129"/>
        <v>1.0913322680186013</v>
      </c>
      <c r="Q1008" s="4" t="str">
        <f t="shared" si="133"/>
        <v>UNDER</v>
      </c>
      <c r="R1008" s="4" t="str">
        <f t="shared" si="133"/>
        <v>UNDER</v>
      </c>
      <c r="S1008" s="4" t="str">
        <f t="shared" si="131"/>
        <v>UNDER</v>
      </c>
      <c r="T1008" s="4" t="str">
        <f t="shared" si="131"/>
        <v>UNDER</v>
      </c>
      <c r="U1008" s="2">
        <f>IF(Q1008="OVER",$J1008,$K1008)</f>
        <v>-155.24156792540768</v>
      </c>
      <c r="V1008" s="2">
        <f>IF(R1008="OVER",$J1008,$K1008)</f>
        <v>-155.24156792540768</v>
      </c>
      <c r="W1008" s="2">
        <f>IF(S1008="OVER",$J1008,$K1008)</f>
        <v>-155.24156792540768</v>
      </c>
      <c r="X1008" s="2">
        <f>IF(T1008="OVER",$J1008,$K1008)</f>
        <v>-155.24156792540768</v>
      </c>
      <c r="Y1008" s="9">
        <f t="shared" si="132"/>
        <v>-42455.644797231464</v>
      </c>
      <c r="Z1008" s="9">
        <f t="shared" si="132"/>
        <v>-42217.552002902827</v>
      </c>
      <c r="AA1008" s="9">
        <f t="shared" si="132"/>
        <v>57842.737331974058</v>
      </c>
      <c r="AB1008" s="9">
        <f t="shared" si="132"/>
        <v>26073.5596456641</v>
      </c>
    </row>
    <row r="1009" spans="1:28" x14ac:dyDescent="0.3">
      <c r="A1009" s="1">
        <v>45881</v>
      </c>
      <c r="B1009" s="2">
        <v>85.28</v>
      </c>
      <c r="C1009" s="2">
        <v>92.74</v>
      </c>
      <c r="D1009" s="9">
        <f>B1009-B1008</f>
        <v>0.82000000000000739</v>
      </c>
      <c r="E1009" s="9">
        <f>C1009-C1008</f>
        <v>0.75999999999999091</v>
      </c>
      <c r="F1009" s="3">
        <f>F$1/B1009</f>
        <v>1172.6078799249531</v>
      </c>
      <c r="G1009" s="3">
        <f>F$1/C1009</f>
        <v>1078.2833728703904</v>
      </c>
      <c r="H1009" s="2">
        <f>D1009*F1008</f>
        <v>970.87378640777581</v>
      </c>
      <c r="I1009" s="2">
        <f>E1009*G1008</f>
        <v>826.26657969122732</v>
      </c>
      <c r="J1009" s="2">
        <f>I1009-H1009</f>
        <v>-144.60720671654849</v>
      </c>
      <c r="K1009" s="2">
        <f t="shared" si="128"/>
        <v>144.60720671654849</v>
      </c>
      <c r="L1009" s="14">
        <f>C1009/B1009</f>
        <v>1.0874765478424013</v>
      </c>
      <c r="M1009" s="14">
        <f t="shared" si="130"/>
        <v>1.0893902099455799</v>
      </c>
      <c r="N1009" s="14">
        <f t="shared" si="134"/>
        <v>1.0893377339140506</v>
      </c>
      <c r="O1009" s="14">
        <f t="shared" si="127"/>
        <v>1.0893607640240393</v>
      </c>
      <c r="P1009" s="14">
        <f t="shared" si="129"/>
        <v>1.0913186248189826</v>
      </c>
      <c r="Q1009" s="4" t="str">
        <f t="shared" si="133"/>
        <v>UNDER</v>
      </c>
      <c r="R1009" s="4" t="str">
        <f t="shared" si="133"/>
        <v>UNDER</v>
      </c>
      <c r="S1009" s="4" t="str">
        <f t="shared" si="131"/>
        <v>UNDER</v>
      </c>
      <c r="T1009" s="4" t="str">
        <f t="shared" si="131"/>
        <v>UNDER</v>
      </c>
      <c r="U1009" s="2">
        <f>IF(Q1009="OVER",$J1009,$K1009)</f>
        <v>144.60720671654849</v>
      </c>
      <c r="V1009" s="2">
        <f>IF(R1009="OVER",$J1009,$K1009)</f>
        <v>144.60720671654849</v>
      </c>
      <c r="W1009" s="2">
        <f>IF(S1009="OVER",$J1009,$K1009)</f>
        <v>144.60720671654849</v>
      </c>
      <c r="X1009" s="2">
        <f>IF(T1009="OVER",$J1009,$K1009)</f>
        <v>144.60720671654849</v>
      </c>
      <c r="Y1009" s="9">
        <f t="shared" si="132"/>
        <v>-42311.037590514912</v>
      </c>
      <c r="Z1009" s="9">
        <f t="shared" si="132"/>
        <v>-42072.944796186275</v>
      </c>
      <c r="AA1009" s="9">
        <f t="shared" si="132"/>
        <v>57987.34453869061</v>
      </c>
      <c r="AB1009" s="9">
        <f t="shared" si="132"/>
        <v>26218.166852380647</v>
      </c>
    </row>
    <row r="1010" spans="1:28" x14ac:dyDescent="0.3">
      <c r="A1010" s="1">
        <v>45882</v>
      </c>
      <c r="B1010" s="2">
        <v>85.66</v>
      </c>
      <c r="C1010" s="2">
        <v>93.17</v>
      </c>
      <c r="D1010" s="9">
        <f>B1010-B1009</f>
        <v>0.37999999999999545</v>
      </c>
      <c r="E1010" s="9">
        <f>C1010-C1009</f>
        <v>0.43000000000000682</v>
      </c>
      <c r="F1010" s="3">
        <f>F$1/B1010</f>
        <v>1167.406023815083</v>
      </c>
      <c r="G1010" s="3">
        <f>F$1/C1010</f>
        <v>1073.3068584308253</v>
      </c>
      <c r="H1010" s="2">
        <f>D1010*F1009</f>
        <v>445.59099437147682</v>
      </c>
      <c r="I1010" s="2">
        <f>E1010*G1009</f>
        <v>463.66185033427524</v>
      </c>
      <c r="J1010" s="2">
        <f>I1010-H1010</f>
        <v>18.070855962798419</v>
      </c>
      <c r="K1010" s="2">
        <f t="shared" si="128"/>
        <v>-18.070855962798419</v>
      </c>
      <c r="L1010" s="14">
        <f>C1010/B1010</f>
        <v>1.0876721923885129</v>
      </c>
      <c r="M1010" s="14">
        <f t="shared" si="130"/>
        <v>1.0892153933691626</v>
      </c>
      <c r="N1010" s="14">
        <f t="shared" si="134"/>
        <v>1.0894079424462633</v>
      </c>
      <c r="O1010" s="14">
        <f t="shared" si="127"/>
        <v>1.0892686712619801</v>
      </c>
      <c r="P1010" s="14">
        <f t="shared" si="129"/>
        <v>1.0913019091774456</v>
      </c>
      <c r="Q1010" s="4" t="str">
        <f t="shared" si="133"/>
        <v>UNDER</v>
      </c>
      <c r="R1010" s="4" t="str">
        <f t="shared" si="133"/>
        <v>UNDER</v>
      </c>
      <c r="S1010" s="4" t="str">
        <f t="shared" si="131"/>
        <v>UNDER</v>
      </c>
      <c r="T1010" s="4" t="str">
        <f t="shared" si="131"/>
        <v>UNDER</v>
      </c>
      <c r="U1010" s="2">
        <f>IF(Q1010="OVER",$J1010,$K1010)</f>
        <v>-18.070855962798419</v>
      </c>
      <c r="V1010" s="2">
        <f>IF(R1010="OVER",$J1010,$K1010)</f>
        <v>-18.070855962798419</v>
      </c>
      <c r="W1010" s="2">
        <f>IF(S1010="OVER",$J1010,$K1010)</f>
        <v>-18.070855962798419</v>
      </c>
      <c r="X1010" s="2">
        <f>IF(T1010="OVER",$J1010,$K1010)</f>
        <v>-18.070855962798419</v>
      </c>
      <c r="Y1010" s="9">
        <f t="shared" si="132"/>
        <v>-42329.108446477709</v>
      </c>
      <c r="Z1010" s="9">
        <f t="shared" si="132"/>
        <v>-42091.015652149072</v>
      </c>
      <c r="AA1010" s="9">
        <f t="shared" si="132"/>
        <v>57969.273682727813</v>
      </c>
      <c r="AB1010" s="9">
        <f t="shared" si="132"/>
        <v>26200.095996417847</v>
      </c>
    </row>
    <row r="1011" spans="1:28" x14ac:dyDescent="0.3">
      <c r="A1011" s="1">
        <v>45883</v>
      </c>
      <c r="B1011" s="2">
        <v>85.31</v>
      </c>
      <c r="C1011" s="2">
        <v>92.75</v>
      </c>
      <c r="D1011" s="9">
        <f>B1011-B1010</f>
        <v>-0.34999999999999432</v>
      </c>
      <c r="E1011" s="9">
        <f>C1011-C1010</f>
        <v>-0.42000000000000171</v>
      </c>
      <c r="F1011" s="3">
        <f>F$1/B1011</f>
        <v>1172.1955222131051</v>
      </c>
      <c r="G1011" s="3">
        <f>F$1/C1011</f>
        <v>1078.167115902965</v>
      </c>
      <c r="H1011" s="2">
        <f>D1011*F1010</f>
        <v>-408.59210833527243</v>
      </c>
      <c r="I1011" s="2">
        <f>E1011*G1010</f>
        <v>-450.78888054094847</v>
      </c>
      <c r="J1011" s="2">
        <f>I1011-H1011</f>
        <v>-42.196772205676041</v>
      </c>
      <c r="K1011" s="2">
        <f t="shared" si="128"/>
        <v>42.196772205676041</v>
      </c>
      <c r="L1011" s="14">
        <f>C1011/B1011</f>
        <v>1.087211346852655</v>
      </c>
      <c r="M1011" s="14">
        <f t="shared" si="130"/>
        <v>1.0888809463304525</v>
      </c>
      <c r="N1011" s="14">
        <f t="shared" si="134"/>
        <v>1.089139972053047</v>
      </c>
      <c r="O1011" s="14">
        <f t="shared" si="127"/>
        <v>1.0891904159383585</v>
      </c>
      <c r="P1011" s="14">
        <f t="shared" si="129"/>
        <v>1.0912852431074145</v>
      </c>
      <c r="Q1011" s="4" t="str">
        <f t="shared" si="133"/>
        <v>UNDER</v>
      </c>
      <c r="R1011" s="4" t="str">
        <f t="shared" si="133"/>
        <v>UNDER</v>
      </c>
      <c r="S1011" s="4" t="str">
        <f t="shared" si="131"/>
        <v>UNDER</v>
      </c>
      <c r="T1011" s="4" t="str">
        <f t="shared" si="131"/>
        <v>UNDER</v>
      </c>
      <c r="U1011" s="2">
        <f>IF(Q1011="OVER",$J1011,$K1011)</f>
        <v>42.196772205676041</v>
      </c>
      <c r="V1011" s="2">
        <f>IF(R1011="OVER",$J1011,$K1011)</f>
        <v>42.196772205676041</v>
      </c>
      <c r="W1011" s="2">
        <f>IF(S1011="OVER",$J1011,$K1011)</f>
        <v>42.196772205676041</v>
      </c>
      <c r="X1011" s="2">
        <f>IF(T1011="OVER",$J1011,$K1011)</f>
        <v>42.196772205676041</v>
      </c>
      <c r="Y1011" s="9">
        <f t="shared" si="132"/>
        <v>-42286.911674272036</v>
      </c>
      <c r="Z1011" s="9">
        <f t="shared" si="132"/>
        <v>-42048.818879943399</v>
      </c>
      <c r="AA1011" s="9">
        <f t="shared" si="132"/>
        <v>58011.470454933486</v>
      </c>
      <c r="AB1011" s="9">
        <f t="shared" si="132"/>
        <v>26242.292768623523</v>
      </c>
    </row>
    <row r="1012" spans="1:28" x14ac:dyDescent="0.3">
      <c r="A1012" s="1">
        <v>45884</v>
      </c>
      <c r="B1012" s="2">
        <v>85.39</v>
      </c>
      <c r="C1012" s="2">
        <v>92.98</v>
      </c>
      <c r="D1012" s="9">
        <f>B1012-B1011</f>
        <v>7.9999999999998295E-2</v>
      </c>
      <c r="E1012" s="9">
        <f>C1012-C1011</f>
        <v>0.23000000000000398</v>
      </c>
      <c r="F1012" s="3">
        <f>F$1/B1012</f>
        <v>1171.0973181871414</v>
      </c>
      <c r="G1012" s="3">
        <f>F$1/C1012</f>
        <v>1075.5001075500106</v>
      </c>
      <c r="H1012" s="2">
        <f>D1012*F1011</f>
        <v>93.775641777046403</v>
      </c>
      <c r="I1012" s="2">
        <f>E1012*G1011</f>
        <v>247.97843665768622</v>
      </c>
      <c r="J1012" s="2">
        <f>I1012-H1012</f>
        <v>154.20279488063983</v>
      </c>
      <c r="K1012" s="2">
        <f t="shared" si="128"/>
        <v>-154.20279488063983</v>
      </c>
      <c r="L1012" s="14">
        <f>C1012/B1012</f>
        <v>1.0888862864504041</v>
      </c>
      <c r="M1012" s="14">
        <f t="shared" si="130"/>
        <v>1.0887741084997116</v>
      </c>
      <c r="N1012" s="14">
        <f t="shared" si="134"/>
        <v>1.0892058382008989</v>
      </c>
      <c r="O1012" s="14">
        <f t="shared" si="127"/>
        <v>1.089108888843735</v>
      </c>
      <c r="P1012" s="14">
        <f t="shared" si="129"/>
        <v>1.0912638802924521</v>
      </c>
      <c r="Q1012" s="4" t="str">
        <f t="shared" si="133"/>
        <v>UNDER</v>
      </c>
      <c r="R1012" s="4" t="str">
        <f t="shared" si="133"/>
        <v>UNDER</v>
      </c>
      <c r="S1012" s="4" t="str">
        <f t="shared" si="131"/>
        <v>UNDER</v>
      </c>
      <c r="T1012" s="4" t="str">
        <f t="shared" si="131"/>
        <v>UNDER</v>
      </c>
      <c r="U1012" s="2">
        <f>IF(Q1012="OVER",$J1012,$K1012)</f>
        <v>-154.20279488063983</v>
      </c>
      <c r="V1012" s="2">
        <f>IF(R1012="OVER",$J1012,$K1012)</f>
        <v>-154.20279488063983</v>
      </c>
      <c r="W1012" s="2">
        <f>IF(S1012="OVER",$J1012,$K1012)</f>
        <v>-154.20279488063983</v>
      </c>
      <c r="X1012" s="2">
        <f>IF(T1012="OVER",$J1012,$K1012)</f>
        <v>-154.20279488063983</v>
      </c>
      <c r="Y1012" s="9">
        <f t="shared" si="132"/>
        <v>-42441.114469152679</v>
      </c>
      <c r="Z1012" s="9">
        <f t="shared" si="132"/>
        <v>-42203.021674824042</v>
      </c>
      <c r="AA1012" s="9">
        <f t="shared" si="132"/>
        <v>57857.267660052843</v>
      </c>
      <c r="AB1012" s="9">
        <f t="shared" si="132"/>
        <v>26088.089973742884</v>
      </c>
    </row>
    <row r="1013" spans="1:28" x14ac:dyDescent="0.3">
      <c r="A1013" s="1">
        <v>45887</v>
      </c>
      <c r="B1013" s="2">
        <v>85.59</v>
      </c>
      <c r="C1013" s="2">
        <v>93.18</v>
      </c>
      <c r="D1013" s="9">
        <f>B1013-B1012</f>
        <v>0.20000000000000284</v>
      </c>
      <c r="E1013" s="9">
        <f>C1013-C1012</f>
        <v>0.20000000000000284</v>
      </c>
      <c r="F1013" s="3">
        <f>F$1/B1013</f>
        <v>1168.3607898118939</v>
      </c>
      <c r="G1013" s="3">
        <f>F$1/C1013</f>
        <v>1073.1916720326249</v>
      </c>
      <c r="H1013" s="2">
        <f>D1013*F1012</f>
        <v>234.2194636374316</v>
      </c>
      <c r="I1013" s="2">
        <f>E1013*G1012</f>
        <v>215.10002151000518</v>
      </c>
      <c r="J1013" s="2">
        <f>I1013-H1013</f>
        <v>-19.119442127426424</v>
      </c>
      <c r="K1013" s="2">
        <f t="shared" si="128"/>
        <v>19.119442127426424</v>
      </c>
      <c r="L1013" s="14">
        <f>C1013/B1013</f>
        <v>1.0886785839467228</v>
      </c>
      <c r="M1013" s="14">
        <f t="shared" si="130"/>
        <v>1.0884177474052634</v>
      </c>
      <c r="N1013" s="14">
        <f t="shared" si="134"/>
        <v>1.0891023380197038</v>
      </c>
      <c r="O1013" s="14">
        <f t="shared" ref="O1013:O1076" si="135">AVERAGE(L964:L1013)</f>
        <v>1.0890439512058991</v>
      </c>
      <c r="P1013" s="14">
        <f t="shared" si="129"/>
        <v>1.0912373362996071</v>
      </c>
      <c r="Q1013" s="4" t="str">
        <f t="shared" si="133"/>
        <v>OVER</v>
      </c>
      <c r="R1013" s="4" t="str">
        <f t="shared" si="133"/>
        <v>UNDER</v>
      </c>
      <c r="S1013" s="4" t="str">
        <f t="shared" si="131"/>
        <v>UNDER</v>
      </c>
      <c r="T1013" s="4" t="str">
        <f t="shared" si="131"/>
        <v>UNDER</v>
      </c>
      <c r="U1013" s="2">
        <f>IF(Q1013="OVER",$J1013,$K1013)</f>
        <v>-19.119442127426424</v>
      </c>
      <c r="V1013" s="2">
        <f>IF(R1013="OVER",$J1013,$K1013)</f>
        <v>19.119442127426424</v>
      </c>
      <c r="W1013" s="2">
        <f>IF(S1013="OVER",$J1013,$K1013)</f>
        <v>19.119442127426424</v>
      </c>
      <c r="X1013" s="2">
        <f>IF(T1013="OVER",$J1013,$K1013)</f>
        <v>19.119442127426424</v>
      </c>
      <c r="Y1013" s="9">
        <f t="shared" si="132"/>
        <v>-42460.233911280106</v>
      </c>
      <c r="Z1013" s="9">
        <f t="shared" si="132"/>
        <v>-42183.902232696615</v>
      </c>
      <c r="AA1013" s="9">
        <f t="shared" si="132"/>
        <v>57876.38710218027</v>
      </c>
      <c r="AB1013" s="9">
        <f t="shared" si="132"/>
        <v>26107.209415870311</v>
      </c>
    </row>
    <row r="1014" spans="1:28" x14ac:dyDescent="0.3">
      <c r="A1014" s="1">
        <v>45888</v>
      </c>
      <c r="B1014" s="2">
        <v>84.8</v>
      </c>
      <c r="C1014" s="2">
        <v>92.44</v>
      </c>
      <c r="D1014" s="9">
        <f>B1014-B1013</f>
        <v>-0.79000000000000625</v>
      </c>
      <c r="E1014" s="9">
        <f>C1014-C1013</f>
        <v>-0.74000000000000909</v>
      </c>
      <c r="F1014" s="3">
        <f>F$1/B1014</f>
        <v>1179.2452830188679</v>
      </c>
      <c r="G1014" s="3">
        <f>F$1/C1014</f>
        <v>1081.782778018174</v>
      </c>
      <c r="H1014" s="2">
        <f>D1014*F1013</f>
        <v>-923.00502395140347</v>
      </c>
      <c r="I1014" s="2">
        <f>E1014*G1013</f>
        <v>-794.16183730415219</v>
      </c>
      <c r="J1014" s="2">
        <f>I1014-H1014</f>
        <v>128.84318664725129</v>
      </c>
      <c r="K1014" s="2">
        <f t="shared" si="128"/>
        <v>-128.84318664725129</v>
      </c>
      <c r="L1014" s="14">
        <f>C1014/B1014</f>
        <v>1.0900943396226415</v>
      </c>
      <c r="M1014" s="14">
        <f t="shared" si="130"/>
        <v>1.0883621262662124</v>
      </c>
      <c r="N1014" s="14">
        <f t="shared" si="134"/>
        <v>1.0891863232935191</v>
      </c>
      <c r="O1014" s="14">
        <f t="shared" si="135"/>
        <v>1.0890953449017049</v>
      </c>
      <c r="P1014" s="14">
        <f t="shared" si="129"/>
        <v>1.0912214767283703</v>
      </c>
      <c r="Q1014" s="4" t="str">
        <f t="shared" si="133"/>
        <v>OVER</v>
      </c>
      <c r="R1014" s="4" t="str">
        <f t="shared" si="133"/>
        <v>UNDER</v>
      </c>
      <c r="S1014" s="4" t="str">
        <f t="shared" si="131"/>
        <v>OVER</v>
      </c>
      <c r="T1014" s="4" t="str">
        <f t="shared" si="131"/>
        <v>UNDER</v>
      </c>
      <c r="U1014" s="2">
        <f>IF(Q1014="OVER",$J1014,$K1014)</f>
        <v>128.84318664725129</v>
      </c>
      <c r="V1014" s="2">
        <f>IF(R1014="OVER",$J1014,$K1014)</f>
        <v>-128.84318664725129</v>
      </c>
      <c r="W1014" s="2">
        <f>IF(S1014="OVER",$J1014,$K1014)</f>
        <v>128.84318664725129</v>
      </c>
      <c r="X1014" s="2">
        <f>IF(T1014="OVER",$J1014,$K1014)</f>
        <v>-128.84318664725129</v>
      </c>
      <c r="Y1014" s="9">
        <f t="shared" si="132"/>
        <v>-42331.390724632853</v>
      </c>
      <c r="Z1014" s="9">
        <f t="shared" si="132"/>
        <v>-42312.745419343868</v>
      </c>
      <c r="AA1014" s="9">
        <f t="shared" si="132"/>
        <v>58005.230288827523</v>
      </c>
      <c r="AB1014" s="9">
        <f t="shared" si="132"/>
        <v>25978.366229223058</v>
      </c>
    </row>
    <row r="1015" spans="1:28" x14ac:dyDescent="0.3">
      <c r="A1015" s="1">
        <v>45889</v>
      </c>
      <c r="B1015" s="2">
        <v>84.75</v>
      </c>
      <c r="C1015" s="2">
        <v>92.41</v>
      </c>
      <c r="D1015" s="9">
        <f>B1015-B1014</f>
        <v>-4.9999999999997158E-2</v>
      </c>
      <c r="E1015" s="9">
        <f>C1015-C1014</f>
        <v>-3.0000000000001137E-2</v>
      </c>
      <c r="F1015" s="3">
        <f>F$1/B1015</f>
        <v>1179.9410029498524</v>
      </c>
      <c r="G1015" s="3">
        <f>F$1/C1015</f>
        <v>1082.1339681852614</v>
      </c>
      <c r="H1015" s="2">
        <f>D1015*F1014</f>
        <v>-58.962264150940044</v>
      </c>
      <c r="I1015" s="2">
        <f>E1015*G1014</f>
        <v>-32.453483340546448</v>
      </c>
      <c r="J1015" s="2">
        <f>I1015-H1015</f>
        <v>26.508780810393596</v>
      </c>
      <c r="K1015" s="2">
        <f t="shared" si="128"/>
        <v>-26.508780810393596</v>
      </c>
      <c r="L1015" s="14">
        <f>C1015/B1015</f>
        <v>1.0903834808259587</v>
      </c>
      <c r="M1015" s="14">
        <f t="shared" si="130"/>
        <v>1.0884174436142646</v>
      </c>
      <c r="N1015" s="14">
        <f t="shared" si="134"/>
        <v>1.0892553275257058</v>
      </c>
      <c r="O1015" s="14">
        <f t="shared" si="135"/>
        <v>1.0891013901027677</v>
      </c>
      <c r="P1015" s="14">
        <f t="shared" si="129"/>
        <v>1.0912146785361698</v>
      </c>
      <c r="Q1015" s="4" t="str">
        <f t="shared" si="133"/>
        <v>OVER</v>
      </c>
      <c r="R1015" s="4" t="str">
        <f t="shared" si="133"/>
        <v>OVER</v>
      </c>
      <c r="S1015" s="4" t="str">
        <f t="shared" si="131"/>
        <v>OVER</v>
      </c>
      <c r="T1015" s="4" t="str">
        <f t="shared" si="131"/>
        <v>UNDER</v>
      </c>
      <c r="U1015" s="2">
        <f>IF(Q1015="OVER",$J1015,$K1015)</f>
        <v>26.508780810393596</v>
      </c>
      <c r="V1015" s="2">
        <f>IF(R1015="OVER",$J1015,$K1015)</f>
        <v>26.508780810393596</v>
      </c>
      <c r="W1015" s="2">
        <f>IF(S1015="OVER",$J1015,$K1015)</f>
        <v>26.508780810393596</v>
      </c>
      <c r="X1015" s="2">
        <f>IF(T1015="OVER",$J1015,$K1015)</f>
        <v>-26.508780810393596</v>
      </c>
      <c r="Y1015" s="9">
        <f t="shared" si="132"/>
        <v>-42304.88194382246</v>
      </c>
      <c r="Z1015" s="9">
        <f t="shared" si="132"/>
        <v>-42286.236638533475</v>
      </c>
      <c r="AA1015" s="9">
        <f t="shared" si="132"/>
        <v>58031.739069637915</v>
      </c>
      <c r="AB1015" s="9">
        <f t="shared" si="132"/>
        <v>25951.857448412666</v>
      </c>
    </row>
    <row r="1016" spans="1:28" x14ac:dyDescent="0.3">
      <c r="A1016" s="1">
        <v>45890</v>
      </c>
      <c r="B1016" s="2">
        <v>84.72</v>
      </c>
      <c r="C1016" s="2">
        <v>92.36</v>
      </c>
      <c r="D1016" s="9">
        <f>B1016-B1015</f>
        <v>-3.0000000000001137E-2</v>
      </c>
      <c r="E1016" s="9">
        <f>C1016-C1015</f>
        <v>-4.9999999999997158E-2</v>
      </c>
      <c r="F1016" s="3">
        <f>F$1/B1016</f>
        <v>1180.3588290840416</v>
      </c>
      <c r="G1016" s="3">
        <f>F$1/C1016</f>
        <v>1082.7197921177999</v>
      </c>
      <c r="H1016" s="2">
        <f>D1016*F1015</f>
        <v>-35.398230088496916</v>
      </c>
      <c r="I1016" s="2">
        <f>E1016*G1015</f>
        <v>-54.106698409259998</v>
      </c>
      <c r="J1016" s="2">
        <f>I1016-H1016</f>
        <v>-18.708468320763082</v>
      </c>
      <c r="K1016" s="2">
        <f t="shared" si="128"/>
        <v>18.708468320763082</v>
      </c>
      <c r="L1016" s="14">
        <f>C1016/B1016</f>
        <v>1.0901794145420207</v>
      </c>
      <c r="M1016" s="14">
        <f t="shared" si="130"/>
        <v>1.0886966037741825</v>
      </c>
      <c r="N1016" s="14">
        <f t="shared" si="134"/>
        <v>1.0893382225112194</v>
      </c>
      <c r="O1016" s="14">
        <f t="shared" si="135"/>
        <v>1.0891232631235206</v>
      </c>
      <c r="P1016" s="14">
        <f t="shared" si="129"/>
        <v>1.0911980059292758</v>
      </c>
      <c r="Q1016" s="4" t="str">
        <f t="shared" si="133"/>
        <v>OVER</v>
      </c>
      <c r="R1016" s="4" t="str">
        <f t="shared" si="133"/>
        <v>OVER</v>
      </c>
      <c r="S1016" s="4" t="str">
        <f t="shared" si="131"/>
        <v>OVER</v>
      </c>
      <c r="T1016" s="4" t="str">
        <f t="shared" si="131"/>
        <v>UNDER</v>
      </c>
      <c r="U1016" s="2">
        <f>IF(Q1016="OVER",$J1016,$K1016)</f>
        <v>-18.708468320763082</v>
      </c>
      <c r="V1016" s="2">
        <f>IF(R1016="OVER",$J1016,$K1016)</f>
        <v>-18.708468320763082</v>
      </c>
      <c r="W1016" s="2">
        <f>IF(S1016="OVER",$J1016,$K1016)</f>
        <v>-18.708468320763082</v>
      </c>
      <c r="X1016" s="2">
        <f>IF(T1016="OVER",$J1016,$K1016)</f>
        <v>18.708468320763082</v>
      </c>
      <c r="Y1016" s="9">
        <f t="shared" si="132"/>
        <v>-42323.590412143225</v>
      </c>
      <c r="Z1016" s="9">
        <f t="shared" si="132"/>
        <v>-42304.94510685424</v>
      </c>
      <c r="AA1016" s="9">
        <f t="shared" si="132"/>
        <v>58013.03060131715</v>
      </c>
      <c r="AB1016" s="9">
        <f t="shared" si="132"/>
        <v>25970.565916733427</v>
      </c>
    </row>
    <row r="1017" spans="1:28" x14ac:dyDescent="0.3">
      <c r="A1017" s="1">
        <v>45891</v>
      </c>
      <c r="B1017" s="2">
        <v>85.96</v>
      </c>
      <c r="C1017" s="2">
        <v>93.84</v>
      </c>
      <c r="D1017" s="9">
        <f>B1017-B1016</f>
        <v>1.2399999999999949</v>
      </c>
      <c r="E1017" s="9">
        <f>C1017-C1016</f>
        <v>1.480000000000004</v>
      </c>
      <c r="F1017" s="3">
        <f>F$1/B1017</f>
        <v>1163.3317822242905</v>
      </c>
      <c r="G1017" s="3">
        <f>F$1/C1017</f>
        <v>1065.6436487638534</v>
      </c>
      <c r="H1017" s="2">
        <f>D1017*F1016</f>
        <v>1463.6449480642057</v>
      </c>
      <c r="I1017" s="2">
        <f>E1017*G1016</f>
        <v>1602.4252923343481</v>
      </c>
      <c r="J1017" s="2">
        <f>I1017-H1017</f>
        <v>138.78034427014245</v>
      </c>
      <c r="K1017" s="2">
        <f t="shared" si="128"/>
        <v>-138.78034427014245</v>
      </c>
      <c r="L1017" s="14">
        <f>C1017/B1017</f>
        <v>1.0916705444392742</v>
      </c>
      <c r="M1017" s="14">
        <f t="shared" si="130"/>
        <v>1.0891288967078718</v>
      </c>
      <c r="N1017" s="14">
        <f t="shared" si="134"/>
        <v>1.0895046436992053</v>
      </c>
      <c r="O1017" s="14">
        <f t="shared" si="135"/>
        <v>1.0891810306186356</v>
      </c>
      <c r="P1017" s="14">
        <f t="shared" si="129"/>
        <v>1.0911962439486567</v>
      </c>
      <c r="Q1017" s="4" t="str">
        <f t="shared" si="133"/>
        <v>OVER</v>
      </c>
      <c r="R1017" s="4" t="str">
        <f t="shared" si="133"/>
        <v>OVER</v>
      </c>
      <c r="S1017" s="4" t="str">
        <f t="shared" si="131"/>
        <v>OVER</v>
      </c>
      <c r="T1017" s="4" t="str">
        <f t="shared" si="131"/>
        <v>OVER</v>
      </c>
      <c r="U1017" s="2">
        <f>IF(Q1017="OVER",$J1017,$K1017)</f>
        <v>138.78034427014245</v>
      </c>
      <c r="V1017" s="2">
        <f>IF(R1017="OVER",$J1017,$K1017)</f>
        <v>138.78034427014245</v>
      </c>
      <c r="W1017" s="2">
        <f>IF(S1017="OVER",$J1017,$K1017)</f>
        <v>138.78034427014245</v>
      </c>
      <c r="X1017" s="2">
        <f>IF(T1017="OVER",$J1017,$K1017)</f>
        <v>138.78034427014245</v>
      </c>
      <c r="Y1017" s="9">
        <f t="shared" si="132"/>
        <v>-42184.810067873084</v>
      </c>
      <c r="Z1017" s="9">
        <f t="shared" si="132"/>
        <v>-42166.1647625841</v>
      </c>
      <c r="AA1017" s="9">
        <f t="shared" si="132"/>
        <v>58151.810945587291</v>
      </c>
      <c r="AB1017" s="9">
        <f t="shared" si="132"/>
        <v>26109.346261003571</v>
      </c>
    </row>
    <row r="1018" spans="1:28" x14ac:dyDescent="0.3">
      <c r="A1018" s="1">
        <v>45894</v>
      </c>
      <c r="B1018" s="2">
        <v>85.76</v>
      </c>
      <c r="C1018" s="2">
        <v>93.56</v>
      </c>
      <c r="D1018" s="9">
        <f>B1018-B1017</f>
        <v>-0.19999999999998863</v>
      </c>
      <c r="E1018" s="9">
        <f>C1018-C1017</f>
        <v>-0.28000000000000114</v>
      </c>
      <c r="F1018" s="3">
        <f>F$1/B1018</f>
        <v>1166.044776119403</v>
      </c>
      <c r="G1018" s="3">
        <f>F$1/C1018</f>
        <v>1068.8328345446771</v>
      </c>
      <c r="H1018" s="2">
        <f>D1018*F1017</f>
        <v>-232.66635644484487</v>
      </c>
      <c r="I1018" s="2">
        <f>E1018*G1017</f>
        <v>-298.3802216538802</v>
      </c>
      <c r="J1018" s="2">
        <f>I1018-H1018</f>
        <v>-65.713865209035333</v>
      </c>
      <c r="K1018" s="2">
        <f t="shared" si="128"/>
        <v>65.713865209035333</v>
      </c>
      <c r="L1018" s="14">
        <f>C1018/B1018</f>
        <v>1.0909514925373134</v>
      </c>
      <c r="M1018" s="14">
        <f t="shared" si="130"/>
        <v>1.0893204229447906</v>
      </c>
      <c r="N1018" s="14">
        <f t="shared" si="134"/>
        <v>1.0895457553413472</v>
      </c>
      <c r="O1018" s="14">
        <f t="shared" si="135"/>
        <v>1.0891989718993671</v>
      </c>
      <c r="P1018" s="14">
        <f t="shared" si="129"/>
        <v>1.0911972832626171</v>
      </c>
      <c r="Q1018" s="4" t="str">
        <f t="shared" si="133"/>
        <v>OVER</v>
      </c>
      <c r="R1018" s="4" t="str">
        <f t="shared" si="133"/>
        <v>OVER</v>
      </c>
      <c r="S1018" s="4" t="str">
        <f t="shared" si="131"/>
        <v>OVER</v>
      </c>
      <c r="T1018" s="4" t="str">
        <f t="shared" si="131"/>
        <v>UNDER</v>
      </c>
      <c r="U1018" s="2">
        <f>IF(Q1018="OVER",$J1018,$K1018)</f>
        <v>-65.713865209035333</v>
      </c>
      <c r="V1018" s="2">
        <f>IF(R1018="OVER",$J1018,$K1018)</f>
        <v>-65.713865209035333</v>
      </c>
      <c r="W1018" s="2">
        <f>IF(S1018="OVER",$J1018,$K1018)</f>
        <v>-65.713865209035333</v>
      </c>
      <c r="X1018" s="2">
        <f>IF(T1018="OVER",$J1018,$K1018)</f>
        <v>65.713865209035333</v>
      </c>
      <c r="Y1018" s="9">
        <f t="shared" si="132"/>
        <v>-42250.52393308212</v>
      </c>
      <c r="Z1018" s="9">
        <f t="shared" si="132"/>
        <v>-42231.878627793136</v>
      </c>
      <c r="AA1018" s="9">
        <f t="shared" si="132"/>
        <v>58086.097080378255</v>
      </c>
      <c r="AB1018" s="9">
        <f t="shared" si="132"/>
        <v>26175.060126212607</v>
      </c>
    </row>
    <row r="1019" spans="1:28" x14ac:dyDescent="0.3">
      <c r="A1019" s="1">
        <v>45895</v>
      </c>
      <c r="B1019" s="2">
        <v>86.04</v>
      </c>
      <c r="C1019" s="2">
        <v>93.91</v>
      </c>
      <c r="D1019" s="9">
        <f>B1019-B1018</f>
        <v>0.28000000000000114</v>
      </c>
      <c r="E1019" s="9">
        <f>C1019-C1018</f>
        <v>0.34999999999999432</v>
      </c>
      <c r="F1019" s="3">
        <f>F$1/B1019</f>
        <v>1162.2501162250114</v>
      </c>
      <c r="G1019" s="3">
        <f>F$1/C1019</f>
        <v>1064.8493238206795</v>
      </c>
      <c r="H1019" s="2">
        <f>D1019*F1018</f>
        <v>326.49253731343418</v>
      </c>
      <c r="I1019" s="2">
        <f>E1019*G1018</f>
        <v>374.09149209063094</v>
      </c>
      <c r="J1019" s="2">
        <f>I1019-H1019</f>
        <v>47.598954777196752</v>
      </c>
      <c r="K1019" s="2">
        <f t="shared" si="128"/>
        <v>-47.598954777196752</v>
      </c>
      <c r="L1019" s="14">
        <f>C1019/B1019</f>
        <v>1.0914690841469084</v>
      </c>
      <c r="M1019" s="14">
        <f t="shared" si="130"/>
        <v>1.0897196765752413</v>
      </c>
      <c r="N1019" s="14">
        <f t="shared" si="134"/>
        <v>1.0895549432604106</v>
      </c>
      <c r="O1019" s="14">
        <f t="shared" si="135"/>
        <v>1.0891995258758147</v>
      </c>
      <c r="P1019" s="14">
        <f t="shared" si="129"/>
        <v>1.0911878759396461</v>
      </c>
      <c r="Q1019" s="4" t="str">
        <f t="shared" si="133"/>
        <v>OVER</v>
      </c>
      <c r="R1019" s="4" t="str">
        <f t="shared" si="133"/>
        <v>OVER</v>
      </c>
      <c r="S1019" s="4" t="str">
        <f t="shared" si="131"/>
        <v>OVER</v>
      </c>
      <c r="T1019" s="4" t="str">
        <f t="shared" si="131"/>
        <v>OVER</v>
      </c>
      <c r="U1019" s="2">
        <f>IF(Q1019="OVER",$J1019,$K1019)</f>
        <v>47.598954777196752</v>
      </c>
      <c r="V1019" s="2">
        <f>IF(R1019="OVER",$J1019,$K1019)</f>
        <v>47.598954777196752</v>
      </c>
      <c r="W1019" s="2">
        <f>IF(S1019="OVER",$J1019,$K1019)</f>
        <v>47.598954777196752</v>
      </c>
      <c r="X1019" s="2">
        <f>IF(T1019="OVER",$J1019,$K1019)</f>
        <v>47.598954777196752</v>
      </c>
      <c r="Y1019" s="9">
        <f t="shared" si="132"/>
        <v>-42202.924978304924</v>
      </c>
      <c r="Z1019" s="9">
        <f t="shared" si="132"/>
        <v>-42184.279673015939</v>
      </c>
      <c r="AA1019" s="9">
        <f t="shared" si="132"/>
        <v>58133.696035155452</v>
      </c>
      <c r="AB1019" s="9">
        <f t="shared" si="132"/>
        <v>26222.659080989804</v>
      </c>
    </row>
    <row r="1020" spans="1:28" x14ac:dyDescent="0.3">
      <c r="A1020" s="1">
        <v>45896</v>
      </c>
      <c r="B1020" s="2">
        <v>86.08</v>
      </c>
      <c r="C1020" s="2">
        <v>93.79</v>
      </c>
      <c r="D1020" s="9">
        <f>B1020-B1019</f>
        <v>3.9999999999992042E-2</v>
      </c>
      <c r="E1020" s="9">
        <f>C1020-C1019</f>
        <v>-0.11999999999999034</v>
      </c>
      <c r="F1020" s="3">
        <f>F$1/B1020</f>
        <v>1161.7100371747213</v>
      </c>
      <c r="G1020" s="3">
        <f>F$1/C1020</f>
        <v>1066.2117496534811</v>
      </c>
      <c r="H1020" s="2">
        <f>D1020*F1019</f>
        <v>46.49000464899121</v>
      </c>
      <c r="I1020" s="2">
        <f>E1020*G1019</f>
        <v>-127.78191885847124</v>
      </c>
      <c r="J1020" s="2">
        <f>I1020-H1020</f>
        <v>-174.27192350746245</v>
      </c>
      <c r="K1020" s="2">
        <f t="shared" si="128"/>
        <v>174.27192350746245</v>
      </c>
      <c r="L1020" s="14">
        <f>C1020/B1020</f>
        <v>1.0895678438661711</v>
      </c>
      <c r="M1020" s="14">
        <f t="shared" si="130"/>
        <v>1.089909241723007</v>
      </c>
      <c r="N1020" s="14">
        <f t="shared" si="134"/>
        <v>1.0895623175460849</v>
      </c>
      <c r="O1020" s="14">
        <f t="shared" si="135"/>
        <v>1.0891783209331578</v>
      </c>
      <c r="P1020" s="14">
        <f t="shared" si="129"/>
        <v>1.0911472241103837</v>
      </c>
      <c r="Q1020" s="4" t="str">
        <f t="shared" si="133"/>
        <v>OVER</v>
      </c>
      <c r="R1020" s="4" t="str">
        <f t="shared" si="133"/>
        <v>OVER</v>
      </c>
      <c r="S1020" s="4" t="str">
        <f t="shared" si="131"/>
        <v>OVER</v>
      </c>
      <c r="T1020" s="4" t="str">
        <f t="shared" si="131"/>
        <v>UNDER</v>
      </c>
      <c r="U1020" s="2">
        <f>IF(Q1020="OVER",$J1020,$K1020)</f>
        <v>-174.27192350746245</v>
      </c>
      <c r="V1020" s="2">
        <f>IF(R1020="OVER",$J1020,$K1020)</f>
        <v>-174.27192350746245</v>
      </c>
      <c r="W1020" s="2">
        <f>IF(S1020="OVER",$J1020,$K1020)</f>
        <v>-174.27192350746245</v>
      </c>
      <c r="X1020" s="2">
        <f>IF(T1020="OVER",$J1020,$K1020)</f>
        <v>174.27192350746245</v>
      </c>
      <c r="Y1020" s="9">
        <f t="shared" si="132"/>
        <v>-42377.196901812385</v>
      </c>
      <c r="Z1020" s="9">
        <f t="shared" si="132"/>
        <v>-42358.551596523401</v>
      </c>
      <c r="AA1020" s="9">
        <f t="shared" si="132"/>
        <v>57959.42411164799</v>
      </c>
      <c r="AB1020" s="9">
        <f t="shared" si="132"/>
        <v>26396.931004497266</v>
      </c>
    </row>
    <row r="1021" spans="1:28" x14ac:dyDescent="0.3">
      <c r="A1021" s="1">
        <v>45897</v>
      </c>
      <c r="B1021" s="2">
        <v>86.39</v>
      </c>
      <c r="C1021" s="2">
        <v>94.52</v>
      </c>
      <c r="D1021" s="9">
        <f>B1021-B1020</f>
        <v>0.31000000000000227</v>
      </c>
      <c r="E1021" s="9">
        <f>C1021-C1020</f>
        <v>0.72999999999998977</v>
      </c>
      <c r="F1021" s="3">
        <f>F$1/B1021</f>
        <v>1157.5413821044103</v>
      </c>
      <c r="G1021" s="3">
        <f>F$1/C1021</f>
        <v>1057.9771476936098</v>
      </c>
      <c r="H1021" s="2">
        <f>D1021*F1020</f>
        <v>360.13011152416624</v>
      </c>
      <c r="I1021" s="2">
        <f>E1021*G1020</f>
        <v>778.33457724703032</v>
      </c>
      <c r="J1021" s="2">
        <f>I1021-H1021</f>
        <v>418.20446572286409</v>
      </c>
      <c r="K1021" s="2">
        <f t="shared" si="128"/>
        <v>-418.20446572286409</v>
      </c>
      <c r="L1021" s="14">
        <f>C1021/B1021</f>
        <v>1.0941081143650886</v>
      </c>
      <c r="M1021" s="14">
        <f t="shared" si="130"/>
        <v>1.0905989184742504</v>
      </c>
      <c r="N1021" s="14">
        <f t="shared" si="134"/>
        <v>1.0897399324023516</v>
      </c>
      <c r="O1021" s="14">
        <f t="shared" si="135"/>
        <v>1.0892181162388583</v>
      </c>
      <c r="P1021" s="14">
        <f t="shared" si="129"/>
        <v>1.0911367874586437</v>
      </c>
      <c r="Q1021" s="4" t="str">
        <f t="shared" si="133"/>
        <v>UNDER</v>
      </c>
      <c r="R1021" s="4" t="str">
        <f t="shared" si="133"/>
        <v>OVER</v>
      </c>
      <c r="S1021" s="4" t="str">
        <f t="shared" si="131"/>
        <v>OVER</v>
      </c>
      <c r="T1021" s="4" t="str">
        <f t="shared" si="131"/>
        <v>OVER</v>
      </c>
      <c r="U1021" s="2">
        <f>IF(Q1021="OVER",$J1021,$K1021)</f>
        <v>-418.20446572286409</v>
      </c>
      <c r="V1021" s="2">
        <f>IF(R1021="OVER",$J1021,$K1021)</f>
        <v>418.20446572286409</v>
      </c>
      <c r="W1021" s="2">
        <f>IF(S1021="OVER",$J1021,$K1021)</f>
        <v>418.20446572286409</v>
      </c>
      <c r="X1021" s="2">
        <f>IF(T1021="OVER",$J1021,$K1021)</f>
        <v>418.20446572286409</v>
      </c>
      <c r="Y1021" s="9">
        <f t="shared" si="132"/>
        <v>-42795.401367535247</v>
      </c>
      <c r="Z1021" s="9">
        <f t="shared" si="132"/>
        <v>-41940.347130800539</v>
      </c>
      <c r="AA1021" s="9">
        <f t="shared" si="132"/>
        <v>58377.628577370851</v>
      </c>
      <c r="AB1021" s="9">
        <f t="shared" si="132"/>
        <v>26815.135470220132</v>
      </c>
    </row>
    <row r="1022" spans="1:28" x14ac:dyDescent="0.3">
      <c r="A1022" s="1">
        <v>45898</v>
      </c>
      <c r="B1022" s="2">
        <v>86.28</v>
      </c>
      <c r="C1022" s="2">
        <v>94.45</v>
      </c>
      <c r="D1022" s="9">
        <f>B1022-B1021</f>
        <v>-0.10999999999999943</v>
      </c>
      <c r="E1022" s="9">
        <f>C1022-C1021</f>
        <v>-6.9999999999993179E-2</v>
      </c>
      <c r="F1022" s="3">
        <f>F$1/B1022</f>
        <v>1159.0171534538711</v>
      </c>
      <c r="G1022" s="3">
        <f>F$1/C1022</f>
        <v>1058.7612493382742</v>
      </c>
      <c r="H1022" s="2">
        <f>D1022*F1021</f>
        <v>-127.32955203148448</v>
      </c>
      <c r="I1022" s="2">
        <f>E1022*G1021</f>
        <v>-74.058400338545468</v>
      </c>
      <c r="J1022" s="2">
        <f>I1022-H1022</f>
        <v>53.271151692939014</v>
      </c>
      <c r="K1022" s="2">
        <f t="shared" si="128"/>
        <v>-53.271151692939014</v>
      </c>
      <c r="L1022" s="14">
        <f>C1022/B1022</f>
        <v>1.0946917014371813</v>
      </c>
      <c r="M1022" s="14">
        <f t="shared" si="130"/>
        <v>1.0911794599729281</v>
      </c>
      <c r="N1022" s="14">
        <f t="shared" si="134"/>
        <v>1.0899767842363199</v>
      </c>
      <c r="O1022" s="14">
        <f t="shared" si="135"/>
        <v>1.0892720992433933</v>
      </c>
      <c r="P1022" s="14">
        <f t="shared" si="129"/>
        <v>1.0911489609575924</v>
      </c>
      <c r="Q1022" s="4" t="str">
        <f t="shared" si="133"/>
        <v>OVER</v>
      </c>
      <c r="R1022" s="4" t="str">
        <f t="shared" si="133"/>
        <v>OVER</v>
      </c>
      <c r="S1022" s="4" t="str">
        <f t="shared" si="131"/>
        <v>OVER</v>
      </c>
      <c r="T1022" s="4" t="str">
        <f t="shared" si="131"/>
        <v>OVER</v>
      </c>
      <c r="U1022" s="2">
        <f>IF(Q1022="OVER",$J1022,$K1022)</f>
        <v>53.271151692939014</v>
      </c>
      <c r="V1022" s="2">
        <f>IF(R1022="OVER",$J1022,$K1022)</f>
        <v>53.271151692939014</v>
      </c>
      <c r="W1022" s="2">
        <f>IF(S1022="OVER",$J1022,$K1022)</f>
        <v>53.271151692939014</v>
      </c>
      <c r="X1022" s="2">
        <f>IF(T1022="OVER",$J1022,$K1022)</f>
        <v>53.271151692939014</v>
      </c>
      <c r="Y1022" s="9">
        <f t="shared" si="132"/>
        <v>-42742.130215842306</v>
      </c>
      <c r="Z1022" s="9">
        <f t="shared" si="132"/>
        <v>-41887.075979107598</v>
      </c>
      <c r="AA1022" s="9">
        <f t="shared" si="132"/>
        <v>58430.899729063793</v>
      </c>
      <c r="AB1022" s="9">
        <f t="shared" si="132"/>
        <v>26868.406621913069</v>
      </c>
    </row>
    <row r="1023" spans="1:28" x14ac:dyDescent="0.3">
      <c r="A1023" s="1">
        <v>45902</v>
      </c>
      <c r="B1023" s="2">
        <v>86.05</v>
      </c>
      <c r="C1023" s="2">
        <v>94.28</v>
      </c>
      <c r="D1023" s="9">
        <f>B1023-B1022</f>
        <v>-0.23000000000000398</v>
      </c>
      <c r="E1023" s="9">
        <f>C1023-C1022</f>
        <v>-0.17000000000000171</v>
      </c>
      <c r="F1023" s="3">
        <f>F$1/B1023</f>
        <v>1162.1150493898897</v>
      </c>
      <c r="G1023" s="3">
        <f>F$1/C1023</f>
        <v>1060.6703436571913</v>
      </c>
      <c r="H1023" s="2">
        <f>D1023*F1022</f>
        <v>-266.57394529439495</v>
      </c>
      <c r="I1023" s="2">
        <f>E1023*G1022</f>
        <v>-179.98941238750842</v>
      </c>
      <c r="J1023" s="2">
        <f>I1023-H1023</f>
        <v>86.584532906886523</v>
      </c>
      <c r="K1023" s="2">
        <f t="shared" si="128"/>
        <v>-86.584532906886523</v>
      </c>
      <c r="L1023" s="14">
        <f>C1023/B1023</f>
        <v>1.0956420685647881</v>
      </c>
      <c r="M1023" s="14">
        <f t="shared" si="130"/>
        <v>1.0918758084347346</v>
      </c>
      <c r="N1023" s="14">
        <f t="shared" si="134"/>
        <v>1.0901467779199991</v>
      </c>
      <c r="O1023" s="14">
        <f t="shared" si="135"/>
        <v>1.089341496873218</v>
      </c>
      <c r="P1023" s="14">
        <f t="shared" si="129"/>
        <v>1.0911699533869814</v>
      </c>
      <c r="Q1023" s="4" t="str">
        <f t="shared" si="133"/>
        <v>OVER</v>
      </c>
      <c r="R1023" s="4" t="str">
        <f t="shared" si="133"/>
        <v>OVER</v>
      </c>
      <c r="S1023" s="4" t="str">
        <f t="shared" si="131"/>
        <v>OVER</v>
      </c>
      <c r="T1023" s="4" t="str">
        <f t="shared" si="131"/>
        <v>OVER</v>
      </c>
      <c r="U1023" s="2">
        <f>IF(Q1023="OVER",$J1023,$K1023)</f>
        <v>86.584532906886523</v>
      </c>
      <c r="V1023" s="2">
        <f>IF(R1023="OVER",$J1023,$K1023)</f>
        <v>86.584532906886523</v>
      </c>
      <c r="W1023" s="2">
        <f>IF(S1023="OVER",$J1023,$K1023)</f>
        <v>86.584532906886523</v>
      </c>
      <c r="X1023" s="2">
        <f>IF(T1023="OVER",$J1023,$K1023)</f>
        <v>86.584532906886523</v>
      </c>
      <c r="Y1023" s="9">
        <f t="shared" si="132"/>
        <v>-42655.545682935423</v>
      </c>
      <c r="Z1023" s="9">
        <f t="shared" si="132"/>
        <v>-41800.491446200715</v>
      </c>
      <c r="AA1023" s="9">
        <f t="shared" si="132"/>
        <v>58517.484261970676</v>
      </c>
      <c r="AB1023" s="9">
        <f t="shared" si="132"/>
        <v>26954.991154819956</v>
      </c>
    </row>
    <row r="1024" spans="1:28" x14ac:dyDescent="0.3">
      <c r="A1024" s="1">
        <v>45903</v>
      </c>
      <c r="B1024" s="2">
        <v>85.82</v>
      </c>
      <c r="C1024" s="2">
        <v>94.13</v>
      </c>
      <c r="D1024" s="9">
        <f>B1024-B1023</f>
        <v>-0.23000000000000398</v>
      </c>
      <c r="E1024" s="9">
        <f>C1024-C1023</f>
        <v>-0.15000000000000568</v>
      </c>
      <c r="F1024" s="3">
        <f>F$1/B1024</f>
        <v>1165.2295502213938</v>
      </c>
      <c r="G1024" s="3">
        <f>F$1/C1024</f>
        <v>1062.3605651758207</v>
      </c>
      <c r="H1024" s="2">
        <f>D1024*F1023</f>
        <v>-267.28646135967927</v>
      </c>
      <c r="I1024" s="2">
        <f>E1024*G1023</f>
        <v>-159.10055154858472</v>
      </c>
      <c r="J1024" s="2">
        <f>I1024-H1024</f>
        <v>108.18590981109455</v>
      </c>
      <c r="K1024" s="2">
        <f t="shared" si="128"/>
        <v>-108.18590981109455</v>
      </c>
      <c r="L1024" s="14">
        <f>C1024/B1024</f>
        <v>1.0968305756233978</v>
      </c>
      <c r="M1024" s="14">
        <f t="shared" si="130"/>
        <v>1.0925494320348101</v>
      </c>
      <c r="N1024" s="14">
        <f t="shared" si="134"/>
        <v>1.0904557791505114</v>
      </c>
      <c r="O1024" s="14">
        <f t="shared" si="135"/>
        <v>1.0894408185736189</v>
      </c>
      <c r="P1024" s="14">
        <f t="shared" si="129"/>
        <v>1.0911870456666573</v>
      </c>
      <c r="Q1024" s="4" t="str">
        <f t="shared" si="133"/>
        <v>OVER</v>
      </c>
      <c r="R1024" s="4" t="str">
        <f t="shared" si="133"/>
        <v>OVER</v>
      </c>
      <c r="S1024" s="4" t="str">
        <f t="shared" si="131"/>
        <v>OVER</v>
      </c>
      <c r="T1024" s="4" t="str">
        <f t="shared" si="131"/>
        <v>OVER</v>
      </c>
      <c r="U1024" s="2">
        <f>IF(Q1024="OVER",$J1024,$K1024)</f>
        <v>108.18590981109455</v>
      </c>
      <c r="V1024" s="2">
        <f>IF(R1024="OVER",$J1024,$K1024)</f>
        <v>108.18590981109455</v>
      </c>
      <c r="W1024" s="2">
        <f>IF(S1024="OVER",$J1024,$K1024)</f>
        <v>108.18590981109455</v>
      </c>
      <c r="X1024" s="2">
        <f>IF(T1024="OVER",$J1024,$K1024)</f>
        <v>108.18590981109455</v>
      </c>
      <c r="Y1024" s="9">
        <f t="shared" si="132"/>
        <v>-42547.359773124328</v>
      </c>
      <c r="Z1024" s="9">
        <f t="shared" si="132"/>
        <v>-41692.30553638962</v>
      </c>
      <c r="AA1024" s="9">
        <f t="shared" si="132"/>
        <v>58625.67017178177</v>
      </c>
      <c r="AB1024" s="9">
        <f t="shared" si="132"/>
        <v>27063.177064631051</v>
      </c>
    </row>
    <row r="1025" spans="1:28" x14ac:dyDescent="0.3">
      <c r="A1025" s="1">
        <v>45904</v>
      </c>
      <c r="B1025" s="2">
        <v>86.06</v>
      </c>
      <c r="C1025" s="2">
        <v>94.32</v>
      </c>
      <c r="D1025" s="9">
        <f>B1025-B1024</f>
        <v>0.24000000000000909</v>
      </c>
      <c r="E1025" s="9">
        <f>C1025-C1024</f>
        <v>0.18999999999999773</v>
      </c>
      <c r="F1025" s="3">
        <f>F$1/B1025</f>
        <v>1161.9800139437602</v>
      </c>
      <c r="G1025" s="3">
        <f>F$1/C1025</f>
        <v>1060.2205258693809</v>
      </c>
      <c r="H1025" s="2">
        <f>D1025*F1024</f>
        <v>279.6550920531451</v>
      </c>
      <c r="I1025" s="2">
        <f>E1025*G1024</f>
        <v>201.84850738340353</v>
      </c>
      <c r="J1025" s="2">
        <f>I1025-H1025</f>
        <v>-77.806584669741568</v>
      </c>
      <c r="K1025" s="2">
        <f t="shared" si="128"/>
        <v>77.806584669741568</v>
      </c>
      <c r="L1025" s="14">
        <f>C1025/B1025</f>
        <v>1.0959795491517546</v>
      </c>
      <c r="M1025" s="14">
        <f t="shared" si="130"/>
        <v>1.0931090388673899</v>
      </c>
      <c r="N1025" s="14">
        <f t="shared" si="134"/>
        <v>1.0907632412408272</v>
      </c>
      <c r="O1025" s="14">
        <f t="shared" si="135"/>
        <v>1.0895110525450189</v>
      </c>
      <c r="P1025" s="14">
        <f t="shared" si="129"/>
        <v>1.0912035257068373</v>
      </c>
      <c r="Q1025" s="4" t="str">
        <f t="shared" si="133"/>
        <v>OVER</v>
      </c>
      <c r="R1025" s="4" t="str">
        <f t="shared" si="133"/>
        <v>OVER</v>
      </c>
      <c r="S1025" s="4" t="str">
        <f t="shared" si="131"/>
        <v>OVER</v>
      </c>
      <c r="T1025" s="4" t="str">
        <f t="shared" si="131"/>
        <v>OVER</v>
      </c>
      <c r="U1025" s="2">
        <f>IF(Q1025="OVER",$J1025,$K1025)</f>
        <v>-77.806584669741568</v>
      </c>
      <c r="V1025" s="2">
        <f>IF(R1025="OVER",$J1025,$K1025)</f>
        <v>-77.806584669741568</v>
      </c>
      <c r="W1025" s="2">
        <f>IF(S1025="OVER",$J1025,$K1025)</f>
        <v>-77.806584669741568</v>
      </c>
      <c r="X1025" s="2">
        <f>IF(T1025="OVER",$J1025,$K1025)</f>
        <v>-77.806584669741568</v>
      </c>
      <c r="Y1025" s="9">
        <f t="shared" si="132"/>
        <v>-42625.166357794071</v>
      </c>
      <c r="Z1025" s="9">
        <f t="shared" si="132"/>
        <v>-41770.112121059363</v>
      </c>
      <c r="AA1025" s="9">
        <f t="shared" si="132"/>
        <v>58547.863587112028</v>
      </c>
      <c r="AB1025" s="9">
        <f t="shared" si="132"/>
        <v>26985.370479961308</v>
      </c>
    </row>
    <row r="1026" spans="1:28" x14ac:dyDescent="0.3">
      <c r="A1026" s="1">
        <v>45905</v>
      </c>
      <c r="B1026" s="2">
        <v>86.56</v>
      </c>
      <c r="C1026" s="2">
        <v>95.03</v>
      </c>
      <c r="D1026" s="9">
        <f>B1026-B1025</f>
        <v>0.5</v>
      </c>
      <c r="E1026" s="9">
        <f>C1026-C1025</f>
        <v>0.71000000000000796</v>
      </c>
      <c r="F1026" s="3">
        <f>F$1/B1026</f>
        <v>1155.2680221811461</v>
      </c>
      <c r="G1026" s="3">
        <f>F$1/C1026</f>
        <v>1052.2992739135009</v>
      </c>
      <c r="H1026" s="2">
        <f>D1026*F1025</f>
        <v>580.99000697188012</v>
      </c>
      <c r="I1026" s="2">
        <f>E1026*G1025</f>
        <v>752.75657336726886</v>
      </c>
      <c r="J1026" s="2">
        <f>I1026-H1026</f>
        <v>171.76656639538874</v>
      </c>
      <c r="K1026" s="2">
        <f t="shared" si="128"/>
        <v>-171.76656639538874</v>
      </c>
      <c r="L1026" s="14">
        <f>C1026/B1026</f>
        <v>1.0978512014787432</v>
      </c>
      <c r="M1026" s="14">
        <f t="shared" si="130"/>
        <v>1.0938762175610621</v>
      </c>
      <c r="N1026" s="14">
        <f t="shared" si="134"/>
        <v>1.0912864106676223</v>
      </c>
      <c r="O1026" s="14">
        <f t="shared" si="135"/>
        <v>1.0895981379242869</v>
      </c>
      <c r="P1026" s="14">
        <f t="shared" si="129"/>
        <v>1.0912222680807497</v>
      </c>
      <c r="Q1026" s="4" t="str">
        <f t="shared" si="133"/>
        <v>OVER</v>
      </c>
      <c r="R1026" s="4" t="str">
        <f t="shared" si="133"/>
        <v>OVER</v>
      </c>
      <c r="S1026" s="4" t="str">
        <f t="shared" si="131"/>
        <v>OVER</v>
      </c>
      <c r="T1026" s="4" t="str">
        <f t="shared" si="131"/>
        <v>OVER</v>
      </c>
      <c r="U1026" s="2">
        <f>IF(Q1026="OVER",$J1026,$K1026)</f>
        <v>171.76656639538874</v>
      </c>
      <c r="V1026" s="2">
        <f>IF(R1026="OVER",$J1026,$K1026)</f>
        <v>171.76656639538874</v>
      </c>
      <c r="W1026" s="2">
        <f>IF(S1026="OVER",$J1026,$K1026)</f>
        <v>171.76656639538874</v>
      </c>
      <c r="X1026" s="2">
        <f>IF(T1026="OVER",$J1026,$K1026)</f>
        <v>171.76656639538874</v>
      </c>
      <c r="Y1026" s="9">
        <f t="shared" si="132"/>
        <v>-42453.399791398682</v>
      </c>
      <c r="Z1026" s="9">
        <f t="shared" si="132"/>
        <v>-41598.345554663974</v>
      </c>
      <c r="AA1026" s="9">
        <f t="shared" si="132"/>
        <v>58719.630153507416</v>
      </c>
      <c r="AB1026" s="9">
        <f t="shared" si="132"/>
        <v>27157.137046356696</v>
      </c>
    </row>
    <row r="1027" spans="1:28" x14ac:dyDescent="0.3">
      <c r="A1027" s="1">
        <v>45908</v>
      </c>
      <c r="B1027" s="2">
        <v>86.78</v>
      </c>
      <c r="C1027" s="2">
        <v>95.41</v>
      </c>
      <c r="D1027" s="9">
        <f>B1027-B1026</f>
        <v>0.21999999999999886</v>
      </c>
      <c r="E1027" s="9">
        <f>C1027-C1026</f>
        <v>0.37999999999999545</v>
      </c>
      <c r="F1027" s="3">
        <f>F$1/B1027</f>
        <v>1152.3392486748098</v>
      </c>
      <c r="G1027" s="3">
        <f>F$1/C1027</f>
        <v>1048.1081647626036</v>
      </c>
      <c r="H1027" s="2">
        <f>D1027*F1026</f>
        <v>254.15896487985083</v>
      </c>
      <c r="I1027" s="2">
        <f>E1027*G1026</f>
        <v>399.87372408712554</v>
      </c>
      <c r="J1027" s="2">
        <f>I1027-H1027</f>
        <v>145.71475920727471</v>
      </c>
      <c r="K1027" s="2">
        <f t="shared" si="128"/>
        <v>-145.71475920727471</v>
      </c>
      <c r="L1027" s="14">
        <f>C1027/B1027</f>
        <v>1.099446877160636</v>
      </c>
      <c r="M1027" s="14">
        <f t="shared" si="130"/>
        <v>1.0946538508331982</v>
      </c>
      <c r="N1027" s="14">
        <f t="shared" si="134"/>
        <v>1.0918913737705349</v>
      </c>
      <c r="O1027" s="14">
        <f t="shared" si="135"/>
        <v>1.0897376602628213</v>
      </c>
      <c r="P1027" s="14">
        <f t="shared" si="129"/>
        <v>1.0912559515394511</v>
      </c>
      <c r="Q1027" s="4" t="str">
        <f t="shared" si="133"/>
        <v>OVER</v>
      </c>
      <c r="R1027" s="4" t="str">
        <f t="shared" si="133"/>
        <v>OVER</v>
      </c>
      <c r="S1027" s="4" t="str">
        <f t="shared" si="131"/>
        <v>OVER</v>
      </c>
      <c r="T1027" s="4" t="str">
        <f t="shared" si="131"/>
        <v>OVER</v>
      </c>
      <c r="U1027" s="2">
        <f>IF(Q1027="OVER",$J1027,$K1027)</f>
        <v>145.71475920727471</v>
      </c>
      <c r="V1027" s="2">
        <f>IF(R1027="OVER",$J1027,$K1027)</f>
        <v>145.71475920727471</v>
      </c>
      <c r="W1027" s="2">
        <f>IF(S1027="OVER",$J1027,$K1027)</f>
        <v>145.71475920727471</v>
      </c>
      <c r="X1027" s="2">
        <f>IF(T1027="OVER",$J1027,$K1027)</f>
        <v>145.71475920727471</v>
      </c>
      <c r="Y1027" s="9">
        <f t="shared" si="132"/>
        <v>-42307.68503219141</v>
      </c>
      <c r="Z1027" s="9">
        <f t="shared" si="132"/>
        <v>-41452.630795456702</v>
      </c>
      <c r="AA1027" s="9">
        <f t="shared" si="132"/>
        <v>58865.344912714689</v>
      </c>
      <c r="AB1027" s="9">
        <f t="shared" si="132"/>
        <v>27302.851805563972</v>
      </c>
    </row>
    <row r="1028" spans="1:28" x14ac:dyDescent="0.3">
      <c r="A1028" s="1">
        <v>45909</v>
      </c>
      <c r="B1028" s="2">
        <v>87.49</v>
      </c>
      <c r="C1028" s="2">
        <v>96.06</v>
      </c>
      <c r="D1028" s="9">
        <f>B1028-B1027</f>
        <v>0.70999999999999375</v>
      </c>
      <c r="E1028" s="9">
        <f>C1028-C1027</f>
        <v>0.65000000000000568</v>
      </c>
      <c r="F1028" s="3">
        <f>F$1/B1028</f>
        <v>1142.9877700308607</v>
      </c>
      <c r="G1028" s="3">
        <f>F$1/C1028</f>
        <v>1041.0160316468873</v>
      </c>
      <c r="H1028" s="2">
        <f>D1028*F1027</f>
        <v>818.16086655910772</v>
      </c>
      <c r="I1028" s="2">
        <f>E1028*G1027</f>
        <v>681.27030709569829</v>
      </c>
      <c r="J1028" s="2">
        <f>I1028-H1028</f>
        <v>-136.89055946340943</v>
      </c>
      <c r="K1028" s="2">
        <f t="shared" si="128"/>
        <v>136.89055946340943</v>
      </c>
      <c r="L1028" s="14">
        <f>C1028/B1028</f>
        <v>1.0979540518916449</v>
      </c>
      <c r="M1028" s="14">
        <f t="shared" si="130"/>
        <v>1.0953541067686312</v>
      </c>
      <c r="N1028" s="14">
        <f t="shared" si="134"/>
        <v>1.0923372648567109</v>
      </c>
      <c r="O1028" s="14">
        <f t="shared" si="135"/>
        <v>1.0898924859815053</v>
      </c>
      <c r="P1028" s="14">
        <f t="shared" si="129"/>
        <v>1.0912849213949196</v>
      </c>
      <c r="Q1028" s="4" t="str">
        <f t="shared" si="133"/>
        <v>OVER</v>
      </c>
      <c r="R1028" s="4" t="str">
        <f t="shared" si="133"/>
        <v>OVER</v>
      </c>
      <c r="S1028" s="4" t="str">
        <f t="shared" si="131"/>
        <v>OVER</v>
      </c>
      <c r="T1028" s="4" t="str">
        <f t="shared" si="131"/>
        <v>OVER</v>
      </c>
      <c r="U1028" s="2">
        <f>IF(Q1028="OVER",$J1028,$K1028)</f>
        <v>-136.89055946340943</v>
      </c>
      <c r="V1028" s="2">
        <f>IF(R1028="OVER",$J1028,$K1028)</f>
        <v>-136.89055946340943</v>
      </c>
      <c r="W1028" s="2">
        <f>IF(S1028="OVER",$J1028,$K1028)</f>
        <v>-136.89055946340943</v>
      </c>
      <c r="X1028" s="2">
        <f>IF(T1028="OVER",$J1028,$K1028)</f>
        <v>-136.89055946340943</v>
      </c>
      <c r="Y1028" s="9">
        <f t="shared" si="132"/>
        <v>-42444.575591654822</v>
      </c>
      <c r="Z1028" s="9">
        <f t="shared" si="132"/>
        <v>-41589.521354920114</v>
      </c>
      <c r="AA1028" s="9">
        <f t="shared" si="132"/>
        <v>58728.454353251276</v>
      </c>
      <c r="AB1028" s="9">
        <f t="shared" si="132"/>
        <v>27165.961246100564</v>
      </c>
    </row>
    <row r="1029" spans="1:28" x14ac:dyDescent="0.3">
      <c r="A1029" s="1">
        <v>45910</v>
      </c>
      <c r="B1029" s="2">
        <v>87.62</v>
      </c>
      <c r="C1029" s="2">
        <v>96.3</v>
      </c>
      <c r="D1029" s="9">
        <f>B1029-B1028</f>
        <v>0.13000000000000966</v>
      </c>
      <c r="E1029" s="9">
        <f>C1029-C1028</f>
        <v>0.23999999999999488</v>
      </c>
      <c r="F1029" s="3">
        <f>F$1/B1029</f>
        <v>1141.2919424788861</v>
      </c>
      <c r="G1029" s="3">
        <f>F$1/C1029</f>
        <v>1038.4215991692627</v>
      </c>
      <c r="H1029" s="2">
        <f>D1029*F1028</f>
        <v>148.58841010402293</v>
      </c>
      <c r="I1029" s="2">
        <f>E1029*G1028</f>
        <v>249.84384759524764</v>
      </c>
      <c r="J1029" s="2">
        <f>I1029-H1029</f>
        <v>101.25543749122471</v>
      </c>
      <c r="K1029" s="2">
        <f t="shared" ref="K1029:K1092" si="136">H1029-I1029</f>
        <v>-101.25543749122471</v>
      </c>
      <c r="L1029" s="14">
        <f>C1029/B1029</f>
        <v>1.0990641406071673</v>
      </c>
      <c r="M1029" s="14">
        <f t="shared" si="130"/>
        <v>1.0961136124146571</v>
      </c>
      <c r="N1029" s="14">
        <f t="shared" si="134"/>
        <v>1.0929166444949492</v>
      </c>
      <c r="O1029" s="14">
        <f t="shared" si="135"/>
        <v>1.0900736236206507</v>
      </c>
      <c r="P1029" s="14">
        <f t="shared" si="129"/>
        <v>1.0913171052848376</v>
      </c>
      <c r="Q1029" s="4" t="str">
        <f t="shared" si="133"/>
        <v>OVER</v>
      </c>
      <c r="R1029" s="4" t="str">
        <f t="shared" si="133"/>
        <v>OVER</v>
      </c>
      <c r="S1029" s="4" t="str">
        <f t="shared" si="131"/>
        <v>OVER</v>
      </c>
      <c r="T1029" s="4" t="str">
        <f t="shared" si="131"/>
        <v>OVER</v>
      </c>
      <c r="U1029" s="2">
        <f>IF(Q1029="OVER",$J1029,$K1029)</f>
        <v>101.25543749122471</v>
      </c>
      <c r="V1029" s="2">
        <f>IF(R1029="OVER",$J1029,$K1029)</f>
        <v>101.25543749122471</v>
      </c>
      <c r="W1029" s="2">
        <f>IF(S1029="OVER",$J1029,$K1029)</f>
        <v>101.25543749122471</v>
      </c>
      <c r="X1029" s="2">
        <f>IF(T1029="OVER",$J1029,$K1029)</f>
        <v>101.25543749122471</v>
      </c>
      <c r="Y1029" s="9">
        <f t="shared" si="132"/>
        <v>-42343.320154163601</v>
      </c>
      <c r="Z1029" s="9">
        <f t="shared" si="132"/>
        <v>-41488.265917428893</v>
      </c>
      <c r="AA1029" s="9">
        <f t="shared" si="132"/>
        <v>58829.709790742498</v>
      </c>
      <c r="AB1029" s="9">
        <f t="shared" si="132"/>
        <v>27267.216683591789</v>
      </c>
    </row>
    <row r="1030" spans="1:28" x14ac:dyDescent="0.3">
      <c r="A1030" s="1">
        <v>45911</v>
      </c>
      <c r="B1030" s="2">
        <v>88.39</v>
      </c>
      <c r="C1030" s="2">
        <v>97.37</v>
      </c>
      <c r="D1030" s="9">
        <f>B1030-B1029</f>
        <v>0.76999999999999602</v>
      </c>
      <c r="E1030" s="9">
        <f>C1030-C1029</f>
        <v>1.0700000000000074</v>
      </c>
      <c r="F1030" s="3">
        <f>F$1/B1030</f>
        <v>1131.3497001923295</v>
      </c>
      <c r="G1030" s="3">
        <f>F$1/C1030</f>
        <v>1027.0103728047652</v>
      </c>
      <c r="H1030" s="2">
        <f>D1030*F1029</f>
        <v>878.79479570873775</v>
      </c>
      <c r="I1030" s="2">
        <f>E1030*G1029</f>
        <v>1111.1111111111188</v>
      </c>
      <c r="J1030" s="2">
        <f>I1030-H1030</f>
        <v>232.31631540238106</v>
      </c>
      <c r="K1030" s="2">
        <f t="shared" si="136"/>
        <v>-232.31631540238106</v>
      </c>
      <c r="L1030" s="14">
        <f>C1030/B1030</f>
        <v>1.1015952030772713</v>
      </c>
      <c r="M1030" s="14">
        <f t="shared" si="130"/>
        <v>1.0973163483357673</v>
      </c>
      <c r="N1030" s="14">
        <f t="shared" si="134"/>
        <v>1.093612795029387</v>
      </c>
      <c r="O1030" s="14">
        <f t="shared" si="135"/>
        <v>1.0904042274026968</v>
      </c>
      <c r="P1030" s="14">
        <f t="shared" si="129"/>
        <v>1.0913666285781611</v>
      </c>
      <c r="Q1030" s="4" t="str">
        <f t="shared" si="133"/>
        <v>OVER</v>
      </c>
      <c r="R1030" s="4" t="str">
        <f t="shared" si="133"/>
        <v>OVER</v>
      </c>
      <c r="S1030" s="4" t="str">
        <f t="shared" si="131"/>
        <v>OVER</v>
      </c>
      <c r="T1030" s="4" t="str">
        <f t="shared" si="131"/>
        <v>OVER</v>
      </c>
      <c r="U1030" s="2">
        <f>IF(Q1030="OVER",$J1030,$K1030)</f>
        <v>232.31631540238106</v>
      </c>
      <c r="V1030" s="2">
        <f>IF(R1030="OVER",$J1030,$K1030)</f>
        <v>232.31631540238106</v>
      </c>
      <c r="W1030" s="2">
        <f>IF(S1030="OVER",$J1030,$K1030)</f>
        <v>232.31631540238106</v>
      </c>
      <c r="X1030" s="2">
        <f>IF(T1030="OVER",$J1030,$K1030)</f>
        <v>232.31631540238106</v>
      </c>
      <c r="Y1030" s="9">
        <f t="shared" si="132"/>
        <v>-42111.003838761222</v>
      </c>
      <c r="Z1030" s="9">
        <f t="shared" si="132"/>
        <v>-41255.949602026514</v>
      </c>
      <c r="AA1030" s="9">
        <f t="shared" si="132"/>
        <v>59062.026106144876</v>
      </c>
      <c r="AB1030" s="9">
        <f t="shared" si="132"/>
        <v>27499.532998994171</v>
      </c>
    </row>
    <row r="1031" spans="1:28" x14ac:dyDescent="0.3">
      <c r="A1031" s="1">
        <v>45912</v>
      </c>
      <c r="B1031" s="2">
        <v>88.43</v>
      </c>
      <c r="C1031" s="2">
        <v>97.28</v>
      </c>
      <c r="D1031" s="9">
        <f>B1031-B1030</f>
        <v>4.0000000000006253E-2</v>
      </c>
      <c r="E1031" s="9">
        <f>C1031-C1030</f>
        <v>-9.0000000000003411E-2</v>
      </c>
      <c r="F1031" s="3">
        <f>F$1/B1031</f>
        <v>1130.8379509216329</v>
      </c>
      <c r="G1031" s="3">
        <f>F$1/C1031</f>
        <v>1027.9605263157894</v>
      </c>
      <c r="H1031" s="2">
        <f>D1031*F1030</f>
        <v>45.253988007700251</v>
      </c>
      <c r="I1031" s="2">
        <f>E1031*G1030</f>
        <v>-92.430933552432379</v>
      </c>
      <c r="J1031" s="2">
        <f>I1031-H1031</f>
        <v>-137.68492156013264</v>
      </c>
      <c r="K1031" s="2">
        <f t="shared" si="136"/>
        <v>137.68492156013264</v>
      </c>
      <c r="L1031" s="14">
        <f>C1031/B1031</f>
        <v>1.1000791586565644</v>
      </c>
      <c r="M1031" s="14">
        <f t="shared" si="130"/>
        <v>1.097913452764915</v>
      </c>
      <c r="N1031" s="14">
        <f t="shared" si="134"/>
        <v>1.0942561856195827</v>
      </c>
      <c r="O1031" s="14">
        <f t="shared" si="135"/>
        <v>1.0906918011475675</v>
      </c>
      <c r="P1031" s="14">
        <f t="shared" si="129"/>
        <v>1.0914089806773029</v>
      </c>
      <c r="Q1031" s="4" t="str">
        <f t="shared" si="133"/>
        <v>OVER</v>
      </c>
      <c r="R1031" s="4" t="str">
        <f t="shared" si="133"/>
        <v>OVER</v>
      </c>
      <c r="S1031" s="4" t="str">
        <f t="shared" si="131"/>
        <v>OVER</v>
      </c>
      <c r="T1031" s="4" t="str">
        <f t="shared" si="131"/>
        <v>OVER</v>
      </c>
      <c r="U1031" s="2">
        <f>IF(Q1031="OVER",$J1031,$K1031)</f>
        <v>-137.68492156013264</v>
      </c>
      <c r="V1031" s="2">
        <f>IF(R1031="OVER",$J1031,$K1031)</f>
        <v>-137.68492156013264</v>
      </c>
      <c r="W1031" s="2">
        <f>IF(S1031="OVER",$J1031,$K1031)</f>
        <v>-137.68492156013264</v>
      </c>
      <c r="X1031" s="2">
        <f>IF(T1031="OVER",$J1031,$K1031)</f>
        <v>-137.68492156013264</v>
      </c>
      <c r="Y1031" s="9">
        <f t="shared" si="132"/>
        <v>-42248.688760321354</v>
      </c>
      <c r="Z1031" s="9">
        <f t="shared" si="132"/>
        <v>-41393.634523586647</v>
      </c>
      <c r="AA1031" s="9">
        <f t="shared" si="132"/>
        <v>58924.341184584744</v>
      </c>
      <c r="AB1031" s="9">
        <f t="shared" si="132"/>
        <v>27361.848077434039</v>
      </c>
    </row>
    <row r="1032" spans="1:28" x14ac:dyDescent="0.3">
      <c r="A1032" s="1">
        <v>45915</v>
      </c>
      <c r="B1032" s="2">
        <v>89.06</v>
      </c>
      <c r="C1032" s="2">
        <v>98.02</v>
      </c>
      <c r="D1032" s="9">
        <f>B1032-B1031</f>
        <v>0.62999999999999545</v>
      </c>
      <c r="E1032" s="9">
        <f>C1032-C1031</f>
        <v>0.73999999999999488</v>
      </c>
      <c r="F1032" s="3">
        <f>F$1/B1032</f>
        <v>1122.8385358185492</v>
      </c>
      <c r="G1032" s="3">
        <f>F$1/C1032</f>
        <v>1020.1999591920016</v>
      </c>
      <c r="H1032" s="2">
        <f>D1032*F1031</f>
        <v>712.42790908062364</v>
      </c>
      <c r="I1032" s="2">
        <f>E1032*G1031</f>
        <v>760.69078947367882</v>
      </c>
      <c r="J1032" s="2">
        <f>I1032-H1032</f>
        <v>48.262880393055184</v>
      </c>
      <c r="K1032" s="2">
        <f t="shared" si="136"/>
        <v>-48.262880393055184</v>
      </c>
      <c r="L1032" s="14">
        <f>C1032/B1032</f>
        <v>1.1006063328093418</v>
      </c>
      <c r="M1032" s="14">
        <f t="shared" si="130"/>
        <v>1.098504915902131</v>
      </c>
      <c r="N1032" s="14">
        <f t="shared" si="134"/>
        <v>1.0948421879375296</v>
      </c>
      <c r="O1032" s="14">
        <f t="shared" si="135"/>
        <v>1.0909807027736704</v>
      </c>
      <c r="P1032" s="14">
        <f t="shared" si="129"/>
        <v>1.0914528160888841</v>
      </c>
      <c r="Q1032" s="4" t="str">
        <f t="shared" si="133"/>
        <v>OVER</v>
      </c>
      <c r="R1032" s="4" t="str">
        <f t="shared" si="133"/>
        <v>OVER</v>
      </c>
      <c r="S1032" s="4" t="str">
        <f t="shared" si="131"/>
        <v>OVER</v>
      </c>
      <c r="T1032" s="4" t="str">
        <f t="shared" si="131"/>
        <v>OVER</v>
      </c>
      <c r="U1032" s="2">
        <f>IF(Q1032="OVER",$J1032,$K1032)</f>
        <v>48.262880393055184</v>
      </c>
      <c r="V1032" s="2">
        <f>IF(R1032="OVER",$J1032,$K1032)</f>
        <v>48.262880393055184</v>
      </c>
      <c r="W1032" s="2">
        <f>IF(S1032="OVER",$J1032,$K1032)</f>
        <v>48.262880393055184</v>
      </c>
      <c r="X1032" s="2">
        <f>IF(T1032="OVER",$J1032,$K1032)</f>
        <v>48.262880393055184</v>
      </c>
      <c r="Y1032" s="9">
        <f t="shared" si="132"/>
        <v>-42200.425879928298</v>
      </c>
      <c r="Z1032" s="9">
        <f t="shared" si="132"/>
        <v>-41345.37164319359</v>
      </c>
      <c r="AA1032" s="9">
        <f t="shared" si="132"/>
        <v>58972.604064977801</v>
      </c>
      <c r="AB1032" s="9">
        <f t="shared" si="132"/>
        <v>27410.110957827095</v>
      </c>
    </row>
    <row r="1033" spans="1:28" x14ac:dyDescent="0.3">
      <c r="A1033" s="1">
        <v>45916</v>
      </c>
      <c r="B1033" s="2">
        <v>89.09</v>
      </c>
      <c r="C1033" s="2">
        <v>98.01</v>
      </c>
      <c r="D1033" s="9">
        <f>B1033-B1032</f>
        <v>3.0000000000001137E-2</v>
      </c>
      <c r="E1033" s="9">
        <f>C1033-C1032</f>
        <v>-9.9999999999909051E-3</v>
      </c>
      <c r="F1033" s="3">
        <f>F$1/B1033</f>
        <v>1122.4604332697272</v>
      </c>
      <c r="G1033" s="3">
        <f>F$1/C1033</f>
        <v>1020.3040506070809</v>
      </c>
      <c r="H1033" s="2">
        <f>D1033*F1032</f>
        <v>33.685156074557753</v>
      </c>
      <c r="I1033" s="2">
        <f>E1033*G1032</f>
        <v>-10.201999591910738</v>
      </c>
      <c r="J1033" s="2">
        <f>I1033-H1033</f>
        <v>-43.887155666468487</v>
      </c>
      <c r="K1033" s="2">
        <f t="shared" si="136"/>
        <v>43.887155666468487</v>
      </c>
      <c r="L1033" s="14">
        <f>C1033/B1033</f>
        <v>1.1001234706476597</v>
      </c>
      <c r="M1033" s="14">
        <f t="shared" si="130"/>
        <v>1.0989530561104182</v>
      </c>
      <c r="N1033" s="14">
        <f t="shared" si="134"/>
        <v>1.0954144322725763</v>
      </c>
      <c r="O1033" s="14">
        <f t="shared" si="135"/>
        <v>1.0912384810669322</v>
      </c>
      <c r="P1033" s="14">
        <f t="shared" si="129"/>
        <v>1.0915025083103984</v>
      </c>
      <c r="Q1033" s="4" t="str">
        <f t="shared" si="133"/>
        <v>OVER</v>
      </c>
      <c r="R1033" s="4" t="str">
        <f t="shared" si="133"/>
        <v>OVER</v>
      </c>
      <c r="S1033" s="4" t="str">
        <f t="shared" si="131"/>
        <v>OVER</v>
      </c>
      <c r="T1033" s="4" t="str">
        <f t="shared" si="131"/>
        <v>OVER</v>
      </c>
      <c r="U1033" s="2">
        <f>IF(Q1033="OVER",$J1033,$K1033)</f>
        <v>-43.887155666468487</v>
      </c>
      <c r="V1033" s="2">
        <f>IF(R1033="OVER",$J1033,$K1033)</f>
        <v>-43.887155666468487</v>
      </c>
      <c r="W1033" s="2">
        <f>IF(S1033="OVER",$J1033,$K1033)</f>
        <v>-43.887155666468487</v>
      </c>
      <c r="X1033" s="2">
        <f>IF(T1033="OVER",$J1033,$K1033)</f>
        <v>-43.887155666468487</v>
      </c>
      <c r="Y1033" s="9">
        <f t="shared" si="132"/>
        <v>-42244.313035594765</v>
      </c>
      <c r="Z1033" s="9">
        <f t="shared" si="132"/>
        <v>-41389.258798860057</v>
      </c>
      <c r="AA1033" s="9">
        <f t="shared" si="132"/>
        <v>58928.716909311333</v>
      </c>
      <c r="AB1033" s="9">
        <f t="shared" si="132"/>
        <v>27366.223802160628</v>
      </c>
    </row>
    <row r="1034" spans="1:28" x14ac:dyDescent="0.3">
      <c r="A1034" s="1">
        <v>45917</v>
      </c>
      <c r="B1034" s="2">
        <v>89.23</v>
      </c>
      <c r="C1034" s="2">
        <v>98.4</v>
      </c>
      <c r="D1034" s="9">
        <f>B1034-B1033</f>
        <v>0.14000000000000057</v>
      </c>
      <c r="E1034" s="9">
        <f>C1034-C1033</f>
        <v>0.39000000000000057</v>
      </c>
      <c r="F1034" s="3">
        <f>F$1/B1034</f>
        <v>1120.6993163734169</v>
      </c>
      <c r="G1034" s="3">
        <f>F$1/C1034</f>
        <v>1016.260162601626</v>
      </c>
      <c r="H1034" s="2">
        <f>D1034*F1033</f>
        <v>157.14446065776244</v>
      </c>
      <c r="I1034" s="2">
        <f>E1034*G1033</f>
        <v>397.91857973676213</v>
      </c>
      <c r="J1034" s="2">
        <f>I1034-H1034</f>
        <v>240.77411907899969</v>
      </c>
      <c r="K1034" s="2">
        <f t="shared" si="136"/>
        <v>-240.77411907899969</v>
      </c>
      <c r="L1034" s="14">
        <f>C1034/B1034</f>
        <v>1.1027681273114422</v>
      </c>
      <c r="M1034" s="14">
        <f t="shared" si="130"/>
        <v>1.0995468112792224</v>
      </c>
      <c r="N1034" s="14">
        <f t="shared" si="134"/>
        <v>1.0960481216570162</v>
      </c>
      <c r="O1034" s="14">
        <f t="shared" si="135"/>
        <v>1.0915824463331034</v>
      </c>
      <c r="P1034" s="14">
        <f t="shared" si="129"/>
        <v>1.0915642081989241</v>
      </c>
      <c r="Q1034" s="4" t="str">
        <f t="shared" si="133"/>
        <v>OVER</v>
      </c>
      <c r="R1034" s="4" t="str">
        <f t="shared" si="133"/>
        <v>OVER</v>
      </c>
      <c r="S1034" s="4" t="str">
        <f t="shared" si="131"/>
        <v>OVER</v>
      </c>
      <c r="T1034" s="4" t="str">
        <f t="shared" si="131"/>
        <v>OVER</v>
      </c>
      <c r="U1034" s="2">
        <f>IF(Q1034="OVER",$J1034,$K1034)</f>
        <v>240.77411907899969</v>
      </c>
      <c r="V1034" s="2">
        <f>IF(R1034="OVER",$J1034,$K1034)</f>
        <v>240.77411907899969</v>
      </c>
      <c r="W1034" s="2">
        <f>IF(S1034="OVER",$J1034,$K1034)</f>
        <v>240.77411907899969</v>
      </c>
      <c r="X1034" s="2">
        <f>IF(T1034="OVER",$J1034,$K1034)</f>
        <v>240.77411907899969</v>
      </c>
      <c r="Y1034" s="9">
        <f t="shared" si="132"/>
        <v>-42003.538916515769</v>
      </c>
      <c r="Z1034" s="9">
        <f t="shared" si="132"/>
        <v>-41148.484679781061</v>
      </c>
      <c r="AA1034" s="9">
        <f t="shared" si="132"/>
        <v>59169.49102839033</v>
      </c>
      <c r="AB1034" s="9">
        <f t="shared" si="132"/>
        <v>27606.997921239628</v>
      </c>
    </row>
    <row r="1035" spans="1:28" x14ac:dyDescent="0.3">
      <c r="A1035" s="1">
        <v>45918</v>
      </c>
      <c r="B1035" s="2">
        <v>90.1</v>
      </c>
      <c r="C1035" s="2">
        <v>99.28</v>
      </c>
      <c r="D1035" s="9">
        <f>B1035-B1034</f>
        <v>0.86999999999999034</v>
      </c>
      <c r="E1035" s="9">
        <f>C1035-C1034</f>
        <v>0.87999999999999545</v>
      </c>
      <c r="F1035" s="3">
        <f>F$1/B1035</f>
        <v>1109.8779134295228</v>
      </c>
      <c r="G1035" s="3">
        <f>F$1/C1035</f>
        <v>1007.2522159548751</v>
      </c>
      <c r="H1035" s="2">
        <f>D1035*F1034</f>
        <v>975.00840524486182</v>
      </c>
      <c r="I1035" s="2">
        <f>E1035*G1034</f>
        <v>894.30894308942629</v>
      </c>
      <c r="J1035" s="2">
        <f>I1035-H1035</f>
        <v>-80.699462155435526</v>
      </c>
      <c r="K1035" s="2">
        <f t="shared" si="136"/>
        <v>80.699462155435526</v>
      </c>
      <c r="L1035" s="14">
        <f>C1035/B1035</f>
        <v>1.1018867924528302</v>
      </c>
      <c r="M1035" s="14">
        <f t="shared" si="130"/>
        <v>1.1001375356093301</v>
      </c>
      <c r="N1035" s="14">
        <f t="shared" si="134"/>
        <v>1.0966232872383599</v>
      </c>
      <c r="O1035" s="14">
        <f t="shared" si="135"/>
        <v>1.0919115792586036</v>
      </c>
      <c r="P1035" s="14">
        <f t="shared" ref="P1035:P1098" si="137">AVERAGE(L836:L1035)</f>
        <v>1.0916132449076326</v>
      </c>
      <c r="Q1035" s="4" t="str">
        <f t="shared" si="133"/>
        <v>OVER</v>
      </c>
      <c r="R1035" s="4" t="str">
        <f t="shared" si="133"/>
        <v>OVER</v>
      </c>
      <c r="S1035" s="4" t="str">
        <f t="shared" si="131"/>
        <v>OVER</v>
      </c>
      <c r="T1035" s="4" t="str">
        <f t="shared" si="131"/>
        <v>OVER</v>
      </c>
      <c r="U1035" s="2">
        <f>IF(Q1035="OVER",$J1035,$K1035)</f>
        <v>-80.699462155435526</v>
      </c>
      <c r="V1035" s="2">
        <f>IF(R1035="OVER",$J1035,$K1035)</f>
        <v>-80.699462155435526</v>
      </c>
      <c r="W1035" s="2">
        <f>IF(S1035="OVER",$J1035,$K1035)</f>
        <v>-80.699462155435526</v>
      </c>
      <c r="X1035" s="2">
        <f>IF(T1035="OVER",$J1035,$K1035)</f>
        <v>-80.699462155435526</v>
      </c>
      <c r="Y1035" s="9">
        <f t="shared" si="132"/>
        <v>-42084.238378671202</v>
      </c>
      <c r="Z1035" s="9">
        <f t="shared" si="132"/>
        <v>-41229.184141936494</v>
      </c>
      <c r="AA1035" s="9">
        <f t="shared" si="132"/>
        <v>59088.791566234897</v>
      </c>
      <c r="AB1035" s="9">
        <f t="shared" si="132"/>
        <v>27526.298459084192</v>
      </c>
    </row>
    <row r="1036" spans="1:28" x14ac:dyDescent="0.3">
      <c r="A1036" s="1">
        <v>45919</v>
      </c>
      <c r="B1036" s="2">
        <v>90.41</v>
      </c>
      <c r="C1036" s="2">
        <v>99.62</v>
      </c>
      <c r="D1036" s="9">
        <f>B1036-B1035</f>
        <v>0.31000000000000227</v>
      </c>
      <c r="E1036" s="9">
        <f>C1036-C1035</f>
        <v>0.34000000000000341</v>
      </c>
      <c r="F1036" s="3">
        <f>F$1/B1036</f>
        <v>1106.0723371308484</v>
      </c>
      <c r="G1036" s="3">
        <f>F$1/C1036</f>
        <v>1003.8144950813089</v>
      </c>
      <c r="H1036" s="2">
        <f>D1036*F1035</f>
        <v>344.06215316315456</v>
      </c>
      <c r="I1036" s="2">
        <f>E1036*G1035</f>
        <v>342.46575342466093</v>
      </c>
      <c r="J1036" s="2">
        <f>I1036-H1036</f>
        <v>-1.5963997384936306</v>
      </c>
      <c r="K1036" s="2">
        <f t="shared" si="136"/>
        <v>1.5963997384936306</v>
      </c>
      <c r="L1036" s="14">
        <f>C1036/B1036</f>
        <v>1.1018692622497512</v>
      </c>
      <c r="M1036" s="14">
        <f t="shared" si="130"/>
        <v>1.1005393416864311</v>
      </c>
      <c r="N1036" s="14">
        <f t="shared" si="134"/>
        <v>1.0972077796237465</v>
      </c>
      <c r="O1036" s="14">
        <f t="shared" si="135"/>
        <v>1.0922524720197047</v>
      </c>
      <c r="P1036" s="14">
        <f t="shared" si="137"/>
        <v>1.0916693784165359</v>
      </c>
      <c r="Q1036" s="4" t="str">
        <f t="shared" si="133"/>
        <v>OVER</v>
      </c>
      <c r="R1036" s="4" t="str">
        <f t="shared" si="133"/>
        <v>OVER</v>
      </c>
      <c r="S1036" s="4" t="str">
        <f t="shared" si="131"/>
        <v>OVER</v>
      </c>
      <c r="T1036" s="4" t="str">
        <f t="shared" si="131"/>
        <v>OVER</v>
      </c>
      <c r="U1036" s="2">
        <f>IF(Q1036="OVER",$J1036,$K1036)</f>
        <v>-1.5963997384936306</v>
      </c>
      <c r="V1036" s="2">
        <f>IF(R1036="OVER",$J1036,$K1036)</f>
        <v>-1.5963997384936306</v>
      </c>
      <c r="W1036" s="2">
        <f>IF(S1036="OVER",$J1036,$K1036)</f>
        <v>-1.5963997384936306</v>
      </c>
      <c r="X1036" s="2">
        <f>IF(T1036="OVER",$J1036,$K1036)</f>
        <v>-1.5963997384936306</v>
      </c>
      <c r="Y1036" s="9">
        <f t="shared" si="132"/>
        <v>-42085.834778409699</v>
      </c>
      <c r="Z1036" s="9">
        <f t="shared" si="132"/>
        <v>-41230.780541674991</v>
      </c>
      <c r="AA1036" s="9">
        <f t="shared" si="132"/>
        <v>59087.1951664964</v>
      </c>
      <c r="AB1036" s="9">
        <f t="shared" ref="AB1036:AB1099" si="138">AB1035+X1036</f>
        <v>27524.702059345698</v>
      </c>
    </row>
    <row r="1037" spans="1:28" x14ac:dyDescent="0.3">
      <c r="A1037" s="1">
        <v>45922</v>
      </c>
      <c r="B1037" s="2">
        <v>90.77</v>
      </c>
      <c r="C1037" s="2">
        <v>100.17</v>
      </c>
      <c r="D1037" s="9">
        <f>B1037-B1036</f>
        <v>0.35999999999999943</v>
      </c>
      <c r="E1037" s="9">
        <f>C1037-C1036</f>
        <v>0.54999999999999716</v>
      </c>
      <c r="F1037" s="3">
        <f>F$1/B1037</f>
        <v>1101.6855789357717</v>
      </c>
      <c r="G1037" s="3">
        <f>F$1/C1037</f>
        <v>998.30288509533796</v>
      </c>
      <c r="H1037" s="2">
        <f>D1037*F1036</f>
        <v>398.18604136710479</v>
      </c>
      <c r="I1037" s="2">
        <f>E1037*G1036</f>
        <v>552.09797229471701</v>
      </c>
      <c r="J1037" s="2">
        <f>I1037-H1037</f>
        <v>153.91193092761222</v>
      </c>
      <c r="K1037" s="2">
        <f t="shared" si="136"/>
        <v>-153.91193092761222</v>
      </c>
      <c r="L1037" s="14">
        <f>C1037/B1037</f>
        <v>1.1035584444199626</v>
      </c>
      <c r="M1037" s="14">
        <f t="shared" ref="M1037:M1100" si="139">AVERAGE(L1028:L1037)</f>
        <v>1.1009504984123637</v>
      </c>
      <c r="N1037" s="14">
        <f t="shared" si="134"/>
        <v>1.0978021746227808</v>
      </c>
      <c r="O1037" s="14">
        <f t="shared" si="135"/>
        <v>1.0926013588844226</v>
      </c>
      <c r="P1037" s="14">
        <f t="shared" si="137"/>
        <v>1.0917786103273519</v>
      </c>
      <c r="Q1037" s="4" t="str">
        <f t="shared" si="133"/>
        <v>OVER</v>
      </c>
      <c r="R1037" s="4" t="str">
        <f t="shared" si="133"/>
        <v>OVER</v>
      </c>
      <c r="S1037" s="4" t="str">
        <f t="shared" ref="S1037:T1100" si="140">IF($L1037&gt;O1037,"OVER","UNDER")</f>
        <v>OVER</v>
      </c>
      <c r="T1037" s="4" t="str">
        <f t="shared" si="140"/>
        <v>OVER</v>
      </c>
      <c r="U1037" s="2">
        <f>IF(Q1037="OVER",$J1037,$K1037)</f>
        <v>153.91193092761222</v>
      </c>
      <c r="V1037" s="2">
        <f>IF(R1037="OVER",$J1037,$K1037)</f>
        <v>153.91193092761222</v>
      </c>
      <c r="W1037" s="2">
        <f>IF(S1037="OVER",$J1037,$K1037)</f>
        <v>153.91193092761222</v>
      </c>
      <c r="X1037" s="2">
        <f>IF(T1037="OVER",$J1037,$K1037)</f>
        <v>153.91193092761222</v>
      </c>
      <c r="Y1037" s="9">
        <f t="shared" ref="Y1037:AB1100" si="141">Y1036+U1037</f>
        <v>-41931.922847482085</v>
      </c>
      <c r="Z1037" s="9">
        <f t="shared" si="141"/>
        <v>-41076.868610747377</v>
      </c>
      <c r="AA1037" s="9">
        <f t="shared" si="141"/>
        <v>59241.107097424014</v>
      </c>
      <c r="AB1037" s="9">
        <f t="shared" si="138"/>
        <v>27678.613990273312</v>
      </c>
    </row>
    <row r="1038" spans="1:28" x14ac:dyDescent="0.3">
      <c r="A1038" s="1">
        <v>45923</v>
      </c>
      <c r="B1038" s="2">
        <v>90.34</v>
      </c>
      <c r="C1038" s="2">
        <v>99.55</v>
      </c>
      <c r="D1038" s="9">
        <f>B1038-B1037</f>
        <v>-0.42999999999999261</v>
      </c>
      <c r="E1038" s="9">
        <f>C1038-C1037</f>
        <v>-0.62000000000000455</v>
      </c>
      <c r="F1038" s="3">
        <f>F$1/B1038</f>
        <v>1106.9293779056895</v>
      </c>
      <c r="G1038" s="3">
        <f>F$1/C1038</f>
        <v>1004.5203415369161</v>
      </c>
      <c r="H1038" s="2">
        <f>D1038*F1037</f>
        <v>-473.7247989423737</v>
      </c>
      <c r="I1038" s="2">
        <f>E1038*G1037</f>
        <v>-618.94778875911402</v>
      </c>
      <c r="J1038" s="2">
        <f>I1038-H1038</f>
        <v>-145.22298981674032</v>
      </c>
      <c r="K1038" s="2">
        <f t="shared" si="136"/>
        <v>145.22298981674032</v>
      </c>
      <c r="L1038" s="14">
        <f>C1038/B1038</f>
        <v>1.101948195705114</v>
      </c>
      <c r="M1038" s="14">
        <f t="shared" si="139"/>
        <v>1.1013499127937103</v>
      </c>
      <c r="N1038" s="14">
        <f t="shared" si="134"/>
        <v>1.098352009781171</v>
      </c>
      <c r="O1038" s="14">
        <f t="shared" si="135"/>
        <v>1.0929212203409682</v>
      </c>
      <c r="P1038" s="14">
        <f t="shared" si="137"/>
        <v>1.0918307867302315</v>
      </c>
      <c r="Q1038" s="4" t="str">
        <f t="shared" ref="Q1038:R1101" si="142">IF($L1037&gt;M1037,"OVER","UNDER")</f>
        <v>OVER</v>
      </c>
      <c r="R1038" s="4" t="str">
        <f t="shared" si="142"/>
        <v>OVER</v>
      </c>
      <c r="S1038" s="4" t="str">
        <f t="shared" si="140"/>
        <v>OVER</v>
      </c>
      <c r="T1038" s="4" t="str">
        <f t="shared" si="140"/>
        <v>OVER</v>
      </c>
      <c r="U1038" s="2">
        <f>IF(Q1038="OVER",$J1038,$K1038)</f>
        <v>-145.22298981674032</v>
      </c>
      <c r="V1038" s="2">
        <f>IF(R1038="OVER",$J1038,$K1038)</f>
        <v>-145.22298981674032</v>
      </c>
      <c r="W1038" s="2">
        <f>IF(S1038="OVER",$J1038,$K1038)</f>
        <v>-145.22298981674032</v>
      </c>
      <c r="X1038" s="2">
        <f>IF(T1038="OVER",$J1038,$K1038)</f>
        <v>-145.22298981674032</v>
      </c>
      <c r="Y1038" s="9">
        <f t="shared" si="141"/>
        <v>-42077.145837298827</v>
      </c>
      <c r="Z1038" s="9">
        <f t="shared" si="141"/>
        <v>-41222.091600564119</v>
      </c>
      <c r="AA1038" s="9">
        <f t="shared" si="141"/>
        <v>59095.884107607271</v>
      </c>
      <c r="AB1038" s="9">
        <f t="shared" si="138"/>
        <v>27533.391000456573</v>
      </c>
    </row>
    <row r="1039" spans="1:28" x14ac:dyDescent="0.3">
      <c r="A1039" s="1">
        <v>45924</v>
      </c>
      <c r="B1039" s="2">
        <v>90.01</v>
      </c>
      <c r="C1039" s="2">
        <v>99.38</v>
      </c>
      <c r="D1039" s="9">
        <f>B1039-B1038</f>
        <v>-0.32999999999999829</v>
      </c>
      <c r="E1039" s="9">
        <f>C1039-C1038</f>
        <v>-0.17000000000000171</v>
      </c>
      <c r="F1039" s="3">
        <f>F$1/B1039</f>
        <v>1110.9876680368848</v>
      </c>
      <c r="G1039" s="3">
        <f>F$1/C1039</f>
        <v>1006.2386798148522</v>
      </c>
      <c r="H1039" s="2">
        <f>D1039*F1038</f>
        <v>-365.28669470887564</v>
      </c>
      <c r="I1039" s="2">
        <f>E1039*G1038</f>
        <v>-170.76845806127744</v>
      </c>
      <c r="J1039" s="2">
        <f>I1039-H1039</f>
        <v>194.5182366475982</v>
      </c>
      <c r="K1039" s="2">
        <f t="shared" si="136"/>
        <v>-194.5182366475982</v>
      </c>
      <c r="L1039" s="14">
        <f>C1039/B1039</f>
        <v>1.1040995444950561</v>
      </c>
      <c r="M1039" s="14">
        <f t="shared" si="139"/>
        <v>1.1018534531824995</v>
      </c>
      <c r="N1039" s="14">
        <f t="shared" si="134"/>
        <v>1.0989835327985782</v>
      </c>
      <c r="O1039" s="14">
        <f t="shared" si="135"/>
        <v>1.0932724420001001</v>
      </c>
      <c r="P1039" s="14">
        <f t="shared" si="137"/>
        <v>1.0918821516746569</v>
      </c>
      <c r="Q1039" s="4" t="str">
        <f t="shared" si="142"/>
        <v>OVER</v>
      </c>
      <c r="R1039" s="4" t="str">
        <f t="shared" si="142"/>
        <v>OVER</v>
      </c>
      <c r="S1039" s="4" t="str">
        <f t="shared" si="140"/>
        <v>OVER</v>
      </c>
      <c r="T1039" s="4" t="str">
        <f t="shared" si="140"/>
        <v>OVER</v>
      </c>
      <c r="U1039" s="2">
        <f>IF(Q1039="OVER",$J1039,$K1039)</f>
        <v>194.5182366475982</v>
      </c>
      <c r="V1039" s="2">
        <f>IF(R1039="OVER",$J1039,$K1039)</f>
        <v>194.5182366475982</v>
      </c>
      <c r="W1039" s="2">
        <f>IF(S1039="OVER",$J1039,$K1039)</f>
        <v>194.5182366475982</v>
      </c>
      <c r="X1039" s="2">
        <f>IF(T1039="OVER",$J1039,$K1039)</f>
        <v>194.5182366475982</v>
      </c>
      <c r="Y1039" s="9">
        <f t="shared" si="141"/>
        <v>-41882.627600651227</v>
      </c>
      <c r="Z1039" s="9">
        <f t="shared" si="141"/>
        <v>-41027.573363916519</v>
      </c>
      <c r="AA1039" s="9">
        <f t="shared" si="141"/>
        <v>59290.402344254871</v>
      </c>
      <c r="AB1039" s="9">
        <f t="shared" si="138"/>
        <v>27727.90923710417</v>
      </c>
    </row>
    <row r="1040" spans="1:28" x14ac:dyDescent="0.3">
      <c r="A1040" s="1">
        <v>45925</v>
      </c>
      <c r="B1040" s="2">
        <v>89.61</v>
      </c>
      <c r="C1040" s="2">
        <v>98.84</v>
      </c>
      <c r="D1040" s="9">
        <f>B1040-B1039</f>
        <v>-0.40000000000000568</v>
      </c>
      <c r="E1040" s="9">
        <f>C1040-C1039</f>
        <v>-0.53999999999999204</v>
      </c>
      <c r="F1040" s="3">
        <f>F$1/B1040</f>
        <v>1115.9468809284679</v>
      </c>
      <c r="G1040" s="3">
        <f>F$1/C1040</f>
        <v>1011.7361392148928</v>
      </c>
      <c r="H1040" s="2">
        <f>D1040*F1039</f>
        <v>-444.39506721476022</v>
      </c>
      <c r="I1040" s="2">
        <f>E1040*G1039</f>
        <v>-543.36888710001222</v>
      </c>
      <c r="J1040" s="2">
        <f>I1040-H1040</f>
        <v>-98.973819885251999</v>
      </c>
      <c r="K1040" s="2">
        <f t="shared" si="136"/>
        <v>98.973819885251999</v>
      </c>
      <c r="L1040" s="14">
        <f>C1040/B1040</f>
        <v>1.1030018971096975</v>
      </c>
      <c r="M1040" s="14">
        <f t="shared" si="139"/>
        <v>1.1019941225857421</v>
      </c>
      <c r="N1040" s="14">
        <f t="shared" si="134"/>
        <v>1.0996552354607545</v>
      </c>
      <c r="O1040" s="14">
        <f t="shared" si="135"/>
        <v>1.0936071195074089</v>
      </c>
      <c r="P1040" s="14">
        <f t="shared" si="137"/>
        <v>1.0919404392449199</v>
      </c>
      <c r="Q1040" s="4" t="str">
        <f t="shared" si="142"/>
        <v>OVER</v>
      </c>
      <c r="R1040" s="4" t="str">
        <f t="shared" si="142"/>
        <v>OVER</v>
      </c>
      <c r="S1040" s="4" t="str">
        <f t="shared" si="140"/>
        <v>OVER</v>
      </c>
      <c r="T1040" s="4" t="str">
        <f t="shared" si="140"/>
        <v>OVER</v>
      </c>
      <c r="U1040" s="2">
        <f>IF(Q1040="OVER",$J1040,$K1040)</f>
        <v>-98.973819885251999</v>
      </c>
      <c r="V1040" s="2">
        <f>IF(R1040="OVER",$J1040,$K1040)</f>
        <v>-98.973819885251999</v>
      </c>
      <c r="W1040" s="2">
        <f>IF(S1040="OVER",$J1040,$K1040)</f>
        <v>-98.973819885251999</v>
      </c>
      <c r="X1040" s="2">
        <f>IF(T1040="OVER",$J1040,$K1040)</f>
        <v>-98.973819885251999</v>
      </c>
      <c r="Y1040" s="9">
        <f t="shared" si="141"/>
        <v>-41981.601420536477</v>
      </c>
      <c r="Z1040" s="9">
        <f t="shared" si="141"/>
        <v>-41126.547183801769</v>
      </c>
      <c r="AA1040" s="9">
        <f t="shared" si="141"/>
        <v>59191.428524369621</v>
      </c>
      <c r="AB1040" s="9">
        <f t="shared" si="138"/>
        <v>27628.935417218916</v>
      </c>
    </row>
    <row r="1041" spans="1:28" x14ac:dyDescent="0.3">
      <c r="A1041" s="1">
        <v>45926</v>
      </c>
      <c r="B1041" s="2">
        <v>89.55</v>
      </c>
      <c r="C1041" s="2">
        <v>98.77</v>
      </c>
      <c r="D1041" s="9">
        <f>B1041-B1040</f>
        <v>-6.0000000000002274E-2</v>
      </c>
      <c r="E1041" s="9">
        <f>C1041-C1040</f>
        <v>-7.000000000000739E-2</v>
      </c>
      <c r="F1041" s="3">
        <f>F$1/B1041</f>
        <v>1116.6945840312676</v>
      </c>
      <c r="G1041" s="3">
        <f>F$1/C1041</f>
        <v>1012.4531740407007</v>
      </c>
      <c r="H1041" s="2">
        <f>D1041*F1040</f>
        <v>-66.956812855710609</v>
      </c>
      <c r="I1041" s="2">
        <f>E1041*G1040</f>
        <v>-70.821529745049972</v>
      </c>
      <c r="J1041" s="2">
        <f>I1041-H1041</f>
        <v>-3.8647168893393626</v>
      </c>
      <c r="K1041" s="2">
        <f t="shared" si="136"/>
        <v>3.8647168893393626</v>
      </c>
      <c r="L1041" s="14">
        <f>C1041/B1041</f>
        <v>1.1029592406476829</v>
      </c>
      <c r="M1041" s="14">
        <f t="shared" si="139"/>
        <v>1.102282130784854</v>
      </c>
      <c r="N1041" s="14">
        <f t="shared" si="134"/>
        <v>1.1000977917748842</v>
      </c>
      <c r="O1041" s="14">
        <f t="shared" si="135"/>
        <v>1.0938148892260227</v>
      </c>
      <c r="P1041" s="14">
        <f t="shared" si="137"/>
        <v>1.091999745108222</v>
      </c>
      <c r="Q1041" s="4" t="str">
        <f t="shared" si="142"/>
        <v>OVER</v>
      </c>
      <c r="R1041" s="4" t="str">
        <f t="shared" si="142"/>
        <v>OVER</v>
      </c>
      <c r="S1041" s="4" t="str">
        <f t="shared" si="140"/>
        <v>OVER</v>
      </c>
      <c r="T1041" s="4" t="str">
        <f t="shared" si="140"/>
        <v>OVER</v>
      </c>
      <c r="U1041" s="2">
        <f>IF(Q1041="OVER",$J1041,$K1041)</f>
        <v>-3.8647168893393626</v>
      </c>
      <c r="V1041" s="2">
        <f>IF(R1041="OVER",$J1041,$K1041)</f>
        <v>-3.8647168893393626</v>
      </c>
      <c r="W1041" s="2">
        <f>IF(S1041="OVER",$J1041,$K1041)</f>
        <v>-3.8647168893393626</v>
      </c>
      <c r="X1041" s="2">
        <f>IF(T1041="OVER",$J1041,$K1041)</f>
        <v>-3.8647168893393626</v>
      </c>
      <c r="Y1041" s="9">
        <f t="shared" si="141"/>
        <v>-41985.466137425814</v>
      </c>
      <c r="Z1041" s="9">
        <f t="shared" si="141"/>
        <v>-41130.411900691106</v>
      </c>
      <c r="AA1041" s="9">
        <f t="shared" si="141"/>
        <v>59187.563807480285</v>
      </c>
      <c r="AB1041" s="9">
        <f t="shared" si="138"/>
        <v>27625.070700329576</v>
      </c>
    </row>
    <row r="1042" spans="1:28" x14ac:dyDescent="0.3">
      <c r="A1042" s="1">
        <v>45929</v>
      </c>
      <c r="B1042" s="2">
        <v>90.47</v>
      </c>
      <c r="C1042" s="2">
        <v>99.95</v>
      </c>
      <c r="D1042" s="9">
        <f>B1042-B1041</f>
        <v>0.92000000000000171</v>
      </c>
      <c r="E1042" s="9">
        <f>C1042-C1041</f>
        <v>1.1800000000000068</v>
      </c>
      <c r="F1042" s="3">
        <f>F$1/B1042</f>
        <v>1105.3387863380126</v>
      </c>
      <c r="G1042" s="3">
        <f>F$1/C1042</f>
        <v>1000.5002501250625</v>
      </c>
      <c r="H1042" s="2">
        <f>D1042*F1041</f>
        <v>1027.359017308768</v>
      </c>
      <c r="I1042" s="2">
        <f>E1042*G1041</f>
        <v>1194.6947453680336</v>
      </c>
      <c r="J1042" s="2">
        <f>I1042-H1042</f>
        <v>167.33572805926565</v>
      </c>
      <c r="K1042" s="2">
        <f t="shared" si="136"/>
        <v>-167.33572805926565</v>
      </c>
      <c r="L1042" s="14">
        <f>C1042/B1042</f>
        <v>1.1047861169448436</v>
      </c>
      <c r="M1042" s="14">
        <f t="shared" si="139"/>
        <v>1.1027001091984041</v>
      </c>
      <c r="N1042" s="14">
        <f t="shared" si="134"/>
        <v>1.1006025125502676</v>
      </c>
      <c r="O1042" s="14">
        <f t="shared" si="135"/>
        <v>1.0941592322950522</v>
      </c>
      <c r="P1042" s="14">
        <f t="shared" si="137"/>
        <v>1.0920735405910056</v>
      </c>
      <c r="Q1042" s="4" t="str">
        <f t="shared" si="142"/>
        <v>OVER</v>
      </c>
      <c r="R1042" s="4" t="str">
        <f t="shared" si="142"/>
        <v>OVER</v>
      </c>
      <c r="S1042" s="4" t="str">
        <f t="shared" si="140"/>
        <v>OVER</v>
      </c>
      <c r="T1042" s="4" t="str">
        <f t="shared" si="140"/>
        <v>OVER</v>
      </c>
      <c r="U1042" s="2">
        <f>IF(Q1042="OVER",$J1042,$K1042)</f>
        <v>167.33572805926565</v>
      </c>
      <c r="V1042" s="2">
        <f>IF(R1042="OVER",$J1042,$K1042)</f>
        <v>167.33572805926565</v>
      </c>
      <c r="W1042" s="2">
        <f>IF(S1042="OVER",$J1042,$K1042)</f>
        <v>167.33572805926565</v>
      </c>
      <c r="X1042" s="2">
        <f>IF(T1042="OVER",$J1042,$K1042)</f>
        <v>167.33572805926565</v>
      </c>
      <c r="Y1042" s="9">
        <f t="shared" si="141"/>
        <v>-41818.130409366546</v>
      </c>
      <c r="Z1042" s="9">
        <f t="shared" si="141"/>
        <v>-40963.076172631838</v>
      </c>
      <c r="AA1042" s="9">
        <f t="shared" si="141"/>
        <v>59354.899535539553</v>
      </c>
      <c r="AB1042" s="9">
        <f t="shared" si="138"/>
        <v>27792.40642838884</v>
      </c>
    </row>
    <row r="1043" spans="1:28" x14ac:dyDescent="0.3">
      <c r="A1043" s="1">
        <v>45930</v>
      </c>
      <c r="B1043" s="2">
        <v>90.5</v>
      </c>
      <c r="C1043" s="2">
        <v>100.05</v>
      </c>
      <c r="D1043" s="9">
        <f>B1043-B1042</f>
        <v>3.0000000000001137E-2</v>
      </c>
      <c r="E1043" s="9">
        <f>C1043-C1042</f>
        <v>9.9999999999994316E-2</v>
      </c>
      <c r="F1043" s="3">
        <f>F$1/B1043</f>
        <v>1104.9723756906078</v>
      </c>
      <c r="G1043" s="3">
        <f>F$1/C1043</f>
        <v>999.50024987506254</v>
      </c>
      <c r="H1043" s="2">
        <f>D1043*F1042</f>
        <v>33.160163590141636</v>
      </c>
      <c r="I1043" s="2">
        <f>E1043*G1042</f>
        <v>100.05002501250057</v>
      </c>
      <c r="J1043" s="2">
        <f>I1043-H1043</f>
        <v>66.889861422358933</v>
      </c>
      <c r="K1043" s="2">
        <f t="shared" si="136"/>
        <v>-66.889861422358933</v>
      </c>
      <c r="L1043" s="14">
        <f>C1043/B1043</f>
        <v>1.105524861878453</v>
      </c>
      <c r="M1043" s="14">
        <f t="shared" si="139"/>
        <v>1.1032402483214834</v>
      </c>
      <c r="N1043" s="14">
        <f t="shared" si="134"/>
        <v>1.1010966522159507</v>
      </c>
      <c r="O1043" s="14">
        <f t="shared" si="135"/>
        <v>1.0944547577812089</v>
      </c>
      <c r="P1043" s="14">
        <f t="shared" si="137"/>
        <v>1.0921272194909684</v>
      </c>
      <c r="Q1043" s="4" t="str">
        <f t="shared" si="142"/>
        <v>OVER</v>
      </c>
      <c r="R1043" s="4" t="str">
        <f t="shared" si="142"/>
        <v>OVER</v>
      </c>
      <c r="S1043" s="4" t="str">
        <f t="shared" si="140"/>
        <v>OVER</v>
      </c>
      <c r="T1043" s="4" t="str">
        <f t="shared" si="140"/>
        <v>OVER</v>
      </c>
      <c r="U1043" s="2">
        <f>IF(Q1043="OVER",$J1043,$K1043)</f>
        <v>66.889861422358933</v>
      </c>
      <c r="V1043" s="2">
        <f>IF(R1043="OVER",$J1043,$K1043)</f>
        <v>66.889861422358933</v>
      </c>
      <c r="W1043" s="2">
        <f>IF(S1043="OVER",$J1043,$K1043)</f>
        <v>66.889861422358933</v>
      </c>
      <c r="X1043" s="2">
        <f>IF(T1043="OVER",$J1043,$K1043)</f>
        <v>66.889861422358933</v>
      </c>
      <c r="Y1043" s="9">
        <f t="shared" si="141"/>
        <v>-41751.240547944188</v>
      </c>
      <c r="Z1043" s="9">
        <f t="shared" si="141"/>
        <v>-40896.18631120948</v>
      </c>
      <c r="AA1043" s="9">
        <f t="shared" si="141"/>
        <v>59421.789396961911</v>
      </c>
      <c r="AB1043" s="9">
        <f t="shared" si="138"/>
        <v>27859.296289811198</v>
      </c>
    </row>
    <row r="1044" spans="1:28" x14ac:dyDescent="0.3">
      <c r="A1044" s="1">
        <v>45931</v>
      </c>
      <c r="B1044" s="2">
        <v>91.32</v>
      </c>
      <c r="C1044" s="2">
        <v>100.82</v>
      </c>
      <c r="D1044" s="9">
        <f>B1044-B1043</f>
        <v>0.81999999999999318</v>
      </c>
      <c r="E1044" s="9">
        <f>C1044-C1043</f>
        <v>0.76999999999999602</v>
      </c>
      <c r="F1044" s="3">
        <f>F$1/B1044</f>
        <v>1095.0503723171266</v>
      </c>
      <c r="G1044" s="3">
        <f>F$1/C1044</f>
        <v>991.86669311644516</v>
      </c>
      <c r="H1044" s="2">
        <f>D1044*F1043</f>
        <v>906.07734806629082</v>
      </c>
      <c r="I1044" s="2">
        <f>E1044*G1043</f>
        <v>769.61519240379414</v>
      </c>
      <c r="J1044" s="2">
        <f>I1044-H1044</f>
        <v>-136.46215566249668</v>
      </c>
      <c r="K1044" s="2">
        <f t="shared" si="136"/>
        <v>136.46215566249668</v>
      </c>
      <c r="L1044" s="14">
        <f>C1044/B1044</f>
        <v>1.1040297853701271</v>
      </c>
      <c r="M1044" s="14">
        <f t="shared" si="139"/>
        <v>1.1033664141273518</v>
      </c>
      <c r="N1044" s="14">
        <f t="shared" si="134"/>
        <v>1.101456612703287</v>
      </c>
      <c r="O1044" s="14">
        <f t="shared" si="135"/>
        <v>1.0947670608056848</v>
      </c>
      <c r="P1044" s="14">
        <f t="shared" si="137"/>
        <v>1.0921894095356326</v>
      </c>
      <c r="Q1044" s="4" t="str">
        <f t="shared" si="142"/>
        <v>OVER</v>
      </c>
      <c r="R1044" s="4" t="str">
        <f t="shared" si="142"/>
        <v>OVER</v>
      </c>
      <c r="S1044" s="4" t="str">
        <f t="shared" si="140"/>
        <v>OVER</v>
      </c>
      <c r="T1044" s="4" t="str">
        <f t="shared" si="140"/>
        <v>OVER</v>
      </c>
      <c r="U1044" s="2">
        <f>IF(Q1044="OVER",$J1044,$K1044)</f>
        <v>-136.46215566249668</v>
      </c>
      <c r="V1044" s="2">
        <f>IF(R1044="OVER",$J1044,$K1044)</f>
        <v>-136.46215566249668</v>
      </c>
      <c r="W1044" s="2">
        <f>IF(S1044="OVER",$J1044,$K1044)</f>
        <v>-136.46215566249668</v>
      </c>
      <c r="X1044" s="2">
        <f>IF(T1044="OVER",$J1044,$K1044)</f>
        <v>-136.46215566249668</v>
      </c>
      <c r="Y1044" s="9">
        <f t="shared" si="141"/>
        <v>-41887.702703606687</v>
      </c>
      <c r="Z1044" s="9">
        <f t="shared" si="141"/>
        <v>-41032.648466871979</v>
      </c>
      <c r="AA1044" s="9">
        <f t="shared" si="141"/>
        <v>59285.327241299412</v>
      </c>
      <c r="AB1044" s="9">
        <f t="shared" si="138"/>
        <v>27722.834134148703</v>
      </c>
    </row>
    <row r="1045" spans="1:28" x14ac:dyDescent="0.3">
      <c r="A1045" s="1">
        <v>45932</v>
      </c>
      <c r="B1045" s="2">
        <v>91.99</v>
      </c>
      <c r="C1045" s="2">
        <v>101.65</v>
      </c>
      <c r="D1045" s="9">
        <f>B1045-B1044</f>
        <v>0.67000000000000171</v>
      </c>
      <c r="E1045" s="9">
        <f>C1045-C1044</f>
        <v>0.83000000000001251</v>
      </c>
      <c r="F1045" s="3">
        <f>F$1/B1045</f>
        <v>1087.0746820306556</v>
      </c>
      <c r="G1045" s="3">
        <f>F$1/C1045</f>
        <v>983.76783079193308</v>
      </c>
      <c r="H1045" s="2">
        <f>D1045*F1044</f>
        <v>733.68374945247672</v>
      </c>
      <c r="I1045" s="2">
        <f>E1045*G1044</f>
        <v>823.24935528666185</v>
      </c>
      <c r="J1045" s="2">
        <f>I1045-H1045</f>
        <v>89.565605834185135</v>
      </c>
      <c r="K1045" s="2">
        <f t="shared" si="136"/>
        <v>-89.565605834185135</v>
      </c>
      <c r="L1045" s="14">
        <f>C1045/B1045</f>
        <v>1.1050114142841614</v>
      </c>
      <c r="M1045" s="14">
        <f t="shared" si="139"/>
        <v>1.103678876310485</v>
      </c>
      <c r="N1045" s="14">
        <f t="shared" si="134"/>
        <v>1.1019082059599075</v>
      </c>
      <c r="O1045" s="14">
        <f t="shared" si="135"/>
        <v>1.0950872211677234</v>
      </c>
      <c r="P1045" s="14">
        <f t="shared" si="137"/>
        <v>1.0922674875688292</v>
      </c>
      <c r="Q1045" s="4" t="str">
        <f t="shared" si="142"/>
        <v>OVER</v>
      </c>
      <c r="R1045" s="4" t="str">
        <f t="shared" si="142"/>
        <v>OVER</v>
      </c>
      <c r="S1045" s="4" t="str">
        <f t="shared" si="140"/>
        <v>OVER</v>
      </c>
      <c r="T1045" s="4" t="str">
        <f t="shared" si="140"/>
        <v>OVER</v>
      </c>
      <c r="U1045" s="2">
        <f>IF(Q1045="OVER",$J1045,$K1045)</f>
        <v>89.565605834185135</v>
      </c>
      <c r="V1045" s="2">
        <f>IF(R1045="OVER",$J1045,$K1045)</f>
        <v>89.565605834185135</v>
      </c>
      <c r="W1045" s="2">
        <f>IF(S1045="OVER",$J1045,$K1045)</f>
        <v>89.565605834185135</v>
      </c>
      <c r="X1045" s="2">
        <f>IF(T1045="OVER",$J1045,$K1045)</f>
        <v>89.565605834185135</v>
      </c>
      <c r="Y1045" s="9">
        <f t="shared" si="141"/>
        <v>-41798.137097772502</v>
      </c>
      <c r="Z1045" s="9">
        <f t="shared" si="141"/>
        <v>-40943.082861037794</v>
      </c>
      <c r="AA1045" s="9">
        <f t="shared" si="141"/>
        <v>59374.892847133597</v>
      </c>
      <c r="AB1045" s="9">
        <f t="shared" si="138"/>
        <v>27812.399739982888</v>
      </c>
    </row>
    <row r="1046" spans="1:28" x14ac:dyDescent="0.3">
      <c r="A1046" s="1">
        <v>45933</v>
      </c>
      <c r="B1046" s="2">
        <v>92.12</v>
      </c>
      <c r="C1046" s="2">
        <v>101.79</v>
      </c>
      <c r="D1046" s="9">
        <f>B1046-B1045</f>
        <v>0.13000000000000966</v>
      </c>
      <c r="E1046" s="9">
        <f>C1046-C1045</f>
        <v>0.14000000000000057</v>
      </c>
      <c r="F1046" s="3">
        <f>F$1/B1046</f>
        <v>1085.5405992184108</v>
      </c>
      <c r="G1046" s="3">
        <f>F$1/C1046</f>
        <v>982.41477551822368</v>
      </c>
      <c r="H1046" s="2">
        <f>D1046*F1045</f>
        <v>141.31970866399573</v>
      </c>
      <c r="I1046" s="2">
        <f>E1046*G1045</f>
        <v>137.7274963108712</v>
      </c>
      <c r="J1046" s="2">
        <f>I1046-H1046</f>
        <v>-3.5922123531245234</v>
      </c>
      <c r="K1046" s="2">
        <f t="shared" si="136"/>
        <v>3.5922123531245234</v>
      </c>
      <c r="L1046" s="14">
        <f>C1046/B1046</f>
        <v>1.1049717759444204</v>
      </c>
      <c r="M1046" s="14">
        <f t="shared" si="139"/>
        <v>1.1039891276799521</v>
      </c>
      <c r="N1046" s="14">
        <f t="shared" si="134"/>
        <v>1.1022642346831915</v>
      </c>
      <c r="O1046" s="14">
        <f t="shared" si="135"/>
        <v>1.0954162263899767</v>
      </c>
      <c r="P1046" s="14">
        <f t="shared" si="137"/>
        <v>1.0923423464485511</v>
      </c>
      <c r="Q1046" s="4" t="str">
        <f t="shared" si="142"/>
        <v>OVER</v>
      </c>
      <c r="R1046" s="4" t="str">
        <f t="shared" si="142"/>
        <v>OVER</v>
      </c>
      <c r="S1046" s="4" t="str">
        <f t="shared" si="140"/>
        <v>OVER</v>
      </c>
      <c r="T1046" s="4" t="str">
        <f t="shared" si="140"/>
        <v>OVER</v>
      </c>
      <c r="U1046" s="2">
        <f>IF(Q1046="OVER",$J1046,$K1046)</f>
        <v>-3.5922123531245234</v>
      </c>
      <c r="V1046" s="2">
        <f>IF(R1046="OVER",$J1046,$K1046)</f>
        <v>-3.5922123531245234</v>
      </c>
      <c r="W1046" s="2">
        <f>IF(S1046="OVER",$J1046,$K1046)</f>
        <v>-3.5922123531245234</v>
      </c>
      <c r="X1046" s="2">
        <f>IF(T1046="OVER",$J1046,$K1046)</f>
        <v>-3.5922123531245234</v>
      </c>
      <c r="Y1046" s="9">
        <f t="shared" si="141"/>
        <v>-41801.729310125629</v>
      </c>
      <c r="Z1046" s="9">
        <f t="shared" si="141"/>
        <v>-40946.675073390921</v>
      </c>
      <c r="AA1046" s="9">
        <f t="shared" si="141"/>
        <v>59371.300634780469</v>
      </c>
      <c r="AB1046" s="9">
        <f t="shared" si="138"/>
        <v>27808.807527629764</v>
      </c>
    </row>
    <row r="1047" spans="1:28" x14ac:dyDescent="0.3">
      <c r="A1047" s="1">
        <v>45936</v>
      </c>
      <c r="B1047" s="2">
        <v>92.77</v>
      </c>
      <c r="C1047" s="2">
        <v>102.38</v>
      </c>
      <c r="D1047" s="9">
        <f>B1047-B1046</f>
        <v>0.64999999999999147</v>
      </c>
      <c r="E1047" s="9">
        <f>C1047-C1046</f>
        <v>0.5899999999999892</v>
      </c>
      <c r="F1047" s="3">
        <f>F$1/B1047</f>
        <v>1077.9346771585642</v>
      </c>
      <c r="G1047" s="3">
        <f>F$1/C1047</f>
        <v>976.75327212346167</v>
      </c>
      <c r="H1047" s="2">
        <f>D1047*F1046</f>
        <v>705.60138949195778</v>
      </c>
      <c r="I1047" s="2">
        <f>E1047*G1046</f>
        <v>579.62471755574131</v>
      </c>
      <c r="J1047" s="2">
        <f>I1047-H1047</f>
        <v>-125.97667193621646</v>
      </c>
      <c r="K1047" s="2">
        <f t="shared" si="136"/>
        <v>125.97667193621646</v>
      </c>
      <c r="L1047" s="14">
        <f>C1047/B1047</f>
        <v>1.1035895224749379</v>
      </c>
      <c r="M1047" s="14">
        <f t="shared" si="139"/>
        <v>1.1039922354854492</v>
      </c>
      <c r="N1047" s="14">
        <f t="shared" ref="N1047:N1110" si="143">AVERAGE(L1028:L1047)</f>
        <v>1.1024713669489066</v>
      </c>
      <c r="O1047" s="14">
        <f t="shared" si="135"/>
        <v>1.0957211744258846</v>
      </c>
      <c r="P1047" s="14">
        <f t="shared" si="137"/>
        <v>1.0924088837887249</v>
      </c>
      <c r="Q1047" s="4" t="str">
        <f t="shared" si="142"/>
        <v>OVER</v>
      </c>
      <c r="R1047" s="4" t="str">
        <f t="shared" si="142"/>
        <v>OVER</v>
      </c>
      <c r="S1047" s="4" t="str">
        <f t="shared" si="140"/>
        <v>OVER</v>
      </c>
      <c r="T1047" s="4" t="str">
        <f t="shared" si="140"/>
        <v>OVER</v>
      </c>
      <c r="U1047" s="2">
        <f>IF(Q1047="OVER",$J1047,$K1047)</f>
        <v>-125.97667193621646</v>
      </c>
      <c r="V1047" s="2">
        <f>IF(R1047="OVER",$J1047,$K1047)</f>
        <v>-125.97667193621646</v>
      </c>
      <c r="W1047" s="2">
        <f>IF(S1047="OVER",$J1047,$K1047)</f>
        <v>-125.97667193621646</v>
      </c>
      <c r="X1047" s="2">
        <f>IF(T1047="OVER",$J1047,$K1047)</f>
        <v>-125.97667193621646</v>
      </c>
      <c r="Y1047" s="9">
        <f t="shared" si="141"/>
        <v>-41927.705982061845</v>
      </c>
      <c r="Z1047" s="9">
        <f t="shared" si="141"/>
        <v>-41072.651745327137</v>
      </c>
      <c r="AA1047" s="9">
        <f t="shared" si="141"/>
        <v>59245.323962844253</v>
      </c>
      <c r="AB1047" s="9">
        <f t="shared" si="138"/>
        <v>27682.830855693548</v>
      </c>
    </row>
    <row r="1048" spans="1:28" x14ac:dyDescent="0.3">
      <c r="A1048" s="1">
        <v>45937</v>
      </c>
      <c r="B1048" s="2">
        <v>91.96</v>
      </c>
      <c r="C1048" s="2">
        <v>101.78</v>
      </c>
      <c r="D1048" s="9">
        <f>B1048-B1047</f>
        <v>-0.81000000000000227</v>
      </c>
      <c r="E1048" s="9">
        <f>C1048-C1047</f>
        <v>-0.59999999999999432</v>
      </c>
      <c r="F1048" s="3">
        <f>F$1/B1048</f>
        <v>1087.429317094389</v>
      </c>
      <c r="G1048" s="3">
        <f>F$1/C1048</f>
        <v>982.51129887993716</v>
      </c>
      <c r="H1048" s="2">
        <f>D1048*F1047</f>
        <v>-873.12708849843943</v>
      </c>
      <c r="I1048" s="2">
        <f>E1048*G1047</f>
        <v>-586.05196327407145</v>
      </c>
      <c r="J1048" s="2">
        <f>I1048-H1048</f>
        <v>287.07512522436798</v>
      </c>
      <c r="K1048" s="2">
        <f t="shared" si="136"/>
        <v>-287.07512522436798</v>
      </c>
      <c r="L1048" s="14">
        <f>C1048/B1048</f>
        <v>1.106785558938669</v>
      </c>
      <c r="M1048" s="14">
        <f t="shared" si="139"/>
        <v>1.1044759718088049</v>
      </c>
      <c r="N1048" s="14">
        <f t="shared" si="143"/>
        <v>1.1029129423012576</v>
      </c>
      <c r="O1048" s="14">
        <f t="shared" si="135"/>
        <v>1.0960543004107683</v>
      </c>
      <c r="P1048" s="14">
        <f t="shared" si="137"/>
        <v>1.0924921492087742</v>
      </c>
      <c r="Q1048" s="4" t="str">
        <f t="shared" si="142"/>
        <v>UNDER</v>
      </c>
      <c r="R1048" s="4" t="str">
        <f t="shared" si="142"/>
        <v>OVER</v>
      </c>
      <c r="S1048" s="4" t="str">
        <f t="shared" si="140"/>
        <v>OVER</v>
      </c>
      <c r="T1048" s="4" t="str">
        <f t="shared" si="140"/>
        <v>OVER</v>
      </c>
      <c r="U1048" s="2">
        <f>IF(Q1048="OVER",$J1048,$K1048)</f>
        <v>-287.07512522436798</v>
      </c>
      <c r="V1048" s="2">
        <f>IF(R1048="OVER",$J1048,$K1048)</f>
        <v>287.07512522436798</v>
      </c>
      <c r="W1048" s="2">
        <f>IF(S1048="OVER",$J1048,$K1048)</f>
        <v>287.07512522436798</v>
      </c>
      <c r="X1048" s="2">
        <f>IF(T1048="OVER",$J1048,$K1048)</f>
        <v>287.07512522436798</v>
      </c>
      <c r="Y1048" s="9">
        <f t="shared" si="141"/>
        <v>-42214.78110728621</v>
      </c>
      <c r="Z1048" s="9">
        <f t="shared" si="141"/>
        <v>-40785.576620102773</v>
      </c>
      <c r="AA1048" s="9">
        <f t="shared" si="141"/>
        <v>59532.399088068618</v>
      </c>
      <c r="AB1048" s="9">
        <f t="shared" si="138"/>
        <v>27969.905980917916</v>
      </c>
    </row>
    <row r="1049" spans="1:28" x14ac:dyDescent="0.3">
      <c r="A1049" s="1">
        <v>45938</v>
      </c>
      <c r="B1049" s="2">
        <v>92.73</v>
      </c>
      <c r="C1049" s="2">
        <v>102.27</v>
      </c>
      <c r="D1049" s="9">
        <f>B1049-B1048</f>
        <v>0.77000000000001023</v>
      </c>
      <c r="E1049" s="9">
        <f>C1049-C1048</f>
        <v>0.48999999999999488</v>
      </c>
      <c r="F1049" s="3">
        <f>F$1/B1049</f>
        <v>1078.3996549121105</v>
      </c>
      <c r="G1049" s="3">
        <f>F$1/C1049</f>
        <v>977.80385254717908</v>
      </c>
      <c r="H1049" s="2">
        <f>D1049*F1048</f>
        <v>837.32057416269072</v>
      </c>
      <c r="I1049" s="2">
        <f>E1049*G1048</f>
        <v>481.43053645116419</v>
      </c>
      <c r="J1049" s="2">
        <f>I1049-H1049</f>
        <v>-355.89003771152653</v>
      </c>
      <c r="K1049" s="2">
        <f t="shared" si="136"/>
        <v>355.89003771152653</v>
      </c>
      <c r="L1049" s="14">
        <f>C1049/B1049</f>
        <v>1.1028793270786152</v>
      </c>
      <c r="M1049" s="14">
        <f t="shared" si="139"/>
        <v>1.1043539500671606</v>
      </c>
      <c r="N1049" s="14">
        <f t="shared" si="143"/>
        <v>1.10310370162483</v>
      </c>
      <c r="O1049" s="14">
        <f t="shared" si="135"/>
        <v>1.0962861804370279</v>
      </c>
      <c r="P1049" s="14">
        <f t="shared" si="137"/>
        <v>1.092560071973036</v>
      </c>
      <c r="Q1049" s="4" t="str">
        <f t="shared" si="142"/>
        <v>OVER</v>
      </c>
      <c r="R1049" s="4" t="str">
        <f t="shared" si="142"/>
        <v>OVER</v>
      </c>
      <c r="S1049" s="4" t="str">
        <f t="shared" si="140"/>
        <v>OVER</v>
      </c>
      <c r="T1049" s="4" t="str">
        <f t="shared" si="140"/>
        <v>OVER</v>
      </c>
      <c r="U1049" s="2">
        <f>IF(Q1049="OVER",$J1049,$K1049)</f>
        <v>-355.89003771152653</v>
      </c>
      <c r="V1049" s="2">
        <f>IF(R1049="OVER",$J1049,$K1049)</f>
        <v>-355.89003771152653</v>
      </c>
      <c r="W1049" s="2">
        <f>IF(S1049="OVER",$J1049,$K1049)</f>
        <v>-355.89003771152653</v>
      </c>
      <c r="X1049" s="2">
        <f>IF(T1049="OVER",$J1049,$K1049)</f>
        <v>-355.89003771152653</v>
      </c>
      <c r="Y1049" s="9">
        <f t="shared" si="141"/>
        <v>-42570.671144997737</v>
      </c>
      <c r="Z1049" s="9">
        <f t="shared" si="141"/>
        <v>-41141.466657814301</v>
      </c>
      <c r="AA1049" s="9">
        <f t="shared" si="141"/>
        <v>59176.50905035709</v>
      </c>
      <c r="AB1049" s="9">
        <f t="shared" si="138"/>
        <v>27614.015943206388</v>
      </c>
    </row>
    <row r="1050" spans="1:28" x14ac:dyDescent="0.3">
      <c r="A1050" s="1">
        <v>45939</v>
      </c>
      <c r="B1050" s="2">
        <v>92.61</v>
      </c>
      <c r="C1050" s="2">
        <v>102.25</v>
      </c>
      <c r="D1050" s="9">
        <f>B1050-B1049</f>
        <v>-0.12000000000000455</v>
      </c>
      <c r="E1050" s="9">
        <f>C1050-C1049</f>
        <v>-1.9999999999996021E-2</v>
      </c>
      <c r="F1050" s="3">
        <f>F$1/B1050</f>
        <v>1079.796998164345</v>
      </c>
      <c r="G1050" s="3">
        <f>F$1/C1050</f>
        <v>977.9951100244499</v>
      </c>
      <c r="H1050" s="2">
        <f>D1050*F1049</f>
        <v>-129.40795858945816</v>
      </c>
      <c r="I1050" s="2">
        <f>E1050*G1049</f>
        <v>-19.556077050939692</v>
      </c>
      <c r="J1050" s="2">
        <f>I1050-H1050</f>
        <v>109.85188153851847</v>
      </c>
      <c r="K1050" s="2">
        <f t="shared" si="136"/>
        <v>-109.85188153851847</v>
      </c>
      <c r="L1050" s="14">
        <f>C1050/B1050</f>
        <v>1.1040924306230429</v>
      </c>
      <c r="M1050" s="14">
        <f t="shared" si="139"/>
        <v>1.1044630034184952</v>
      </c>
      <c r="N1050" s="14">
        <f t="shared" si="143"/>
        <v>1.1032285630021188</v>
      </c>
      <c r="O1050" s="14">
        <f t="shared" si="135"/>
        <v>1.096579621886435</v>
      </c>
      <c r="P1050" s="14">
        <f t="shared" si="137"/>
        <v>1.0926110836330043</v>
      </c>
      <c r="Q1050" s="4" t="str">
        <f t="shared" si="142"/>
        <v>UNDER</v>
      </c>
      <c r="R1050" s="4" t="str">
        <f t="shared" si="142"/>
        <v>UNDER</v>
      </c>
      <c r="S1050" s="4" t="str">
        <f t="shared" si="140"/>
        <v>OVER</v>
      </c>
      <c r="T1050" s="4" t="str">
        <f t="shared" si="140"/>
        <v>OVER</v>
      </c>
      <c r="U1050" s="2">
        <f>IF(Q1050="OVER",$J1050,$K1050)</f>
        <v>-109.85188153851847</v>
      </c>
      <c r="V1050" s="2">
        <f>IF(R1050="OVER",$J1050,$K1050)</f>
        <v>-109.85188153851847</v>
      </c>
      <c r="W1050" s="2">
        <f>IF(S1050="OVER",$J1050,$K1050)</f>
        <v>109.85188153851847</v>
      </c>
      <c r="X1050" s="2">
        <f>IF(T1050="OVER",$J1050,$K1050)</f>
        <v>109.85188153851847</v>
      </c>
      <c r="Y1050" s="9">
        <f t="shared" si="141"/>
        <v>-42680.523026536255</v>
      </c>
      <c r="Z1050" s="9">
        <f t="shared" si="141"/>
        <v>-41251.318539352818</v>
      </c>
      <c r="AA1050" s="9">
        <f t="shared" si="141"/>
        <v>59286.360931895608</v>
      </c>
      <c r="AB1050" s="9">
        <f t="shared" si="138"/>
        <v>27723.867824744906</v>
      </c>
    </row>
    <row r="1051" spans="1:28" x14ac:dyDescent="0.3">
      <c r="A1051" s="1">
        <v>45940</v>
      </c>
      <c r="B1051" s="2">
        <v>90.9</v>
      </c>
      <c r="C1051" s="2">
        <v>100.38</v>
      </c>
      <c r="D1051" s="9">
        <f>B1051-B1050</f>
        <v>-1.7099999999999937</v>
      </c>
      <c r="E1051" s="9">
        <f>C1051-C1050</f>
        <v>-1.8700000000000045</v>
      </c>
      <c r="F1051" s="3">
        <f>F$1/B1051</f>
        <v>1100.1100110011</v>
      </c>
      <c r="G1051" s="3">
        <f>F$1/C1051</f>
        <v>996.21438533572427</v>
      </c>
      <c r="H1051" s="2">
        <f>D1051*F1050</f>
        <v>-1846.4528668610233</v>
      </c>
      <c r="I1051" s="2">
        <f>E1051*G1050</f>
        <v>-1828.8508557457258</v>
      </c>
      <c r="J1051" s="2">
        <f>I1051-H1051</f>
        <v>17.602011115297501</v>
      </c>
      <c r="K1051" s="2">
        <f t="shared" si="136"/>
        <v>-17.602011115297501</v>
      </c>
      <c r="L1051" s="14">
        <f>C1051/B1051</f>
        <v>1.1042904290429041</v>
      </c>
      <c r="M1051" s="14">
        <f t="shared" si="139"/>
        <v>1.1045961222580174</v>
      </c>
      <c r="N1051" s="14">
        <f t="shared" si="143"/>
        <v>1.1034391265214356</v>
      </c>
      <c r="O1051" s="14">
        <f t="shared" si="135"/>
        <v>1.096854314122498</v>
      </c>
      <c r="P1051" s="14">
        <f t="shared" si="137"/>
        <v>1.092677299612586</v>
      </c>
      <c r="Q1051" s="4" t="str">
        <f t="shared" si="142"/>
        <v>UNDER</v>
      </c>
      <c r="R1051" s="4" t="str">
        <f t="shared" si="142"/>
        <v>OVER</v>
      </c>
      <c r="S1051" s="4" t="str">
        <f t="shared" si="140"/>
        <v>OVER</v>
      </c>
      <c r="T1051" s="4" t="str">
        <f t="shared" si="140"/>
        <v>OVER</v>
      </c>
      <c r="U1051" s="2">
        <f>IF(Q1051="OVER",$J1051,$K1051)</f>
        <v>-17.602011115297501</v>
      </c>
      <c r="V1051" s="2">
        <f>IF(R1051="OVER",$J1051,$K1051)</f>
        <v>17.602011115297501</v>
      </c>
      <c r="W1051" s="2">
        <f>IF(S1051="OVER",$J1051,$K1051)</f>
        <v>17.602011115297501</v>
      </c>
      <c r="X1051" s="2">
        <f>IF(T1051="OVER",$J1051,$K1051)</f>
        <v>17.602011115297501</v>
      </c>
      <c r="Y1051" s="9">
        <f t="shared" si="141"/>
        <v>-42698.125037651553</v>
      </c>
      <c r="Z1051" s="9">
        <f t="shared" si="141"/>
        <v>-41233.716528237521</v>
      </c>
      <c r="AA1051" s="9">
        <f t="shared" si="141"/>
        <v>59303.962943010905</v>
      </c>
      <c r="AB1051" s="9">
        <f t="shared" si="138"/>
        <v>27741.469835860204</v>
      </c>
    </row>
    <row r="1052" spans="1:28" x14ac:dyDescent="0.3">
      <c r="A1052" s="1">
        <v>45943</v>
      </c>
      <c r="B1052" s="2">
        <v>92.9</v>
      </c>
      <c r="C1052" s="2">
        <v>102.41</v>
      </c>
      <c r="D1052" s="9">
        <f>B1052-B1051</f>
        <v>2</v>
      </c>
      <c r="E1052" s="9">
        <f>C1052-C1051</f>
        <v>2.0300000000000011</v>
      </c>
      <c r="F1052" s="3">
        <f>F$1/B1052</f>
        <v>1076.426264800861</v>
      </c>
      <c r="G1052" s="3">
        <f>F$1/C1052</f>
        <v>976.46714188067574</v>
      </c>
      <c r="H1052" s="2">
        <f>D1052*F1051</f>
        <v>2200.2200220022</v>
      </c>
      <c r="I1052" s="2">
        <f>E1052*G1051</f>
        <v>2022.3152022315214</v>
      </c>
      <c r="J1052" s="2">
        <f>I1052-H1052</f>
        <v>-177.90481977067861</v>
      </c>
      <c r="K1052" s="2">
        <f t="shared" si="136"/>
        <v>177.90481977067861</v>
      </c>
      <c r="L1052" s="14">
        <f>C1052/B1052</f>
        <v>1.1023681377825618</v>
      </c>
      <c r="M1052" s="14">
        <f t="shared" si="139"/>
        <v>1.1043543243417893</v>
      </c>
      <c r="N1052" s="14">
        <f t="shared" si="143"/>
        <v>1.1035272167700969</v>
      </c>
      <c r="O1052" s="14">
        <f t="shared" si="135"/>
        <v>1.0971025835829928</v>
      </c>
      <c r="P1052" s="14">
        <f t="shared" si="137"/>
        <v>1.0927338443909069</v>
      </c>
      <c r="Q1052" s="4" t="str">
        <f t="shared" si="142"/>
        <v>UNDER</v>
      </c>
      <c r="R1052" s="4" t="str">
        <f t="shared" si="142"/>
        <v>OVER</v>
      </c>
      <c r="S1052" s="4" t="str">
        <f t="shared" si="140"/>
        <v>OVER</v>
      </c>
      <c r="T1052" s="4" t="str">
        <f t="shared" si="140"/>
        <v>OVER</v>
      </c>
      <c r="U1052" s="2">
        <f>IF(Q1052="OVER",$J1052,$K1052)</f>
        <v>177.90481977067861</v>
      </c>
      <c r="V1052" s="2">
        <f>IF(R1052="OVER",$J1052,$K1052)</f>
        <v>-177.90481977067861</v>
      </c>
      <c r="W1052" s="2">
        <f>IF(S1052="OVER",$J1052,$K1052)</f>
        <v>-177.90481977067861</v>
      </c>
      <c r="X1052" s="2">
        <f>IF(T1052="OVER",$J1052,$K1052)</f>
        <v>-177.90481977067861</v>
      </c>
      <c r="Y1052" s="9">
        <f t="shared" si="141"/>
        <v>-42520.220217880873</v>
      </c>
      <c r="Z1052" s="9">
        <f t="shared" si="141"/>
        <v>-41411.621348008201</v>
      </c>
      <c r="AA1052" s="9">
        <f t="shared" si="141"/>
        <v>59126.058123240226</v>
      </c>
      <c r="AB1052" s="9">
        <f t="shared" si="138"/>
        <v>27563.565016089524</v>
      </c>
    </row>
    <row r="1053" spans="1:28" x14ac:dyDescent="0.3">
      <c r="A1053" s="1">
        <v>45944</v>
      </c>
      <c r="B1053" s="2">
        <v>92.91</v>
      </c>
      <c r="C1053" s="2">
        <v>102.78</v>
      </c>
      <c r="D1053" s="9">
        <f>B1053-B1052</f>
        <v>9.9999999999909051E-3</v>
      </c>
      <c r="E1053" s="9">
        <f>C1053-C1052</f>
        <v>0.37000000000000455</v>
      </c>
      <c r="F1053" s="3">
        <f>F$1/B1053</f>
        <v>1076.3104079216446</v>
      </c>
      <c r="G1053" s="3">
        <f>F$1/C1053</f>
        <v>972.95193617435302</v>
      </c>
      <c r="H1053" s="2">
        <f>D1053*F1052</f>
        <v>10.764262647998819</v>
      </c>
      <c r="I1053" s="2">
        <f>E1053*G1052</f>
        <v>361.29284249585447</v>
      </c>
      <c r="J1053" s="2">
        <f>I1053-H1053</f>
        <v>350.52857984785567</v>
      </c>
      <c r="K1053" s="2">
        <f t="shared" si="136"/>
        <v>-350.52857984785567</v>
      </c>
      <c r="L1053" s="14">
        <f>C1053/B1053</f>
        <v>1.1062318372618665</v>
      </c>
      <c r="M1053" s="14">
        <f t="shared" si="139"/>
        <v>1.1044250218801306</v>
      </c>
      <c r="N1053" s="14">
        <f t="shared" si="143"/>
        <v>1.1038326351008072</v>
      </c>
      <c r="O1053" s="14">
        <f t="shared" si="135"/>
        <v>1.0973823764304063</v>
      </c>
      <c r="P1053" s="14">
        <f t="shared" si="137"/>
        <v>1.0928160754561569</v>
      </c>
      <c r="Q1053" s="4" t="str">
        <f t="shared" si="142"/>
        <v>UNDER</v>
      </c>
      <c r="R1053" s="4" t="str">
        <f t="shared" si="142"/>
        <v>UNDER</v>
      </c>
      <c r="S1053" s="4" t="str">
        <f t="shared" si="140"/>
        <v>OVER</v>
      </c>
      <c r="T1053" s="4" t="str">
        <f t="shared" si="140"/>
        <v>OVER</v>
      </c>
      <c r="U1053" s="2">
        <f>IF(Q1053="OVER",$J1053,$K1053)</f>
        <v>-350.52857984785567</v>
      </c>
      <c r="V1053" s="2">
        <f>IF(R1053="OVER",$J1053,$K1053)</f>
        <v>-350.52857984785567</v>
      </c>
      <c r="W1053" s="2">
        <f>IF(S1053="OVER",$J1053,$K1053)</f>
        <v>350.52857984785567</v>
      </c>
      <c r="X1053" s="2">
        <f>IF(T1053="OVER",$J1053,$K1053)</f>
        <v>350.52857984785567</v>
      </c>
      <c r="Y1053" s="9">
        <f t="shared" si="141"/>
        <v>-42870.748797728731</v>
      </c>
      <c r="Z1053" s="9">
        <f t="shared" si="141"/>
        <v>-41762.149927856059</v>
      </c>
      <c r="AA1053" s="9">
        <f t="shared" si="141"/>
        <v>59476.586703088084</v>
      </c>
      <c r="AB1053" s="9">
        <f t="shared" si="138"/>
        <v>27914.093595937378</v>
      </c>
    </row>
    <row r="1054" spans="1:28" x14ac:dyDescent="0.3">
      <c r="A1054" s="1">
        <v>45945</v>
      </c>
      <c r="B1054" s="2">
        <v>93.42</v>
      </c>
      <c r="C1054" s="2">
        <v>103.43</v>
      </c>
      <c r="D1054" s="9">
        <f>B1054-B1053</f>
        <v>0.51000000000000512</v>
      </c>
      <c r="E1054" s="9">
        <f>C1054-C1053</f>
        <v>0.65000000000000568</v>
      </c>
      <c r="F1054" s="3">
        <f>F$1/B1054</f>
        <v>1070.4345964461572</v>
      </c>
      <c r="G1054" s="3">
        <f>F$1/C1054</f>
        <v>966.83747462051622</v>
      </c>
      <c r="H1054" s="2">
        <f>D1054*F1053</f>
        <v>548.91830804004428</v>
      </c>
      <c r="I1054" s="2">
        <f>E1054*G1053</f>
        <v>632.41875851333498</v>
      </c>
      <c r="J1054" s="2">
        <f>I1054-H1054</f>
        <v>83.500450473290698</v>
      </c>
      <c r="K1054" s="2">
        <f t="shared" si="136"/>
        <v>-83.500450473290698</v>
      </c>
      <c r="L1054" s="14">
        <f>C1054/B1054</f>
        <v>1.1071505031042603</v>
      </c>
      <c r="M1054" s="14">
        <f t="shared" si="139"/>
        <v>1.1047370936535441</v>
      </c>
      <c r="N1054" s="14">
        <f t="shared" si="143"/>
        <v>1.1040517538904482</v>
      </c>
      <c r="O1054" s="14">
        <f t="shared" si="135"/>
        <v>1.0977123754722282</v>
      </c>
      <c r="P1054" s="14">
        <f t="shared" si="137"/>
        <v>1.0929005439837627</v>
      </c>
      <c r="Q1054" s="4" t="str">
        <f t="shared" si="142"/>
        <v>OVER</v>
      </c>
      <c r="R1054" s="4" t="str">
        <f t="shared" si="142"/>
        <v>OVER</v>
      </c>
      <c r="S1054" s="4" t="str">
        <f t="shared" si="140"/>
        <v>OVER</v>
      </c>
      <c r="T1054" s="4" t="str">
        <f t="shared" si="140"/>
        <v>OVER</v>
      </c>
      <c r="U1054" s="2">
        <f>IF(Q1054="OVER",$J1054,$K1054)</f>
        <v>83.500450473290698</v>
      </c>
      <c r="V1054" s="2">
        <f>IF(R1054="OVER",$J1054,$K1054)</f>
        <v>83.500450473290698</v>
      </c>
      <c r="W1054" s="2">
        <f>IF(S1054="OVER",$J1054,$K1054)</f>
        <v>83.500450473290698</v>
      </c>
      <c r="X1054" s="2">
        <f>IF(T1054="OVER",$J1054,$K1054)</f>
        <v>83.500450473290698</v>
      </c>
      <c r="Y1054" s="9">
        <f t="shared" si="141"/>
        <v>-42787.248347255438</v>
      </c>
      <c r="Z1054" s="9">
        <f t="shared" si="141"/>
        <v>-41678.649477382765</v>
      </c>
      <c r="AA1054" s="9">
        <f t="shared" si="141"/>
        <v>59560.087153561377</v>
      </c>
      <c r="AB1054" s="9">
        <f t="shared" si="138"/>
        <v>27997.594046410668</v>
      </c>
    </row>
    <row r="1055" spans="1:28" x14ac:dyDescent="0.3">
      <c r="A1055" s="1">
        <v>45946</v>
      </c>
      <c r="B1055" s="2">
        <v>92.44</v>
      </c>
      <c r="C1055" s="2">
        <v>102.27</v>
      </c>
      <c r="D1055" s="9">
        <f>B1055-B1054</f>
        <v>-0.98000000000000398</v>
      </c>
      <c r="E1055" s="9">
        <f>C1055-C1054</f>
        <v>-1.1600000000000108</v>
      </c>
      <c r="F1055" s="3">
        <f>F$1/B1055</f>
        <v>1081.782778018174</v>
      </c>
      <c r="G1055" s="3">
        <f>F$1/C1055</f>
        <v>977.80385254717908</v>
      </c>
      <c r="H1055" s="2">
        <f>D1055*F1054</f>
        <v>-1049.0259045172384</v>
      </c>
      <c r="I1055" s="2">
        <f>E1055*G1054</f>
        <v>-1121.5314705598093</v>
      </c>
      <c r="J1055" s="2">
        <f>I1055-H1055</f>
        <v>-72.50556604257099</v>
      </c>
      <c r="K1055" s="2">
        <f t="shared" si="136"/>
        <v>72.50556604257099</v>
      </c>
      <c r="L1055" s="14">
        <f>C1055/B1055</f>
        <v>1.1063392470791864</v>
      </c>
      <c r="M1055" s="14">
        <f t="shared" si="139"/>
        <v>1.1048698769330463</v>
      </c>
      <c r="N1055" s="14">
        <f t="shared" si="143"/>
        <v>1.104274376621766</v>
      </c>
      <c r="O1055" s="14">
        <f t="shared" si="135"/>
        <v>1.0980425542669032</v>
      </c>
      <c r="P1055" s="14">
        <f t="shared" si="137"/>
        <v>1.0929813320520048</v>
      </c>
      <c r="Q1055" s="4" t="str">
        <f t="shared" si="142"/>
        <v>OVER</v>
      </c>
      <c r="R1055" s="4" t="str">
        <f t="shared" si="142"/>
        <v>OVER</v>
      </c>
      <c r="S1055" s="4" t="str">
        <f t="shared" si="140"/>
        <v>OVER</v>
      </c>
      <c r="T1055" s="4" t="str">
        <f t="shared" si="140"/>
        <v>OVER</v>
      </c>
      <c r="U1055" s="2">
        <f>IF(Q1055="OVER",$J1055,$K1055)</f>
        <v>-72.50556604257099</v>
      </c>
      <c r="V1055" s="2">
        <f>IF(R1055="OVER",$J1055,$K1055)</f>
        <v>-72.50556604257099</v>
      </c>
      <c r="W1055" s="2">
        <f>IF(S1055="OVER",$J1055,$K1055)</f>
        <v>-72.50556604257099</v>
      </c>
      <c r="X1055" s="2">
        <f>IF(T1055="OVER",$J1055,$K1055)</f>
        <v>-72.50556604257099</v>
      </c>
      <c r="Y1055" s="9">
        <f t="shared" si="141"/>
        <v>-42859.753913298009</v>
      </c>
      <c r="Z1055" s="9">
        <f t="shared" si="141"/>
        <v>-41751.155043425337</v>
      </c>
      <c r="AA1055" s="9">
        <f t="shared" si="141"/>
        <v>59487.581587518805</v>
      </c>
      <c r="AB1055" s="9">
        <f t="shared" si="138"/>
        <v>27925.088480368096</v>
      </c>
    </row>
    <row r="1056" spans="1:28" x14ac:dyDescent="0.3">
      <c r="A1056" s="1">
        <v>45947</v>
      </c>
      <c r="B1056" s="2">
        <v>92.06</v>
      </c>
      <c r="C1056" s="2">
        <v>101.81</v>
      </c>
      <c r="D1056" s="9">
        <f>B1056-B1055</f>
        <v>-0.37999999999999545</v>
      </c>
      <c r="E1056" s="9">
        <f>C1056-C1055</f>
        <v>-0.45999999999999375</v>
      </c>
      <c r="F1056" s="3">
        <f>F$1/B1056</f>
        <v>1086.2480990658266</v>
      </c>
      <c r="G1056" s="3">
        <f>F$1/C1056</f>
        <v>982.22178567920639</v>
      </c>
      <c r="H1056" s="2">
        <f>D1056*F1055</f>
        <v>-411.07745564690117</v>
      </c>
      <c r="I1056" s="2">
        <f>E1056*G1055</f>
        <v>-449.78977217169626</v>
      </c>
      <c r="J1056" s="2">
        <f>I1056-H1056</f>
        <v>-38.712316524795085</v>
      </c>
      <c r="K1056" s="2">
        <f t="shared" si="136"/>
        <v>38.712316524795085</v>
      </c>
      <c r="L1056" s="14">
        <f>C1056/B1056</f>
        <v>1.1059091896589182</v>
      </c>
      <c r="M1056" s="14">
        <f t="shared" si="139"/>
        <v>1.104963618304496</v>
      </c>
      <c r="N1056" s="14">
        <f t="shared" si="143"/>
        <v>1.1044763729922242</v>
      </c>
      <c r="O1056" s="14">
        <f t="shared" si="135"/>
        <v>1.0984129818012247</v>
      </c>
      <c r="P1056" s="14">
        <f t="shared" si="137"/>
        <v>1.0930676133207549</v>
      </c>
      <c r="Q1056" s="4" t="str">
        <f t="shared" si="142"/>
        <v>OVER</v>
      </c>
      <c r="R1056" s="4" t="str">
        <f t="shared" si="142"/>
        <v>OVER</v>
      </c>
      <c r="S1056" s="4" t="str">
        <f t="shared" si="140"/>
        <v>OVER</v>
      </c>
      <c r="T1056" s="4" t="str">
        <f t="shared" si="140"/>
        <v>OVER</v>
      </c>
      <c r="U1056" s="2">
        <f>IF(Q1056="OVER",$J1056,$K1056)</f>
        <v>-38.712316524795085</v>
      </c>
      <c r="V1056" s="2">
        <f>IF(R1056="OVER",$J1056,$K1056)</f>
        <v>-38.712316524795085</v>
      </c>
      <c r="W1056" s="2">
        <f>IF(S1056="OVER",$J1056,$K1056)</f>
        <v>-38.712316524795085</v>
      </c>
      <c r="X1056" s="2">
        <f>IF(T1056="OVER",$J1056,$K1056)</f>
        <v>-38.712316524795085</v>
      </c>
      <c r="Y1056" s="9">
        <f t="shared" si="141"/>
        <v>-42898.466229822807</v>
      </c>
      <c r="Z1056" s="9">
        <f t="shared" si="141"/>
        <v>-41789.867359950134</v>
      </c>
      <c r="AA1056" s="9">
        <f t="shared" si="141"/>
        <v>59448.869270994008</v>
      </c>
      <c r="AB1056" s="9">
        <f t="shared" si="138"/>
        <v>27886.376163843302</v>
      </c>
    </row>
    <row r="1057" spans="1:28" x14ac:dyDescent="0.3">
      <c r="A1057" s="1">
        <v>45950</v>
      </c>
      <c r="B1057" s="2">
        <v>92.8</v>
      </c>
      <c r="C1057" s="2">
        <v>102.59</v>
      </c>
      <c r="D1057" s="9">
        <f>B1057-B1056</f>
        <v>0.73999999999999488</v>
      </c>
      <c r="E1057" s="9">
        <f>C1057-C1056</f>
        <v>0.78000000000000114</v>
      </c>
      <c r="F1057" s="3">
        <f>F$1/B1057</f>
        <v>1077.5862068965519</v>
      </c>
      <c r="G1057" s="3">
        <f>F$1/C1057</f>
        <v>974.75387464665164</v>
      </c>
      <c r="H1057" s="2">
        <f>D1057*F1056</f>
        <v>803.82359330870611</v>
      </c>
      <c r="I1057" s="2">
        <f>E1057*G1056</f>
        <v>766.1329928297821</v>
      </c>
      <c r="J1057" s="2">
        <f>I1057-H1057</f>
        <v>-37.690600478924011</v>
      </c>
      <c r="K1057" s="2">
        <f t="shared" si="136"/>
        <v>37.690600478924011</v>
      </c>
      <c r="L1057" s="14">
        <f>C1057/B1057</f>
        <v>1.1054956896551724</v>
      </c>
      <c r="M1057" s="14">
        <f t="shared" si="139"/>
        <v>1.1051542350225199</v>
      </c>
      <c r="N1057" s="14">
        <f t="shared" si="143"/>
        <v>1.1045732352539843</v>
      </c>
      <c r="O1057" s="14">
        <f t="shared" si="135"/>
        <v>1.0987759432922806</v>
      </c>
      <c r="P1057" s="14">
        <f t="shared" si="137"/>
        <v>1.0931406046718424</v>
      </c>
      <c r="Q1057" s="4" t="str">
        <f t="shared" si="142"/>
        <v>OVER</v>
      </c>
      <c r="R1057" s="4" t="str">
        <f t="shared" si="142"/>
        <v>OVER</v>
      </c>
      <c r="S1057" s="4" t="str">
        <f t="shared" si="140"/>
        <v>OVER</v>
      </c>
      <c r="T1057" s="4" t="str">
        <f t="shared" si="140"/>
        <v>OVER</v>
      </c>
      <c r="U1057" s="2">
        <f>IF(Q1057="OVER",$J1057,$K1057)</f>
        <v>-37.690600478924011</v>
      </c>
      <c r="V1057" s="2">
        <f>IF(R1057="OVER",$J1057,$K1057)</f>
        <v>-37.690600478924011</v>
      </c>
      <c r="W1057" s="2">
        <f>IF(S1057="OVER",$J1057,$K1057)</f>
        <v>-37.690600478924011</v>
      </c>
      <c r="X1057" s="2">
        <f>IF(T1057="OVER",$J1057,$K1057)</f>
        <v>-37.690600478924011</v>
      </c>
      <c r="Y1057" s="9">
        <f t="shared" si="141"/>
        <v>-42936.156830301734</v>
      </c>
      <c r="Z1057" s="9">
        <f t="shared" si="141"/>
        <v>-41827.557960429061</v>
      </c>
      <c r="AA1057" s="9">
        <f t="shared" si="141"/>
        <v>59411.178670515081</v>
      </c>
      <c r="AB1057" s="9">
        <f t="shared" si="138"/>
        <v>27848.685563364379</v>
      </c>
    </row>
    <row r="1058" spans="1:28" x14ac:dyDescent="0.3">
      <c r="A1058" s="1">
        <v>45951</v>
      </c>
      <c r="B1058" s="2">
        <v>92.07</v>
      </c>
      <c r="C1058" s="2">
        <v>101.9</v>
      </c>
      <c r="D1058" s="9">
        <f>B1058-B1057</f>
        <v>-0.73000000000000398</v>
      </c>
      <c r="E1058" s="9">
        <f>C1058-C1057</f>
        <v>-0.68999999999999773</v>
      </c>
      <c r="F1058" s="3">
        <f>F$1/B1058</f>
        <v>1086.1301183881831</v>
      </c>
      <c r="G1058" s="3">
        <f>F$1/C1058</f>
        <v>981.35426889106964</v>
      </c>
      <c r="H1058" s="2">
        <f>D1058*F1057</f>
        <v>-786.63793103448711</v>
      </c>
      <c r="I1058" s="2">
        <f>E1058*G1057</f>
        <v>-672.58017350618741</v>
      </c>
      <c r="J1058" s="2">
        <f>I1058-H1058</f>
        <v>114.0577575282997</v>
      </c>
      <c r="K1058" s="2">
        <f t="shared" si="136"/>
        <v>-114.0577575282997</v>
      </c>
      <c r="L1058" s="14">
        <f>C1058/B1058</f>
        <v>1.1067665906375586</v>
      </c>
      <c r="M1058" s="14">
        <f t="shared" si="139"/>
        <v>1.1051523381924084</v>
      </c>
      <c r="N1058" s="14">
        <f t="shared" si="143"/>
        <v>1.1048141550006068</v>
      </c>
      <c r="O1058" s="14">
        <f t="shared" si="135"/>
        <v>1.0991305505016691</v>
      </c>
      <c r="P1058" s="14">
        <f t="shared" si="137"/>
        <v>1.0932244376250304</v>
      </c>
      <c r="Q1058" s="4" t="str">
        <f t="shared" si="142"/>
        <v>OVER</v>
      </c>
      <c r="R1058" s="4" t="str">
        <f t="shared" si="142"/>
        <v>OVER</v>
      </c>
      <c r="S1058" s="4" t="str">
        <f t="shared" si="140"/>
        <v>OVER</v>
      </c>
      <c r="T1058" s="4" t="str">
        <f t="shared" si="140"/>
        <v>OVER</v>
      </c>
      <c r="U1058" s="2">
        <f>IF(Q1058="OVER",$J1058,$K1058)</f>
        <v>114.0577575282997</v>
      </c>
      <c r="V1058" s="2">
        <f>IF(R1058="OVER",$J1058,$K1058)</f>
        <v>114.0577575282997</v>
      </c>
      <c r="W1058" s="2">
        <f>IF(S1058="OVER",$J1058,$K1058)</f>
        <v>114.0577575282997</v>
      </c>
      <c r="X1058" s="2">
        <f>IF(T1058="OVER",$J1058,$K1058)</f>
        <v>114.0577575282997</v>
      </c>
      <c r="Y1058" s="9">
        <f t="shared" si="141"/>
        <v>-42822.099072773432</v>
      </c>
      <c r="Z1058" s="9">
        <f t="shared" si="141"/>
        <v>-41713.500202900759</v>
      </c>
      <c r="AA1058" s="9">
        <f t="shared" si="141"/>
        <v>59525.236428043383</v>
      </c>
      <c r="AB1058" s="9">
        <f t="shared" si="138"/>
        <v>27962.743320892678</v>
      </c>
    </row>
    <row r="1059" spans="1:28" x14ac:dyDescent="0.3">
      <c r="A1059" s="1">
        <v>45952</v>
      </c>
      <c r="B1059" s="2">
        <v>90.84</v>
      </c>
      <c r="C1059" s="2">
        <v>100.4</v>
      </c>
      <c r="D1059" s="9">
        <f>B1059-B1058</f>
        <v>-1.2299999999999898</v>
      </c>
      <c r="E1059" s="9">
        <f>C1059-C1058</f>
        <v>-1.5</v>
      </c>
      <c r="F1059" s="3">
        <f>F$1/B1059</f>
        <v>1100.8366358432409</v>
      </c>
      <c r="G1059" s="3">
        <f>F$1/C1059</f>
        <v>996.01593625498003</v>
      </c>
      <c r="H1059" s="2">
        <f>D1059*F1058</f>
        <v>-1335.940045617454</v>
      </c>
      <c r="I1059" s="2">
        <f>E1059*G1058</f>
        <v>-1472.0314033366044</v>
      </c>
      <c r="J1059" s="2">
        <f>I1059-H1059</f>
        <v>-136.09135771915044</v>
      </c>
      <c r="K1059" s="2">
        <f t="shared" si="136"/>
        <v>136.09135771915044</v>
      </c>
      <c r="L1059" s="14">
        <f>C1059/B1059</f>
        <v>1.1052399823866139</v>
      </c>
      <c r="M1059" s="14">
        <f t="shared" si="139"/>
        <v>1.1053884037232085</v>
      </c>
      <c r="N1059" s="14">
        <f t="shared" si="143"/>
        <v>1.1048711768951844</v>
      </c>
      <c r="O1059" s="14">
        <f t="shared" si="135"/>
        <v>1.0994858191925534</v>
      </c>
      <c r="P1059" s="14">
        <f t="shared" si="137"/>
        <v>1.0932906274129441</v>
      </c>
      <c r="Q1059" s="4" t="str">
        <f t="shared" si="142"/>
        <v>OVER</v>
      </c>
      <c r="R1059" s="4" t="str">
        <f t="shared" si="142"/>
        <v>OVER</v>
      </c>
      <c r="S1059" s="4" t="str">
        <f t="shared" si="140"/>
        <v>OVER</v>
      </c>
      <c r="T1059" s="4" t="str">
        <f t="shared" si="140"/>
        <v>OVER</v>
      </c>
      <c r="U1059" s="2">
        <f>IF(Q1059="OVER",$J1059,$K1059)</f>
        <v>-136.09135771915044</v>
      </c>
      <c r="V1059" s="2">
        <f>IF(R1059="OVER",$J1059,$K1059)</f>
        <v>-136.09135771915044</v>
      </c>
      <c r="W1059" s="2">
        <f>IF(S1059="OVER",$J1059,$K1059)</f>
        <v>-136.09135771915044</v>
      </c>
      <c r="X1059" s="2">
        <f>IF(T1059="OVER",$J1059,$K1059)</f>
        <v>-136.09135771915044</v>
      </c>
      <c r="Y1059" s="9">
        <f t="shared" si="141"/>
        <v>-42958.190430492585</v>
      </c>
      <c r="Z1059" s="9">
        <f t="shared" si="141"/>
        <v>-41849.591560619912</v>
      </c>
      <c r="AA1059" s="9">
        <f t="shared" si="141"/>
        <v>59389.14507032423</v>
      </c>
      <c r="AB1059" s="9">
        <f t="shared" si="138"/>
        <v>27826.651963173528</v>
      </c>
    </row>
    <row r="1060" spans="1:28" x14ac:dyDescent="0.3">
      <c r="A1060" s="1">
        <v>45953</v>
      </c>
      <c r="B1060" s="2">
        <v>91.65</v>
      </c>
      <c r="C1060" s="2">
        <v>101.23</v>
      </c>
      <c r="D1060" s="9">
        <f>B1060-B1059</f>
        <v>0.81000000000000227</v>
      </c>
      <c r="E1060" s="9">
        <f>C1060-C1059</f>
        <v>0.82999999999999829</v>
      </c>
      <c r="F1060" s="3">
        <f>F$1/B1060</f>
        <v>1091.1074740861975</v>
      </c>
      <c r="G1060" s="3">
        <f>F$1/C1060</f>
        <v>987.84945174355425</v>
      </c>
      <c r="H1060" s="2">
        <f>D1060*F1059</f>
        <v>891.67767503302764</v>
      </c>
      <c r="I1060" s="2">
        <f>E1060*G1059</f>
        <v>826.69322709163168</v>
      </c>
      <c r="J1060" s="2">
        <f>I1060-H1060</f>
        <v>-64.984447941395956</v>
      </c>
      <c r="K1060" s="2">
        <f t="shared" si="136"/>
        <v>64.984447941395956</v>
      </c>
      <c r="L1060" s="14">
        <f>C1060/B1060</f>
        <v>1.1045280960174577</v>
      </c>
      <c r="M1060" s="14">
        <f t="shared" si="139"/>
        <v>1.1054319702626498</v>
      </c>
      <c r="N1060" s="14">
        <f t="shared" si="143"/>
        <v>1.1049474868405726</v>
      </c>
      <c r="O1060" s="14">
        <f t="shared" si="135"/>
        <v>1.0998229372651322</v>
      </c>
      <c r="P1060" s="14">
        <f t="shared" si="137"/>
        <v>1.0933549502770377</v>
      </c>
      <c r="Q1060" s="4" t="str">
        <f t="shared" si="142"/>
        <v>UNDER</v>
      </c>
      <c r="R1060" s="4" t="str">
        <f t="shared" si="142"/>
        <v>OVER</v>
      </c>
      <c r="S1060" s="4" t="str">
        <f t="shared" si="140"/>
        <v>OVER</v>
      </c>
      <c r="T1060" s="4" t="str">
        <f t="shared" si="140"/>
        <v>OVER</v>
      </c>
      <c r="U1060" s="2">
        <f>IF(Q1060="OVER",$J1060,$K1060)</f>
        <v>64.984447941395956</v>
      </c>
      <c r="V1060" s="2">
        <f>IF(R1060="OVER",$J1060,$K1060)</f>
        <v>-64.984447941395956</v>
      </c>
      <c r="W1060" s="2">
        <f>IF(S1060="OVER",$J1060,$K1060)</f>
        <v>-64.984447941395956</v>
      </c>
      <c r="X1060" s="2">
        <f>IF(T1060="OVER",$J1060,$K1060)</f>
        <v>-64.984447941395956</v>
      </c>
      <c r="Y1060" s="9">
        <f t="shared" si="141"/>
        <v>-42893.20598255119</v>
      </c>
      <c r="Z1060" s="9">
        <f t="shared" si="141"/>
        <v>-41914.576008561307</v>
      </c>
      <c r="AA1060" s="9">
        <f t="shared" si="141"/>
        <v>59324.160622382835</v>
      </c>
      <c r="AB1060" s="9">
        <f t="shared" si="138"/>
        <v>27761.667515232133</v>
      </c>
    </row>
    <row r="1061" spans="1:28" x14ac:dyDescent="0.3">
      <c r="A1061" s="1">
        <v>45954</v>
      </c>
      <c r="B1061" s="2">
        <v>92.83</v>
      </c>
      <c r="C1061" s="2">
        <v>102.73</v>
      </c>
      <c r="D1061" s="9">
        <f>B1061-B1060</f>
        <v>1.1799999999999926</v>
      </c>
      <c r="E1061" s="9">
        <f>C1061-C1060</f>
        <v>1.5</v>
      </c>
      <c r="F1061" s="3">
        <f>F$1/B1061</f>
        <v>1077.2379618657762</v>
      </c>
      <c r="G1061" s="3">
        <f>F$1/C1061</f>
        <v>973.42548427917836</v>
      </c>
      <c r="H1061" s="2">
        <f>D1061*F1060</f>
        <v>1287.5068194217049</v>
      </c>
      <c r="I1061" s="2">
        <f>E1061*G1060</f>
        <v>1481.7741776153314</v>
      </c>
      <c r="J1061" s="2">
        <f>I1061-H1061</f>
        <v>194.26735819362648</v>
      </c>
      <c r="K1061" s="2">
        <f t="shared" si="136"/>
        <v>-194.26735819362648</v>
      </c>
      <c r="L1061" s="14">
        <f>C1061/B1061</f>
        <v>1.1066465582247118</v>
      </c>
      <c r="M1061" s="14">
        <f t="shared" si="139"/>
        <v>1.1056675831808307</v>
      </c>
      <c r="N1061" s="14">
        <f t="shared" si="143"/>
        <v>1.105131852719424</v>
      </c>
      <c r="O1061" s="14">
        <f t="shared" si="135"/>
        <v>1.1002116414925736</v>
      </c>
      <c r="P1061" s="14">
        <f t="shared" si="137"/>
        <v>1.0934355995972966</v>
      </c>
      <c r="Q1061" s="4" t="str">
        <f t="shared" si="142"/>
        <v>UNDER</v>
      </c>
      <c r="R1061" s="4" t="str">
        <f t="shared" si="142"/>
        <v>UNDER</v>
      </c>
      <c r="S1061" s="4" t="str">
        <f t="shared" si="140"/>
        <v>OVER</v>
      </c>
      <c r="T1061" s="4" t="str">
        <f t="shared" si="140"/>
        <v>OVER</v>
      </c>
      <c r="U1061" s="2">
        <f>IF(Q1061="OVER",$J1061,$K1061)</f>
        <v>-194.26735819362648</v>
      </c>
      <c r="V1061" s="2">
        <f>IF(R1061="OVER",$J1061,$K1061)</f>
        <v>-194.26735819362648</v>
      </c>
      <c r="W1061" s="2">
        <f>IF(S1061="OVER",$J1061,$K1061)</f>
        <v>194.26735819362648</v>
      </c>
      <c r="X1061" s="2">
        <f>IF(T1061="OVER",$J1061,$K1061)</f>
        <v>194.26735819362648</v>
      </c>
      <c r="Y1061" s="9">
        <f t="shared" si="141"/>
        <v>-43087.473340744815</v>
      </c>
      <c r="Z1061" s="9">
        <f t="shared" si="141"/>
        <v>-42108.843366754933</v>
      </c>
      <c r="AA1061" s="9">
        <f t="shared" si="141"/>
        <v>59518.42798057646</v>
      </c>
      <c r="AB1061" s="9">
        <f t="shared" si="138"/>
        <v>27955.934873425758</v>
      </c>
    </row>
    <row r="1062" spans="1:28" x14ac:dyDescent="0.3">
      <c r="A1062" s="1">
        <v>45957</v>
      </c>
      <c r="B1062" s="2">
        <v>93.41</v>
      </c>
      <c r="C1062" s="2">
        <v>103.51</v>
      </c>
      <c r="D1062" s="9">
        <f>B1062-B1061</f>
        <v>0.57999999999999829</v>
      </c>
      <c r="E1062" s="9">
        <f>C1062-C1061</f>
        <v>0.78000000000000114</v>
      </c>
      <c r="F1062" s="3">
        <f>F$1/B1062</f>
        <v>1070.5491917353602</v>
      </c>
      <c r="G1062" s="3">
        <f>F$1/C1062</f>
        <v>966.09023282774604</v>
      </c>
      <c r="H1062" s="2">
        <f>D1062*F1061</f>
        <v>624.79801788214843</v>
      </c>
      <c r="I1062" s="2">
        <f>E1062*G1061</f>
        <v>759.27187773776018</v>
      </c>
      <c r="J1062" s="2">
        <f>I1062-H1062</f>
        <v>134.47385985561175</v>
      </c>
      <c r="K1062" s="2">
        <f t="shared" si="136"/>
        <v>-134.47385985561175</v>
      </c>
      <c r="L1062" s="14">
        <f>C1062/B1062</f>
        <v>1.1081254683652715</v>
      </c>
      <c r="M1062" s="14">
        <f t="shared" si="139"/>
        <v>1.1062433162391019</v>
      </c>
      <c r="N1062" s="14">
        <f t="shared" si="143"/>
        <v>1.1052988202904455</v>
      </c>
      <c r="O1062" s="14">
        <f t="shared" si="135"/>
        <v>1.1005964251308706</v>
      </c>
      <c r="P1062" s="14">
        <f t="shared" si="137"/>
        <v>1.0935238823927416</v>
      </c>
      <c r="Q1062" s="4" t="str">
        <f t="shared" si="142"/>
        <v>OVER</v>
      </c>
      <c r="R1062" s="4" t="str">
        <f t="shared" si="142"/>
        <v>OVER</v>
      </c>
      <c r="S1062" s="4" t="str">
        <f t="shared" si="140"/>
        <v>OVER</v>
      </c>
      <c r="T1062" s="4" t="str">
        <f t="shared" si="140"/>
        <v>OVER</v>
      </c>
      <c r="U1062" s="2">
        <f>IF(Q1062="OVER",$J1062,$K1062)</f>
        <v>134.47385985561175</v>
      </c>
      <c r="V1062" s="2">
        <f>IF(R1062="OVER",$J1062,$K1062)</f>
        <v>134.47385985561175</v>
      </c>
      <c r="W1062" s="2">
        <f>IF(S1062="OVER",$J1062,$K1062)</f>
        <v>134.47385985561175</v>
      </c>
      <c r="X1062" s="2">
        <f>IF(T1062="OVER",$J1062,$K1062)</f>
        <v>134.47385985561175</v>
      </c>
      <c r="Y1062" s="9">
        <f t="shared" si="141"/>
        <v>-42952.999480889201</v>
      </c>
      <c r="Z1062" s="9">
        <f t="shared" si="141"/>
        <v>-41974.369506899318</v>
      </c>
      <c r="AA1062" s="9">
        <f t="shared" si="141"/>
        <v>59652.901840432074</v>
      </c>
      <c r="AB1062" s="9">
        <f t="shared" si="138"/>
        <v>28090.408733281369</v>
      </c>
    </row>
    <row r="1063" spans="1:28" x14ac:dyDescent="0.3">
      <c r="A1063" s="1">
        <v>45958</v>
      </c>
      <c r="B1063" s="2">
        <v>93.18</v>
      </c>
      <c r="C1063" s="2">
        <v>103.19</v>
      </c>
      <c r="D1063" s="9">
        <f>B1063-B1062</f>
        <v>-0.22999999999998977</v>
      </c>
      <c r="E1063" s="9">
        <f>C1063-C1062</f>
        <v>-0.32000000000000739</v>
      </c>
      <c r="F1063" s="3">
        <f>F$1/B1063</f>
        <v>1073.1916720326249</v>
      </c>
      <c r="G1063" s="3">
        <f>F$1/C1063</f>
        <v>969.08615175889133</v>
      </c>
      <c r="H1063" s="2">
        <f>D1063*F1062</f>
        <v>-246.22631409912188</v>
      </c>
      <c r="I1063" s="2">
        <f>E1063*G1062</f>
        <v>-309.1488745048859</v>
      </c>
      <c r="J1063" s="2">
        <f>I1063-H1063</f>
        <v>-62.922560405764017</v>
      </c>
      <c r="K1063" s="2">
        <f t="shared" si="136"/>
        <v>62.922560405764017</v>
      </c>
      <c r="L1063" s="14">
        <f>C1063/B1063</f>
        <v>1.1074264863704657</v>
      </c>
      <c r="M1063" s="14">
        <f t="shared" si="139"/>
        <v>1.1063627811499619</v>
      </c>
      <c r="N1063" s="14">
        <f t="shared" si="143"/>
        <v>1.105393901515046</v>
      </c>
      <c r="O1063" s="14">
        <f t="shared" si="135"/>
        <v>1.1009713831793457</v>
      </c>
      <c r="P1063" s="14">
        <f t="shared" si="137"/>
        <v>1.0936082209902971</v>
      </c>
      <c r="Q1063" s="4" t="str">
        <f t="shared" si="142"/>
        <v>OVER</v>
      </c>
      <c r="R1063" s="4" t="str">
        <f t="shared" si="142"/>
        <v>OVER</v>
      </c>
      <c r="S1063" s="4" t="str">
        <f t="shared" si="140"/>
        <v>OVER</v>
      </c>
      <c r="T1063" s="4" t="str">
        <f t="shared" si="140"/>
        <v>OVER</v>
      </c>
      <c r="U1063" s="2">
        <f>IF(Q1063="OVER",$J1063,$K1063)</f>
        <v>-62.922560405764017</v>
      </c>
      <c r="V1063" s="2">
        <f>IF(R1063="OVER",$J1063,$K1063)</f>
        <v>-62.922560405764017</v>
      </c>
      <c r="W1063" s="2">
        <f>IF(S1063="OVER",$J1063,$K1063)</f>
        <v>-62.922560405764017</v>
      </c>
      <c r="X1063" s="2">
        <f>IF(T1063="OVER",$J1063,$K1063)</f>
        <v>-62.922560405764017</v>
      </c>
      <c r="Y1063" s="9">
        <f t="shared" si="141"/>
        <v>-43015.922041294965</v>
      </c>
      <c r="Z1063" s="9">
        <f t="shared" si="141"/>
        <v>-42037.292067305083</v>
      </c>
      <c r="AA1063" s="9">
        <f t="shared" si="141"/>
        <v>59589.979280026309</v>
      </c>
      <c r="AB1063" s="9">
        <f t="shared" si="138"/>
        <v>28027.486172875604</v>
      </c>
    </row>
    <row r="1064" spans="1:28" x14ac:dyDescent="0.3">
      <c r="A1064" s="1">
        <v>45959</v>
      </c>
      <c r="B1064" s="2">
        <v>93.64</v>
      </c>
      <c r="C1064" s="2">
        <v>103.73</v>
      </c>
      <c r="D1064" s="9">
        <f>B1064-B1063</f>
        <v>0.45999999999999375</v>
      </c>
      <c r="E1064" s="9">
        <f>C1064-C1063</f>
        <v>0.54000000000000625</v>
      </c>
      <c r="F1064" s="3">
        <f>F$1/B1064</f>
        <v>1067.9196924391285</v>
      </c>
      <c r="G1064" s="3">
        <f>F$1/C1064</f>
        <v>964.04126096596929</v>
      </c>
      <c r="H1064" s="2">
        <f>D1064*F1063</f>
        <v>493.66816913500071</v>
      </c>
      <c r="I1064" s="2">
        <f>E1064*G1063</f>
        <v>523.30652194980735</v>
      </c>
      <c r="J1064" s="2">
        <f>I1064-H1064</f>
        <v>29.638352814806638</v>
      </c>
      <c r="K1064" s="2">
        <f t="shared" si="136"/>
        <v>-29.638352814806638</v>
      </c>
      <c r="L1064" s="14">
        <f>C1064/B1064</f>
        <v>1.1077530969671081</v>
      </c>
      <c r="M1064" s="14">
        <f t="shared" si="139"/>
        <v>1.1064230405362465</v>
      </c>
      <c r="N1064" s="14">
        <f t="shared" si="143"/>
        <v>1.1055800670948952</v>
      </c>
      <c r="O1064" s="14">
        <f t="shared" si="135"/>
        <v>1.101324558326235</v>
      </c>
      <c r="P1064" s="14">
        <f t="shared" si="137"/>
        <v>1.0936917962752617</v>
      </c>
      <c r="Q1064" s="4" t="str">
        <f t="shared" si="142"/>
        <v>OVER</v>
      </c>
      <c r="R1064" s="4" t="str">
        <f t="shared" si="142"/>
        <v>OVER</v>
      </c>
      <c r="S1064" s="4" t="str">
        <f t="shared" si="140"/>
        <v>OVER</v>
      </c>
      <c r="T1064" s="4" t="str">
        <f t="shared" si="140"/>
        <v>OVER</v>
      </c>
      <c r="U1064" s="2">
        <f>IF(Q1064="OVER",$J1064,$K1064)</f>
        <v>29.638352814806638</v>
      </c>
      <c r="V1064" s="2">
        <f>IF(R1064="OVER",$J1064,$K1064)</f>
        <v>29.638352814806638</v>
      </c>
      <c r="W1064" s="2">
        <f>IF(S1064="OVER",$J1064,$K1064)</f>
        <v>29.638352814806638</v>
      </c>
      <c r="X1064" s="2">
        <f>IF(T1064="OVER",$J1064,$K1064)</f>
        <v>29.638352814806638</v>
      </c>
      <c r="Y1064" s="9">
        <f t="shared" si="141"/>
        <v>-42986.283688480158</v>
      </c>
      <c r="Z1064" s="9">
        <f t="shared" si="141"/>
        <v>-42007.653714490276</v>
      </c>
      <c r="AA1064" s="9">
        <f t="shared" si="141"/>
        <v>59619.617632841117</v>
      </c>
      <c r="AB1064" s="9">
        <f t="shared" si="138"/>
        <v>28057.124525690411</v>
      </c>
    </row>
    <row r="1065" spans="1:28" x14ac:dyDescent="0.3">
      <c r="A1065" s="1">
        <v>45960</v>
      </c>
      <c r="B1065" s="2">
        <v>92.52</v>
      </c>
      <c r="C1065" s="2">
        <v>102.68</v>
      </c>
      <c r="D1065" s="9">
        <f>B1065-B1064</f>
        <v>-1.1200000000000045</v>
      </c>
      <c r="E1065" s="9">
        <f>C1065-C1064</f>
        <v>-1.0499999999999972</v>
      </c>
      <c r="F1065" s="3">
        <f>F$1/B1065</f>
        <v>1080.84738434933</v>
      </c>
      <c r="G1065" s="3">
        <f>F$1/C1065</f>
        <v>973.89949357226328</v>
      </c>
      <c r="H1065" s="2">
        <f>D1065*F1064</f>
        <v>-1196.0700555318288</v>
      </c>
      <c r="I1065" s="2">
        <f>E1065*G1064</f>
        <v>-1012.243324014265</v>
      </c>
      <c r="J1065" s="2">
        <f>I1065-H1065</f>
        <v>183.82673151756376</v>
      </c>
      <c r="K1065" s="2">
        <f t="shared" si="136"/>
        <v>-183.82673151756376</v>
      </c>
      <c r="L1065" s="14">
        <f>C1065/B1065</f>
        <v>1.109814094249892</v>
      </c>
      <c r="M1065" s="14">
        <f t="shared" si="139"/>
        <v>1.1067705252533171</v>
      </c>
      <c r="N1065" s="14">
        <f t="shared" si="143"/>
        <v>1.1058202010931815</v>
      </c>
      <c r="O1065" s="14">
        <f t="shared" si="135"/>
        <v>1.1017131705947134</v>
      </c>
      <c r="P1065" s="14">
        <f t="shared" si="137"/>
        <v>1.0937824158616689</v>
      </c>
      <c r="Q1065" s="4" t="str">
        <f t="shared" si="142"/>
        <v>OVER</v>
      </c>
      <c r="R1065" s="4" t="str">
        <f t="shared" si="142"/>
        <v>OVER</v>
      </c>
      <c r="S1065" s="4" t="str">
        <f t="shared" si="140"/>
        <v>OVER</v>
      </c>
      <c r="T1065" s="4" t="str">
        <f t="shared" si="140"/>
        <v>OVER</v>
      </c>
      <c r="U1065" s="2">
        <f>IF(Q1065="OVER",$J1065,$K1065)</f>
        <v>183.82673151756376</v>
      </c>
      <c r="V1065" s="2">
        <f>IF(R1065="OVER",$J1065,$K1065)</f>
        <v>183.82673151756376</v>
      </c>
      <c r="W1065" s="2">
        <f>IF(S1065="OVER",$J1065,$K1065)</f>
        <v>183.82673151756376</v>
      </c>
      <c r="X1065" s="2">
        <f>IF(T1065="OVER",$J1065,$K1065)</f>
        <v>183.82673151756376</v>
      </c>
      <c r="Y1065" s="9">
        <f t="shared" si="141"/>
        <v>-42802.456956962596</v>
      </c>
      <c r="Z1065" s="9">
        <f t="shared" si="141"/>
        <v>-41823.826982972714</v>
      </c>
      <c r="AA1065" s="9">
        <f t="shared" si="141"/>
        <v>59803.444364358678</v>
      </c>
      <c r="AB1065" s="9">
        <f t="shared" si="138"/>
        <v>28240.951257207977</v>
      </c>
    </row>
    <row r="1066" spans="1:28" x14ac:dyDescent="0.3">
      <c r="A1066" s="1">
        <v>45961</v>
      </c>
      <c r="B1066" s="2">
        <v>93.16</v>
      </c>
      <c r="C1066" s="2">
        <v>103.3</v>
      </c>
      <c r="D1066" s="9">
        <f>B1066-B1065</f>
        <v>0.64000000000000057</v>
      </c>
      <c r="E1066" s="9">
        <f>C1066-C1065</f>
        <v>0.61999999999999034</v>
      </c>
      <c r="F1066" s="3">
        <f>F$1/B1066</f>
        <v>1073.4220695577501</v>
      </c>
      <c r="G1066" s="3">
        <f>F$1/C1066</f>
        <v>968.05421103581807</v>
      </c>
      <c r="H1066" s="2">
        <f>D1066*F1065</f>
        <v>691.74232598357185</v>
      </c>
      <c r="I1066" s="2">
        <f>E1066*G1065</f>
        <v>603.81768601479382</v>
      </c>
      <c r="J1066" s="2">
        <f>I1066-H1066</f>
        <v>-87.924639968778024</v>
      </c>
      <c r="K1066" s="2">
        <f t="shared" si="136"/>
        <v>87.924639968778024</v>
      </c>
      <c r="L1066" s="14">
        <f>C1066/B1066</f>
        <v>1.1088449978531558</v>
      </c>
      <c r="M1066" s="14">
        <f t="shared" si="139"/>
        <v>1.1070641060727409</v>
      </c>
      <c r="N1066" s="14">
        <f t="shared" si="143"/>
        <v>1.1060138621886182</v>
      </c>
      <c r="O1066" s="14">
        <f t="shared" si="135"/>
        <v>1.1020864822609362</v>
      </c>
      <c r="P1066" s="14">
        <f t="shared" si="137"/>
        <v>1.0938849424985899</v>
      </c>
      <c r="Q1066" s="4" t="str">
        <f t="shared" si="142"/>
        <v>OVER</v>
      </c>
      <c r="R1066" s="4" t="str">
        <f t="shared" si="142"/>
        <v>OVER</v>
      </c>
      <c r="S1066" s="4" t="str">
        <f t="shared" si="140"/>
        <v>OVER</v>
      </c>
      <c r="T1066" s="4" t="str">
        <f t="shared" si="140"/>
        <v>OVER</v>
      </c>
      <c r="U1066" s="2">
        <f>IF(Q1066="OVER",$J1066,$K1066)</f>
        <v>-87.924639968778024</v>
      </c>
      <c r="V1066" s="2">
        <f>IF(R1066="OVER",$J1066,$K1066)</f>
        <v>-87.924639968778024</v>
      </c>
      <c r="W1066" s="2">
        <f>IF(S1066="OVER",$J1066,$K1066)</f>
        <v>-87.924639968778024</v>
      </c>
      <c r="X1066" s="2">
        <f>IF(T1066="OVER",$J1066,$K1066)</f>
        <v>-87.924639968778024</v>
      </c>
      <c r="Y1066" s="9">
        <f t="shared" si="141"/>
        <v>-42890.381596931373</v>
      </c>
      <c r="Z1066" s="9">
        <f t="shared" si="141"/>
        <v>-41911.75162294149</v>
      </c>
      <c r="AA1066" s="9">
        <f t="shared" si="141"/>
        <v>59715.519724389902</v>
      </c>
      <c r="AB1066" s="9">
        <f t="shared" si="138"/>
        <v>28153.0266172392</v>
      </c>
    </row>
    <row r="1067" spans="1:28" x14ac:dyDescent="0.3">
      <c r="A1067" s="1">
        <v>45964</v>
      </c>
      <c r="B1067" s="2">
        <v>93.29</v>
      </c>
      <c r="C1067" s="2">
        <v>103.63</v>
      </c>
      <c r="D1067" s="9">
        <f>B1067-B1066</f>
        <v>0.13000000000000966</v>
      </c>
      <c r="E1067" s="9">
        <f>C1067-C1066</f>
        <v>0.32999999999999829</v>
      </c>
      <c r="F1067" s="3">
        <f>F$1/B1067</f>
        <v>1071.9262514738984</v>
      </c>
      <c r="G1067" s="3">
        <f>F$1/C1067</f>
        <v>964.97153333976655</v>
      </c>
      <c r="H1067" s="2">
        <f>D1067*F1066</f>
        <v>139.54486904251789</v>
      </c>
      <c r="I1067" s="2">
        <f>E1067*G1066</f>
        <v>319.45788964181833</v>
      </c>
      <c r="J1067" s="2">
        <f>I1067-H1067</f>
        <v>179.91302059930044</v>
      </c>
      <c r="K1067" s="2">
        <f t="shared" si="136"/>
        <v>-179.91302059930044</v>
      </c>
      <c r="L1067" s="14">
        <f>C1067/B1067</f>
        <v>1.110837174402401</v>
      </c>
      <c r="M1067" s="14">
        <f t="shared" si="139"/>
        <v>1.1075982545474639</v>
      </c>
      <c r="N1067" s="14">
        <f t="shared" si="143"/>
        <v>1.1063762447849916</v>
      </c>
      <c r="O1067" s="14">
        <f t="shared" si="135"/>
        <v>1.1024698148601986</v>
      </c>
      <c r="P1067" s="14">
        <f t="shared" si="137"/>
        <v>1.0939938148850463</v>
      </c>
      <c r="Q1067" s="4" t="str">
        <f t="shared" si="142"/>
        <v>OVER</v>
      </c>
      <c r="R1067" s="4" t="str">
        <f t="shared" si="142"/>
        <v>OVER</v>
      </c>
      <c r="S1067" s="4" t="str">
        <f t="shared" si="140"/>
        <v>OVER</v>
      </c>
      <c r="T1067" s="4" t="str">
        <f t="shared" si="140"/>
        <v>OVER</v>
      </c>
      <c r="U1067" s="2">
        <f>IF(Q1067="OVER",$J1067,$K1067)</f>
        <v>179.91302059930044</v>
      </c>
      <c r="V1067" s="2">
        <f>IF(R1067="OVER",$J1067,$K1067)</f>
        <v>179.91302059930044</v>
      </c>
      <c r="W1067" s="2">
        <f>IF(S1067="OVER",$J1067,$K1067)</f>
        <v>179.91302059930044</v>
      </c>
      <c r="X1067" s="2">
        <f>IF(T1067="OVER",$J1067,$K1067)</f>
        <v>179.91302059930044</v>
      </c>
      <c r="Y1067" s="9">
        <f t="shared" si="141"/>
        <v>-42710.468576332074</v>
      </c>
      <c r="Z1067" s="9">
        <f t="shared" si="141"/>
        <v>-41731.838602342192</v>
      </c>
      <c r="AA1067" s="9">
        <f t="shared" si="141"/>
        <v>59895.432744989201</v>
      </c>
      <c r="AB1067" s="9">
        <f t="shared" si="138"/>
        <v>28332.939637838499</v>
      </c>
    </row>
    <row r="1068" spans="1:28" x14ac:dyDescent="0.3">
      <c r="A1068" s="1">
        <v>45965</v>
      </c>
      <c r="B1068" s="2">
        <v>91.5</v>
      </c>
      <c r="C1068" s="2">
        <v>101.47</v>
      </c>
      <c r="D1068" s="9">
        <f>B1068-B1067</f>
        <v>-1.7900000000000063</v>
      </c>
      <c r="E1068" s="9">
        <f>C1068-C1067</f>
        <v>-2.1599999999999966</v>
      </c>
      <c r="F1068" s="3">
        <f>F$1/B1068</f>
        <v>1092.8961748633881</v>
      </c>
      <c r="G1068" s="3">
        <f>F$1/C1068</f>
        <v>985.51295949541736</v>
      </c>
      <c r="H1068" s="2">
        <f>D1068*F1067</f>
        <v>-1918.7479901382849</v>
      </c>
      <c r="I1068" s="2">
        <f>E1068*G1067</f>
        <v>-2084.3385120138923</v>
      </c>
      <c r="J1068" s="2">
        <f>I1068-H1068</f>
        <v>-165.59052187560746</v>
      </c>
      <c r="K1068" s="2">
        <f t="shared" si="136"/>
        <v>165.59052187560746</v>
      </c>
      <c r="L1068" s="14">
        <f>C1068/B1068</f>
        <v>1.1089617486338799</v>
      </c>
      <c r="M1068" s="14">
        <f t="shared" si="139"/>
        <v>1.1078177703470957</v>
      </c>
      <c r="N1068" s="14">
        <f t="shared" si="143"/>
        <v>1.106485054269752</v>
      </c>
      <c r="O1068" s="14">
        <f t="shared" si="135"/>
        <v>1.1028300199821301</v>
      </c>
      <c r="P1068" s="14">
        <f t="shared" si="137"/>
        <v>1.0940918151175774</v>
      </c>
      <c r="Q1068" s="4" t="str">
        <f t="shared" si="142"/>
        <v>OVER</v>
      </c>
      <c r="R1068" s="4" t="str">
        <f t="shared" si="142"/>
        <v>OVER</v>
      </c>
      <c r="S1068" s="4" t="str">
        <f t="shared" si="140"/>
        <v>OVER</v>
      </c>
      <c r="T1068" s="4" t="str">
        <f t="shared" si="140"/>
        <v>OVER</v>
      </c>
      <c r="U1068" s="2">
        <f>IF(Q1068="OVER",$J1068,$K1068)</f>
        <v>-165.59052187560746</v>
      </c>
      <c r="V1068" s="2">
        <f>IF(R1068="OVER",$J1068,$K1068)</f>
        <v>-165.59052187560746</v>
      </c>
      <c r="W1068" s="2">
        <f>IF(S1068="OVER",$J1068,$K1068)</f>
        <v>-165.59052187560746</v>
      </c>
      <c r="X1068" s="2">
        <f>IF(T1068="OVER",$J1068,$K1068)</f>
        <v>-165.59052187560746</v>
      </c>
      <c r="Y1068" s="9">
        <f t="shared" si="141"/>
        <v>-42876.059098207683</v>
      </c>
      <c r="Z1068" s="9">
        <f t="shared" si="141"/>
        <v>-41897.429124217801</v>
      </c>
      <c r="AA1068" s="9">
        <f t="shared" si="141"/>
        <v>59729.842223113592</v>
      </c>
      <c r="AB1068" s="9">
        <f t="shared" si="138"/>
        <v>28167.34911596289</v>
      </c>
    </row>
    <row r="1069" spans="1:28" x14ac:dyDescent="0.3">
      <c r="A1069" s="1">
        <v>45966</v>
      </c>
      <c r="B1069" s="2">
        <v>92.83</v>
      </c>
      <c r="C1069" s="2">
        <v>102.86</v>
      </c>
      <c r="D1069" s="9">
        <f>B1069-B1068</f>
        <v>1.3299999999999983</v>
      </c>
      <c r="E1069" s="9">
        <f>C1069-C1068</f>
        <v>1.3900000000000006</v>
      </c>
      <c r="F1069" s="3">
        <f>F$1/B1069</f>
        <v>1077.2379618657762</v>
      </c>
      <c r="G1069" s="3">
        <f>F$1/C1069</f>
        <v>972.19521679953334</v>
      </c>
      <c r="H1069" s="2">
        <f>D1069*F1068</f>
        <v>1453.5519125683043</v>
      </c>
      <c r="I1069" s="2">
        <f>E1069*G1068</f>
        <v>1369.8630136986308</v>
      </c>
      <c r="J1069" s="2">
        <f>I1069-H1069</f>
        <v>-83.688898869673494</v>
      </c>
      <c r="K1069" s="2">
        <f t="shared" si="136"/>
        <v>83.688898869673494</v>
      </c>
      <c r="L1069" s="14">
        <f>C1069/B1069</f>
        <v>1.1080469675751374</v>
      </c>
      <c r="M1069" s="14">
        <f t="shared" si="139"/>
        <v>1.1080984688659483</v>
      </c>
      <c r="N1069" s="14">
        <f t="shared" si="143"/>
        <v>1.1067434362945783</v>
      </c>
      <c r="O1069" s="14">
        <f t="shared" si="135"/>
        <v>1.1031615776506944</v>
      </c>
      <c r="P1069" s="14">
        <f t="shared" si="137"/>
        <v>1.0941802165185359</v>
      </c>
      <c r="Q1069" s="4" t="str">
        <f t="shared" si="142"/>
        <v>OVER</v>
      </c>
      <c r="R1069" s="4" t="str">
        <f t="shared" si="142"/>
        <v>OVER</v>
      </c>
      <c r="S1069" s="4" t="str">
        <f t="shared" si="140"/>
        <v>OVER</v>
      </c>
      <c r="T1069" s="4" t="str">
        <f t="shared" si="140"/>
        <v>OVER</v>
      </c>
      <c r="U1069" s="2">
        <f>IF(Q1069="OVER",$J1069,$K1069)</f>
        <v>-83.688898869673494</v>
      </c>
      <c r="V1069" s="2">
        <f>IF(R1069="OVER",$J1069,$K1069)</f>
        <v>-83.688898869673494</v>
      </c>
      <c r="W1069" s="2">
        <f>IF(S1069="OVER",$J1069,$K1069)</f>
        <v>-83.688898869673494</v>
      </c>
      <c r="X1069" s="2">
        <f>IF(T1069="OVER",$J1069,$K1069)</f>
        <v>-83.688898869673494</v>
      </c>
      <c r="Y1069" s="9">
        <f t="shared" si="141"/>
        <v>-42959.747997077357</v>
      </c>
      <c r="Z1069" s="9">
        <f t="shared" si="141"/>
        <v>-41981.118023087474</v>
      </c>
      <c r="AA1069" s="9">
        <f t="shared" si="141"/>
        <v>59646.153324243918</v>
      </c>
      <c r="AB1069" s="9">
        <f t="shared" si="138"/>
        <v>28083.660217093216</v>
      </c>
    </row>
    <row r="1070" spans="1:28" x14ac:dyDescent="0.3">
      <c r="A1070" s="1">
        <v>45967</v>
      </c>
      <c r="B1070" s="2">
        <v>91.52</v>
      </c>
      <c r="C1070" s="2">
        <v>101.36</v>
      </c>
      <c r="D1070" s="9">
        <f>B1070-B1069</f>
        <v>-1.3100000000000023</v>
      </c>
      <c r="E1070" s="9">
        <f>C1070-C1069</f>
        <v>-1.5</v>
      </c>
      <c r="F1070" s="3">
        <f>F$1/B1070</f>
        <v>1092.6573426573427</v>
      </c>
      <c r="G1070" s="3">
        <f>F$1/C1070</f>
        <v>986.58247829518552</v>
      </c>
      <c r="H1070" s="2">
        <f>D1070*F1069</f>
        <v>-1411.1817300441694</v>
      </c>
      <c r="I1070" s="2">
        <f>E1070*G1069</f>
        <v>-1458.2928251993001</v>
      </c>
      <c r="J1070" s="2">
        <f>I1070-H1070</f>
        <v>-47.11109515513067</v>
      </c>
      <c r="K1070" s="2">
        <f t="shared" si="136"/>
        <v>47.11109515513067</v>
      </c>
      <c r="L1070" s="14">
        <f>C1070/B1070</f>
        <v>1.1075174825174825</v>
      </c>
      <c r="M1070" s="14">
        <f t="shared" si="139"/>
        <v>1.1083974075159506</v>
      </c>
      <c r="N1070" s="14">
        <f t="shared" si="143"/>
        <v>1.1069146888893004</v>
      </c>
      <c r="O1070" s="14">
        <f t="shared" si="135"/>
        <v>1.1035205704237205</v>
      </c>
      <c r="P1070" s="14">
        <f t="shared" si="137"/>
        <v>1.0942671628256833</v>
      </c>
      <c r="Q1070" s="4" t="str">
        <f t="shared" si="142"/>
        <v>UNDER</v>
      </c>
      <c r="R1070" s="4" t="str">
        <f t="shared" si="142"/>
        <v>OVER</v>
      </c>
      <c r="S1070" s="4" t="str">
        <f t="shared" si="140"/>
        <v>OVER</v>
      </c>
      <c r="T1070" s="4" t="str">
        <f t="shared" si="140"/>
        <v>OVER</v>
      </c>
      <c r="U1070" s="2">
        <f>IF(Q1070="OVER",$J1070,$K1070)</f>
        <v>47.11109515513067</v>
      </c>
      <c r="V1070" s="2">
        <f>IF(R1070="OVER",$J1070,$K1070)</f>
        <v>-47.11109515513067</v>
      </c>
      <c r="W1070" s="2">
        <f>IF(S1070="OVER",$J1070,$K1070)</f>
        <v>-47.11109515513067</v>
      </c>
      <c r="X1070" s="2">
        <f>IF(T1070="OVER",$J1070,$K1070)</f>
        <v>-47.11109515513067</v>
      </c>
      <c r="Y1070" s="9">
        <f t="shared" si="141"/>
        <v>-42912.636901922226</v>
      </c>
      <c r="Z1070" s="9">
        <f t="shared" si="141"/>
        <v>-42028.229118242605</v>
      </c>
      <c r="AA1070" s="9">
        <f t="shared" si="141"/>
        <v>59599.042229088787</v>
      </c>
      <c r="AB1070" s="9">
        <f t="shared" si="138"/>
        <v>28036.549121938086</v>
      </c>
    </row>
    <row r="1071" spans="1:28" x14ac:dyDescent="0.3">
      <c r="A1071" s="1">
        <v>45968</v>
      </c>
      <c r="B1071" s="2">
        <v>91.83</v>
      </c>
      <c r="C1071" s="2">
        <v>101.69</v>
      </c>
      <c r="D1071" s="9">
        <f>B1071-B1070</f>
        <v>0.31000000000000227</v>
      </c>
      <c r="E1071" s="9">
        <f>C1071-C1070</f>
        <v>0.32999999999999829</v>
      </c>
      <c r="F1071" s="3">
        <f>F$1/B1071</f>
        <v>1088.9687465969728</v>
      </c>
      <c r="G1071" s="3">
        <f>F$1/C1071</f>
        <v>983.38086340839811</v>
      </c>
      <c r="H1071" s="2">
        <f>D1071*F1070</f>
        <v>338.72377622377871</v>
      </c>
      <c r="I1071" s="2">
        <f>E1071*G1070</f>
        <v>325.57221783740954</v>
      </c>
      <c r="J1071" s="2">
        <f>I1071-H1071</f>
        <v>-13.151558386369175</v>
      </c>
      <c r="K1071" s="2">
        <f t="shared" si="136"/>
        <v>13.151558386369175</v>
      </c>
      <c r="L1071" s="14">
        <f>C1071/B1071</f>
        <v>1.1073723184144615</v>
      </c>
      <c r="M1071" s="14">
        <f t="shared" si="139"/>
        <v>1.1084699835349257</v>
      </c>
      <c r="N1071" s="14">
        <f t="shared" si="143"/>
        <v>1.1070687833578785</v>
      </c>
      <c r="O1071" s="14">
        <f t="shared" si="135"/>
        <v>1.1037858545047081</v>
      </c>
      <c r="P1071" s="14">
        <f t="shared" si="137"/>
        <v>1.0943547886777281</v>
      </c>
      <c r="Q1071" s="4" t="str">
        <f t="shared" si="142"/>
        <v>UNDER</v>
      </c>
      <c r="R1071" s="4" t="str">
        <f t="shared" si="142"/>
        <v>OVER</v>
      </c>
      <c r="S1071" s="4" t="str">
        <f t="shared" si="140"/>
        <v>OVER</v>
      </c>
      <c r="T1071" s="4" t="str">
        <f t="shared" si="140"/>
        <v>OVER</v>
      </c>
      <c r="U1071" s="2">
        <f>IF(Q1071="OVER",$J1071,$K1071)</f>
        <v>13.151558386369175</v>
      </c>
      <c r="V1071" s="2">
        <f>IF(R1071="OVER",$J1071,$K1071)</f>
        <v>-13.151558386369175</v>
      </c>
      <c r="W1071" s="2">
        <f>IF(S1071="OVER",$J1071,$K1071)</f>
        <v>-13.151558386369175</v>
      </c>
      <c r="X1071" s="2">
        <f>IF(T1071="OVER",$J1071,$K1071)</f>
        <v>-13.151558386369175</v>
      </c>
      <c r="Y1071" s="9">
        <f t="shared" si="141"/>
        <v>-42899.48534353586</v>
      </c>
      <c r="Z1071" s="9">
        <f t="shared" si="141"/>
        <v>-42041.380676628971</v>
      </c>
      <c r="AA1071" s="9">
        <f t="shared" si="141"/>
        <v>59585.890670702422</v>
      </c>
      <c r="AB1071" s="9">
        <f t="shared" si="138"/>
        <v>28023.397563551716</v>
      </c>
    </row>
    <row r="1072" spans="1:28" x14ac:dyDescent="0.3">
      <c r="A1072" s="1">
        <v>45971</v>
      </c>
      <c r="B1072" s="2">
        <v>92.6</v>
      </c>
      <c r="C1072" s="2">
        <v>102.56</v>
      </c>
      <c r="D1072" s="9">
        <f>B1072-B1071</f>
        <v>0.76999999999999602</v>
      </c>
      <c r="E1072" s="9">
        <f>C1072-C1071</f>
        <v>0.87000000000000455</v>
      </c>
      <c r="F1072" s="3">
        <f>F$1/B1072</f>
        <v>1079.9136069114472</v>
      </c>
      <c r="G1072" s="3">
        <f>F$1/C1072</f>
        <v>975.03900156006239</v>
      </c>
      <c r="H1072" s="2">
        <f>D1072*F1071</f>
        <v>838.50593487966466</v>
      </c>
      <c r="I1072" s="2">
        <f>E1072*G1071</f>
        <v>855.54135116531086</v>
      </c>
      <c r="J1072" s="2">
        <f>I1072-H1072</f>
        <v>17.035416285646193</v>
      </c>
      <c r="K1072" s="2">
        <f t="shared" si="136"/>
        <v>-17.035416285646193</v>
      </c>
      <c r="L1072" s="14">
        <f>C1072/B1072</f>
        <v>1.1075593952483802</v>
      </c>
      <c r="M1072" s="14">
        <f t="shared" si="139"/>
        <v>1.1084133762232364</v>
      </c>
      <c r="N1072" s="14">
        <f t="shared" si="143"/>
        <v>1.1073283462311694</v>
      </c>
      <c r="O1072" s="14">
        <f t="shared" si="135"/>
        <v>1.1040432083809322</v>
      </c>
      <c r="P1072" s="14">
        <f t="shared" si="137"/>
        <v>1.0944468444073845</v>
      </c>
      <c r="Q1072" s="4" t="str">
        <f t="shared" si="142"/>
        <v>UNDER</v>
      </c>
      <c r="R1072" s="4" t="str">
        <f t="shared" si="142"/>
        <v>OVER</v>
      </c>
      <c r="S1072" s="4" t="str">
        <f t="shared" si="140"/>
        <v>OVER</v>
      </c>
      <c r="T1072" s="4" t="str">
        <f t="shared" si="140"/>
        <v>OVER</v>
      </c>
      <c r="U1072" s="2">
        <f>IF(Q1072="OVER",$J1072,$K1072)</f>
        <v>-17.035416285646193</v>
      </c>
      <c r="V1072" s="2">
        <f>IF(R1072="OVER",$J1072,$K1072)</f>
        <v>17.035416285646193</v>
      </c>
      <c r="W1072" s="2">
        <f>IF(S1072="OVER",$J1072,$K1072)</f>
        <v>17.035416285646193</v>
      </c>
      <c r="X1072" s="2">
        <f>IF(T1072="OVER",$J1072,$K1072)</f>
        <v>17.035416285646193</v>
      </c>
      <c r="Y1072" s="9">
        <f t="shared" si="141"/>
        <v>-42916.520759821506</v>
      </c>
      <c r="Z1072" s="9">
        <f t="shared" si="141"/>
        <v>-42024.345260343325</v>
      </c>
      <c r="AA1072" s="9">
        <f t="shared" si="141"/>
        <v>59602.926086988067</v>
      </c>
      <c r="AB1072" s="9">
        <f t="shared" si="138"/>
        <v>28040.432979837362</v>
      </c>
    </row>
    <row r="1073" spans="1:28" x14ac:dyDescent="0.3">
      <c r="A1073" s="1">
        <v>45972</v>
      </c>
      <c r="B1073" s="2">
        <v>91.92</v>
      </c>
      <c r="C1073" s="2">
        <v>101.96</v>
      </c>
      <c r="D1073" s="9">
        <f>B1073-B1072</f>
        <v>-0.67999999999999261</v>
      </c>
      <c r="E1073" s="9">
        <f>C1073-C1072</f>
        <v>-0.60000000000000853</v>
      </c>
      <c r="F1073" s="3">
        <f>F$1/B1073</f>
        <v>1087.9025239338555</v>
      </c>
      <c r="G1073" s="3">
        <f>F$1/C1073</f>
        <v>980.77677520596319</v>
      </c>
      <c r="H1073" s="2">
        <f>D1073*F1072</f>
        <v>-734.34125269977619</v>
      </c>
      <c r="I1073" s="2">
        <f>E1073*G1072</f>
        <v>-585.02340093604573</v>
      </c>
      <c r="J1073" s="2">
        <f>I1073-H1073</f>
        <v>149.31785176373046</v>
      </c>
      <c r="K1073" s="2">
        <f t="shared" si="136"/>
        <v>-149.31785176373046</v>
      </c>
      <c r="L1073" s="14">
        <f>C1073/B1073</f>
        <v>1.1092254134029591</v>
      </c>
      <c r="M1073" s="14">
        <f t="shared" si="139"/>
        <v>1.1085932689264857</v>
      </c>
      <c r="N1073" s="14">
        <f t="shared" si="143"/>
        <v>1.1074780250382239</v>
      </c>
      <c r="O1073" s="14">
        <f t="shared" si="135"/>
        <v>1.1043148752776957</v>
      </c>
      <c r="P1073" s="14">
        <f t="shared" si="137"/>
        <v>1.0945422954603785</v>
      </c>
      <c r="Q1073" s="4" t="str">
        <f t="shared" si="142"/>
        <v>UNDER</v>
      </c>
      <c r="R1073" s="4" t="str">
        <f t="shared" si="142"/>
        <v>OVER</v>
      </c>
      <c r="S1073" s="4" t="str">
        <f t="shared" si="140"/>
        <v>OVER</v>
      </c>
      <c r="T1073" s="4" t="str">
        <f t="shared" si="140"/>
        <v>OVER</v>
      </c>
      <c r="U1073" s="2">
        <f>IF(Q1073="OVER",$J1073,$K1073)</f>
        <v>-149.31785176373046</v>
      </c>
      <c r="V1073" s="2">
        <f>IF(R1073="OVER",$J1073,$K1073)</f>
        <v>149.31785176373046</v>
      </c>
      <c r="W1073" s="2">
        <f>IF(S1073="OVER",$J1073,$K1073)</f>
        <v>149.31785176373046</v>
      </c>
      <c r="X1073" s="2">
        <f>IF(T1073="OVER",$J1073,$K1073)</f>
        <v>149.31785176373046</v>
      </c>
      <c r="Y1073" s="9">
        <f t="shared" si="141"/>
        <v>-43065.838611585234</v>
      </c>
      <c r="Z1073" s="9">
        <f t="shared" si="141"/>
        <v>-41875.027408579597</v>
      </c>
      <c r="AA1073" s="9">
        <f t="shared" si="141"/>
        <v>59752.243938751795</v>
      </c>
      <c r="AB1073" s="9">
        <f t="shared" si="138"/>
        <v>28189.750831601094</v>
      </c>
    </row>
    <row r="1074" spans="1:28" x14ac:dyDescent="0.3">
      <c r="A1074" s="1">
        <v>45973</v>
      </c>
      <c r="B1074" s="2">
        <v>91.41</v>
      </c>
      <c r="C1074" s="2">
        <v>101.38</v>
      </c>
      <c r="D1074" s="9">
        <f>B1074-B1073</f>
        <v>-0.51000000000000512</v>
      </c>
      <c r="E1074" s="9">
        <f>C1074-C1073</f>
        <v>-0.57999999999999829</v>
      </c>
      <c r="F1074" s="3">
        <f>F$1/B1074</f>
        <v>1093.9722131057872</v>
      </c>
      <c r="G1074" s="3">
        <f>F$1/C1074</f>
        <v>986.3878477017164</v>
      </c>
      <c r="H1074" s="2">
        <f>D1074*F1073</f>
        <v>-554.83028720627192</v>
      </c>
      <c r="I1074" s="2">
        <f>E1074*G1073</f>
        <v>-568.85052961945701</v>
      </c>
      <c r="J1074" s="2">
        <f>I1074-H1074</f>
        <v>-14.020242413185088</v>
      </c>
      <c r="K1074" s="2">
        <f t="shared" si="136"/>
        <v>14.020242413185088</v>
      </c>
      <c r="L1074" s="14">
        <f>C1074/B1074</f>
        <v>1.109069029646647</v>
      </c>
      <c r="M1074" s="14">
        <f t="shared" si="139"/>
        <v>1.1087248621944397</v>
      </c>
      <c r="N1074" s="14">
        <f t="shared" si="143"/>
        <v>1.1075739513653431</v>
      </c>
      <c r="O1074" s="14">
        <f t="shared" si="135"/>
        <v>1.1045596443581607</v>
      </c>
      <c r="P1074" s="14">
        <f t="shared" si="137"/>
        <v>1.0946274757734469</v>
      </c>
      <c r="Q1074" s="4" t="str">
        <f t="shared" si="142"/>
        <v>OVER</v>
      </c>
      <c r="R1074" s="4" t="str">
        <f t="shared" si="142"/>
        <v>OVER</v>
      </c>
      <c r="S1074" s="4" t="str">
        <f t="shared" si="140"/>
        <v>OVER</v>
      </c>
      <c r="T1074" s="4" t="str">
        <f t="shared" si="140"/>
        <v>OVER</v>
      </c>
      <c r="U1074" s="2">
        <f>IF(Q1074="OVER",$J1074,$K1074)</f>
        <v>-14.020242413185088</v>
      </c>
      <c r="V1074" s="2">
        <f>IF(R1074="OVER",$J1074,$K1074)</f>
        <v>-14.020242413185088</v>
      </c>
      <c r="W1074" s="2">
        <f>IF(S1074="OVER",$J1074,$K1074)</f>
        <v>-14.020242413185088</v>
      </c>
      <c r="X1074" s="2">
        <f>IF(T1074="OVER",$J1074,$K1074)</f>
        <v>-14.020242413185088</v>
      </c>
      <c r="Y1074" s="9">
        <f t="shared" si="141"/>
        <v>-43079.858853998419</v>
      </c>
      <c r="Z1074" s="9">
        <f t="shared" si="141"/>
        <v>-41889.047650992783</v>
      </c>
      <c r="AA1074" s="9">
        <f t="shared" si="141"/>
        <v>59738.223696338609</v>
      </c>
      <c r="AB1074" s="9">
        <f t="shared" si="138"/>
        <v>28175.730589187908</v>
      </c>
    </row>
    <row r="1075" spans="1:28" x14ac:dyDescent="0.3">
      <c r="A1075" s="1">
        <v>45974</v>
      </c>
      <c r="B1075" s="2">
        <v>89.02</v>
      </c>
      <c r="C1075" s="2">
        <v>98.64</v>
      </c>
      <c r="D1075" s="9">
        <f>B1075-B1074</f>
        <v>-2.3900000000000006</v>
      </c>
      <c r="E1075" s="9">
        <f>C1075-C1074</f>
        <v>-2.7399999999999949</v>
      </c>
      <c r="F1075" s="3">
        <f>F$1/B1075</f>
        <v>1123.3430689732645</v>
      </c>
      <c r="G1075" s="3">
        <f>F$1/C1075</f>
        <v>1013.7875101378751</v>
      </c>
      <c r="H1075" s="2">
        <f>D1075*F1074</f>
        <v>-2614.593589322832</v>
      </c>
      <c r="I1075" s="2">
        <f>E1075*G1074</f>
        <v>-2702.7027027026979</v>
      </c>
      <c r="J1075" s="2">
        <f>I1075-H1075</f>
        <v>-88.109113379865903</v>
      </c>
      <c r="K1075" s="2">
        <f t="shared" si="136"/>
        <v>88.109113379865903</v>
      </c>
      <c r="L1075" s="14">
        <f>C1075/B1075</f>
        <v>1.1080656032352281</v>
      </c>
      <c r="M1075" s="14">
        <f t="shared" si="139"/>
        <v>1.1085500130929735</v>
      </c>
      <c r="N1075" s="14">
        <f t="shared" si="143"/>
        <v>1.1076602691731454</v>
      </c>
      <c r="O1075" s="14">
        <f t="shared" si="135"/>
        <v>1.1048013654398301</v>
      </c>
      <c r="P1075" s="14">
        <f t="shared" si="137"/>
        <v>1.0947101364569556</v>
      </c>
      <c r="Q1075" s="4" t="str">
        <f t="shared" si="142"/>
        <v>OVER</v>
      </c>
      <c r="R1075" s="4" t="str">
        <f t="shared" si="142"/>
        <v>OVER</v>
      </c>
      <c r="S1075" s="4" t="str">
        <f t="shared" si="140"/>
        <v>OVER</v>
      </c>
      <c r="T1075" s="4" t="str">
        <f t="shared" si="140"/>
        <v>OVER</v>
      </c>
      <c r="U1075" s="2">
        <f>IF(Q1075="OVER",$J1075,$K1075)</f>
        <v>-88.109113379865903</v>
      </c>
      <c r="V1075" s="2">
        <f>IF(R1075="OVER",$J1075,$K1075)</f>
        <v>-88.109113379865903</v>
      </c>
      <c r="W1075" s="2">
        <f>IF(S1075="OVER",$J1075,$K1075)</f>
        <v>-88.109113379865903</v>
      </c>
      <c r="X1075" s="2">
        <f>IF(T1075="OVER",$J1075,$K1075)</f>
        <v>-88.109113379865903</v>
      </c>
      <c r="Y1075" s="9">
        <f t="shared" si="141"/>
        <v>-43167.967967378288</v>
      </c>
      <c r="Z1075" s="9">
        <f t="shared" si="141"/>
        <v>-41977.156764372652</v>
      </c>
      <c r="AA1075" s="9">
        <f t="shared" si="141"/>
        <v>59650.11458295874</v>
      </c>
      <c r="AB1075" s="9">
        <f t="shared" si="138"/>
        <v>28087.621475808042</v>
      </c>
    </row>
    <row r="1076" spans="1:28" x14ac:dyDescent="0.3">
      <c r="A1076" s="1">
        <v>45975</v>
      </c>
      <c r="B1076" s="2">
        <v>88.49</v>
      </c>
      <c r="C1076" s="2">
        <v>98.1</v>
      </c>
      <c r="D1076" s="9">
        <f>B1076-B1075</f>
        <v>-0.53000000000000114</v>
      </c>
      <c r="E1076" s="9">
        <f>C1076-C1075</f>
        <v>-0.54000000000000625</v>
      </c>
      <c r="F1076" s="3">
        <f>F$1/B1076</f>
        <v>1130.0711944852526</v>
      </c>
      <c r="G1076" s="3">
        <f>F$1/C1076</f>
        <v>1019.3679918450562</v>
      </c>
      <c r="H1076" s="2">
        <f>D1076*F1075</f>
        <v>-595.37182655583149</v>
      </c>
      <c r="I1076" s="2">
        <f>E1076*G1075</f>
        <v>-547.44525547445892</v>
      </c>
      <c r="J1076" s="2">
        <f>I1076-H1076</f>
        <v>47.926571081372572</v>
      </c>
      <c r="K1076" s="2">
        <f t="shared" si="136"/>
        <v>-47.926571081372572</v>
      </c>
      <c r="L1076" s="14">
        <f>C1076/B1076</f>
        <v>1.1085998417900327</v>
      </c>
      <c r="M1076" s="14">
        <f t="shared" si="139"/>
        <v>1.1085254974866612</v>
      </c>
      <c r="N1076" s="14">
        <f t="shared" si="143"/>
        <v>1.107794801779701</v>
      </c>
      <c r="O1076" s="14">
        <f t="shared" si="135"/>
        <v>1.1050163382460558</v>
      </c>
      <c r="P1076" s="14">
        <f t="shared" si="137"/>
        <v>1.0947949263405088</v>
      </c>
      <c r="Q1076" s="4" t="str">
        <f t="shared" si="142"/>
        <v>UNDER</v>
      </c>
      <c r="R1076" s="4" t="str">
        <f t="shared" si="142"/>
        <v>OVER</v>
      </c>
      <c r="S1076" s="4" t="str">
        <f t="shared" si="140"/>
        <v>OVER</v>
      </c>
      <c r="T1076" s="4" t="str">
        <f t="shared" si="140"/>
        <v>OVER</v>
      </c>
      <c r="U1076" s="2">
        <f>IF(Q1076="OVER",$J1076,$K1076)</f>
        <v>-47.926571081372572</v>
      </c>
      <c r="V1076" s="2">
        <f>IF(R1076="OVER",$J1076,$K1076)</f>
        <v>47.926571081372572</v>
      </c>
      <c r="W1076" s="2">
        <f>IF(S1076="OVER",$J1076,$K1076)</f>
        <v>47.926571081372572</v>
      </c>
      <c r="X1076" s="2">
        <f>IF(T1076="OVER",$J1076,$K1076)</f>
        <v>47.926571081372572</v>
      </c>
      <c r="Y1076" s="9">
        <f t="shared" si="141"/>
        <v>-43215.894538459659</v>
      </c>
      <c r="Z1076" s="9">
        <f t="shared" si="141"/>
        <v>-41929.230193291281</v>
      </c>
      <c r="AA1076" s="9">
        <f t="shared" si="141"/>
        <v>59698.041154040111</v>
      </c>
      <c r="AB1076" s="9">
        <f t="shared" si="138"/>
        <v>28135.548046889417</v>
      </c>
    </row>
    <row r="1077" spans="1:28" x14ac:dyDescent="0.3">
      <c r="A1077" s="1">
        <v>45978</v>
      </c>
      <c r="B1077" s="2">
        <v>88.09</v>
      </c>
      <c r="C1077" s="2">
        <v>97.65</v>
      </c>
      <c r="D1077" s="9">
        <f>B1077-B1076</f>
        <v>-0.39999999999999147</v>
      </c>
      <c r="E1077" s="9">
        <f>C1077-C1076</f>
        <v>-0.44999999999998863</v>
      </c>
      <c r="F1077" s="3">
        <f>F$1/B1077</f>
        <v>1135.2026336701101</v>
      </c>
      <c r="G1077" s="3">
        <f>F$1/C1077</f>
        <v>1024.0655401945723</v>
      </c>
      <c r="H1077" s="2">
        <f>D1077*F1076</f>
        <v>-452.02847779409137</v>
      </c>
      <c r="I1077" s="2">
        <f>E1077*G1076</f>
        <v>-458.71559633026368</v>
      </c>
      <c r="J1077" s="2">
        <f>I1077-H1077</f>
        <v>-6.6871185361723064</v>
      </c>
      <c r="K1077" s="2">
        <f t="shared" si="136"/>
        <v>6.6871185361723064</v>
      </c>
      <c r="L1077" s="14">
        <f>C1077/B1077</f>
        <v>1.1085253717788626</v>
      </c>
      <c r="M1077" s="14">
        <f t="shared" si="139"/>
        <v>1.1082943172243072</v>
      </c>
      <c r="N1077" s="14">
        <f t="shared" si="143"/>
        <v>1.1079462858858855</v>
      </c>
      <c r="O1077" s="14">
        <f t="shared" ref="O1077:O1140" si="144">AVERAGE(L1028:L1077)</f>
        <v>1.1051979081384204</v>
      </c>
      <c r="P1077" s="14">
        <f t="shared" si="137"/>
        <v>1.0948741172955787</v>
      </c>
      <c r="Q1077" s="4" t="str">
        <f t="shared" si="142"/>
        <v>OVER</v>
      </c>
      <c r="R1077" s="4" t="str">
        <f t="shared" si="142"/>
        <v>OVER</v>
      </c>
      <c r="S1077" s="4" t="str">
        <f t="shared" si="140"/>
        <v>OVER</v>
      </c>
      <c r="T1077" s="4" t="str">
        <f t="shared" si="140"/>
        <v>OVER</v>
      </c>
      <c r="U1077" s="2">
        <f>IF(Q1077="OVER",$J1077,$K1077)</f>
        <v>-6.6871185361723064</v>
      </c>
      <c r="V1077" s="2">
        <f>IF(R1077="OVER",$J1077,$K1077)</f>
        <v>-6.6871185361723064</v>
      </c>
      <c r="W1077" s="2">
        <f>IF(S1077="OVER",$J1077,$K1077)</f>
        <v>-6.6871185361723064</v>
      </c>
      <c r="X1077" s="2">
        <f>IF(T1077="OVER",$J1077,$K1077)</f>
        <v>-6.6871185361723064</v>
      </c>
      <c r="Y1077" s="9">
        <f t="shared" si="141"/>
        <v>-43222.581656995833</v>
      </c>
      <c r="Z1077" s="9">
        <f t="shared" si="141"/>
        <v>-41935.917311827456</v>
      </c>
      <c r="AA1077" s="9">
        <f t="shared" si="141"/>
        <v>59691.354035503937</v>
      </c>
      <c r="AB1077" s="9">
        <f t="shared" si="138"/>
        <v>28128.860928353246</v>
      </c>
    </row>
    <row r="1078" spans="1:28" x14ac:dyDescent="0.3">
      <c r="A1078" s="1">
        <v>45979</v>
      </c>
      <c r="B1078" s="2">
        <v>88.13</v>
      </c>
      <c r="C1078" s="2">
        <v>97.6</v>
      </c>
      <c r="D1078" s="9">
        <f>B1078-B1077</f>
        <v>3.9999999999992042E-2</v>
      </c>
      <c r="E1078" s="9">
        <f>C1078-C1077</f>
        <v>-5.0000000000011369E-2</v>
      </c>
      <c r="F1078" s="3">
        <f>F$1/B1078</f>
        <v>1134.687393623057</v>
      </c>
      <c r="G1078" s="3">
        <f>F$1/C1078</f>
        <v>1024.5901639344263</v>
      </c>
      <c r="H1078" s="2">
        <f>D1078*F1077</f>
        <v>45.408105346795374</v>
      </c>
      <c r="I1078" s="2">
        <f>E1078*G1077</f>
        <v>-51.203277009740262</v>
      </c>
      <c r="J1078" s="2">
        <f>I1078-H1078</f>
        <v>-96.611382356535643</v>
      </c>
      <c r="K1078" s="2">
        <f t="shared" si="136"/>
        <v>96.611382356535643</v>
      </c>
      <c r="L1078" s="14">
        <f>C1078/B1078</f>
        <v>1.1074548961761035</v>
      </c>
      <c r="M1078" s="14">
        <f t="shared" si="139"/>
        <v>1.1081436319785294</v>
      </c>
      <c r="N1078" s="14">
        <f t="shared" si="143"/>
        <v>1.1079807011628127</v>
      </c>
      <c r="O1078" s="14">
        <f t="shared" si="144"/>
        <v>1.1053879250241097</v>
      </c>
      <c r="P1078" s="14">
        <f t="shared" si="137"/>
        <v>1.0949515569416244</v>
      </c>
      <c r="Q1078" s="4" t="str">
        <f t="shared" si="142"/>
        <v>OVER</v>
      </c>
      <c r="R1078" s="4" t="str">
        <f t="shared" si="142"/>
        <v>OVER</v>
      </c>
      <c r="S1078" s="4" t="str">
        <f t="shared" si="140"/>
        <v>OVER</v>
      </c>
      <c r="T1078" s="4" t="str">
        <f t="shared" si="140"/>
        <v>OVER</v>
      </c>
      <c r="U1078" s="2">
        <f>IF(Q1078="OVER",$J1078,$K1078)</f>
        <v>-96.611382356535643</v>
      </c>
      <c r="V1078" s="2">
        <f>IF(R1078="OVER",$J1078,$K1078)</f>
        <v>-96.611382356535643</v>
      </c>
      <c r="W1078" s="2">
        <f>IF(S1078="OVER",$J1078,$K1078)</f>
        <v>-96.611382356535643</v>
      </c>
      <c r="X1078" s="2">
        <f>IF(T1078="OVER",$J1078,$K1078)</f>
        <v>-96.611382356535643</v>
      </c>
      <c r="Y1078" s="9">
        <f t="shared" si="141"/>
        <v>-43319.193039352373</v>
      </c>
      <c r="Z1078" s="9">
        <f t="shared" si="141"/>
        <v>-42032.528694183995</v>
      </c>
      <c r="AA1078" s="9">
        <f t="shared" si="141"/>
        <v>59594.742653147398</v>
      </c>
      <c r="AB1078" s="9">
        <f t="shared" si="138"/>
        <v>28032.24954599671</v>
      </c>
    </row>
    <row r="1079" spans="1:28" x14ac:dyDescent="0.3">
      <c r="A1079" s="1">
        <v>45980</v>
      </c>
      <c r="B1079" s="2">
        <v>88.25</v>
      </c>
      <c r="C1079" s="2">
        <v>97.73</v>
      </c>
      <c r="D1079" s="9">
        <f>B1079-B1078</f>
        <v>0.12000000000000455</v>
      </c>
      <c r="E1079" s="9">
        <f>C1079-C1078</f>
        <v>0.13000000000000966</v>
      </c>
      <c r="F1079" s="3">
        <f>F$1/B1079</f>
        <v>1133.14447592068</v>
      </c>
      <c r="G1079" s="3">
        <f>F$1/C1079</f>
        <v>1023.2272587741737</v>
      </c>
      <c r="H1079" s="2">
        <f>D1079*F1078</f>
        <v>136.16248723477199</v>
      </c>
      <c r="I1079" s="2">
        <f>E1079*G1078</f>
        <v>133.19672131148533</v>
      </c>
      <c r="J1079" s="2">
        <f>I1079-H1079</f>
        <v>-2.9657659232866536</v>
      </c>
      <c r="K1079" s="2">
        <f t="shared" si="136"/>
        <v>2.9657659232866536</v>
      </c>
      <c r="L1079" s="14">
        <f>C1079/B1079</f>
        <v>1.1074220963172805</v>
      </c>
      <c r="M1079" s="14">
        <f t="shared" si="139"/>
        <v>1.1080811448527437</v>
      </c>
      <c r="N1079" s="14">
        <f t="shared" si="143"/>
        <v>1.1080898068593459</v>
      </c>
      <c r="O1079" s="14">
        <f t="shared" si="144"/>
        <v>1.1055550841383117</v>
      </c>
      <c r="P1079" s="14">
        <f t="shared" si="137"/>
        <v>1.0950315708904097</v>
      </c>
      <c r="Q1079" s="4" t="str">
        <f t="shared" si="142"/>
        <v>UNDER</v>
      </c>
      <c r="R1079" s="4" t="str">
        <f t="shared" si="142"/>
        <v>UNDER</v>
      </c>
      <c r="S1079" s="4" t="str">
        <f t="shared" si="140"/>
        <v>OVER</v>
      </c>
      <c r="T1079" s="4" t="str">
        <f t="shared" si="140"/>
        <v>OVER</v>
      </c>
      <c r="U1079" s="2">
        <f>IF(Q1079="OVER",$J1079,$K1079)</f>
        <v>2.9657659232866536</v>
      </c>
      <c r="V1079" s="2">
        <f>IF(R1079="OVER",$J1079,$K1079)</f>
        <v>2.9657659232866536</v>
      </c>
      <c r="W1079" s="2">
        <f>IF(S1079="OVER",$J1079,$K1079)</f>
        <v>-2.9657659232866536</v>
      </c>
      <c r="X1079" s="2">
        <f>IF(T1079="OVER",$J1079,$K1079)</f>
        <v>-2.9657659232866536</v>
      </c>
      <c r="Y1079" s="9">
        <f t="shared" si="141"/>
        <v>-43316.227273429089</v>
      </c>
      <c r="Z1079" s="9">
        <f t="shared" si="141"/>
        <v>-42029.562928260711</v>
      </c>
      <c r="AA1079" s="9">
        <f t="shared" si="141"/>
        <v>59591.776887224114</v>
      </c>
      <c r="AB1079" s="9">
        <f t="shared" si="138"/>
        <v>28029.283780073423</v>
      </c>
    </row>
    <row r="1080" spans="1:28" x14ac:dyDescent="0.3">
      <c r="A1080" s="1">
        <v>45981</v>
      </c>
      <c r="B1080" s="2">
        <v>86.48</v>
      </c>
      <c r="C1080" s="2">
        <v>95.81</v>
      </c>
      <c r="D1080" s="9">
        <f>B1080-B1079</f>
        <v>-1.769999999999996</v>
      </c>
      <c r="E1080" s="9">
        <f>C1080-C1079</f>
        <v>-1.9200000000000017</v>
      </c>
      <c r="F1080" s="3">
        <f>F$1/B1080</f>
        <v>1156.336725254394</v>
      </c>
      <c r="G1080" s="3">
        <f>F$1/C1080</f>
        <v>1043.7323870159692</v>
      </c>
      <c r="H1080" s="2">
        <f>D1080*F1079</f>
        <v>-2005.6657223795989</v>
      </c>
      <c r="I1080" s="2">
        <f>E1080*G1079</f>
        <v>-1964.5963368464154</v>
      </c>
      <c r="J1080" s="2">
        <f>I1080-H1080</f>
        <v>41.069385533183549</v>
      </c>
      <c r="K1080" s="2">
        <f t="shared" si="136"/>
        <v>-41.069385533183549</v>
      </c>
      <c r="L1080" s="14">
        <f>C1080/B1080</f>
        <v>1.1078862164662349</v>
      </c>
      <c r="M1080" s="14">
        <f t="shared" si="139"/>
        <v>1.1081180182476189</v>
      </c>
      <c r="N1080" s="14">
        <f t="shared" si="143"/>
        <v>1.1082577128817848</v>
      </c>
      <c r="O1080" s="14">
        <f t="shared" si="144"/>
        <v>1.1056809044060911</v>
      </c>
      <c r="P1080" s="14">
        <f t="shared" si="137"/>
        <v>1.0951085346504452</v>
      </c>
      <c r="Q1080" s="4" t="str">
        <f t="shared" si="142"/>
        <v>UNDER</v>
      </c>
      <c r="R1080" s="4" t="str">
        <f t="shared" si="142"/>
        <v>UNDER</v>
      </c>
      <c r="S1080" s="4" t="str">
        <f t="shared" si="140"/>
        <v>OVER</v>
      </c>
      <c r="T1080" s="4" t="str">
        <f t="shared" si="140"/>
        <v>OVER</v>
      </c>
      <c r="U1080" s="2">
        <f>IF(Q1080="OVER",$J1080,$K1080)</f>
        <v>-41.069385533183549</v>
      </c>
      <c r="V1080" s="2">
        <f>IF(R1080="OVER",$J1080,$K1080)</f>
        <v>-41.069385533183549</v>
      </c>
      <c r="W1080" s="2">
        <f>IF(S1080="OVER",$J1080,$K1080)</f>
        <v>41.069385533183549</v>
      </c>
      <c r="X1080" s="2">
        <f>IF(T1080="OVER",$J1080,$K1080)</f>
        <v>41.069385533183549</v>
      </c>
      <c r="Y1080" s="9">
        <f t="shared" si="141"/>
        <v>-43357.296658962274</v>
      </c>
      <c r="Z1080" s="9">
        <f t="shared" si="141"/>
        <v>-42070.632313793896</v>
      </c>
      <c r="AA1080" s="9">
        <f t="shared" si="141"/>
        <v>59632.846272757299</v>
      </c>
      <c r="AB1080" s="9">
        <f t="shared" si="138"/>
        <v>28070.353165606608</v>
      </c>
    </row>
    <row r="1081" spans="1:28" x14ac:dyDescent="0.3">
      <c r="A1081" s="1">
        <v>45982</v>
      </c>
      <c r="B1081" s="2">
        <v>86.73</v>
      </c>
      <c r="C1081" s="2">
        <v>95.87</v>
      </c>
      <c r="D1081" s="9">
        <f>B1081-B1080</f>
        <v>0.25</v>
      </c>
      <c r="E1081" s="9">
        <f>C1081-C1080</f>
        <v>6.0000000000002274E-2</v>
      </c>
      <c r="F1081" s="3">
        <f>F$1/B1081</f>
        <v>1153.0035743110802</v>
      </c>
      <c r="G1081" s="3">
        <f>F$1/C1081</f>
        <v>1043.0791697089808</v>
      </c>
      <c r="H1081" s="2">
        <f>D1081*F1080</f>
        <v>289.08418131359849</v>
      </c>
      <c r="I1081" s="2">
        <f>E1081*G1080</f>
        <v>62.62394322096052</v>
      </c>
      <c r="J1081" s="2">
        <f>I1081-H1081</f>
        <v>-226.46023809263798</v>
      </c>
      <c r="K1081" s="2">
        <f t="shared" si="136"/>
        <v>226.46023809263798</v>
      </c>
      <c r="L1081" s="14">
        <f>C1081/B1081</f>
        <v>1.1053845266920328</v>
      </c>
      <c r="M1081" s="14">
        <f t="shared" si="139"/>
        <v>1.1079192390753758</v>
      </c>
      <c r="N1081" s="14">
        <f t="shared" si="143"/>
        <v>1.1081946113051508</v>
      </c>
      <c r="O1081" s="14">
        <f t="shared" si="144"/>
        <v>1.1057870117668005</v>
      </c>
      <c r="P1081" s="14">
        <f t="shared" si="137"/>
        <v>1.0951775226498806</v>
      </c>
      <c r="Q1081" s="4" t="str">
        <f t="shared" si="142"/>
        <v>UNDER</v>
      </c>
      <c r="R1081" s="4" t="str">
        <f t="shared" si="142"/>
        <v>UNDER</v>
      </c>
      <c r="S1081" s="4" t="str">
        <f t="shared" si="140"/>
        <v>UNDER</v>
      </c>
      <c r="T1081" s="4" t="str">
        <f t="shared" si="140"/>
        <v>OVER</v>
      </c>
      <c r="U1081" s="2">
        <f>IF(Q1081="OVER",$J1081,$K1081)</f>
        <v>226.46023809263798</v>
      </c>
      <c r="V1081" s="2">
        <f>IF(R1081="OVER",$J1081,$K1081)</f>
        <v>226.46023809263798</v>
      </c>
      <c r="W1081" s="2">
        <f>IF(S1081="OVER",$J1081,$K1081)</f>
        <v>226.46023809263798</v>
      </c>
      <c r="X1081" s="2">
        <f>IF(T1081="OVER",$J1081,$K1081)</f>
        <v>-226.46023809263798</v>
      </c>
      <c r="Y1081" s="9">
        <f t="shared" si="141"/>
        <v>-43130.836420869637</v>
      </c>
      <c r="Z1081" s="9">
        <f t="shared" si="141"/>
        <v>-41844.172075701259</v>
      </c>
      <c r="AA1081" s="9">
        <f t="shared" si="141"/>
        <v>59859.306510849936</v>
      </c>
      <c r="AB1081" s="9">
        <f t="shared" si="138"/>
        <v>27843.892927513971</v>
      </c>
    </row>
    <row r="1082" spans="1:28" x14ac:dyDescent="0.3">
      <c r="A1082" s="1">
        <v>45985</v>
      </c>
      <c r="B1082" s="2">
        <v>88.46</v>
      </c>
      <c r="C1082" s="2">
        <v>97.89</v>
      </c>
      <c r="D1082" s="9">
        <f>B1082-B1081</f>
        <v>1.7299999999999898</v>
      </c>
      <c r="E1082" s="9">
        <f>C1082-C1081</f>
        <v>2.019999999999996</v>
      </c>
      <c r="F1082" s="3">
        <f>F$1/B1082</f>
        <v>1130.4544426859597</v>
      </c>
      <c r="G1082" s="3">
        <f>F$1/C1082</f>
        <v>1021.5548064153642</v>
      </c>
      <c r="H1082" s="2">
        <f>D1082*F1081</f>
        <v>1994.6961835581569</v>
      </c>
      <c r="I1082" s="2">
        <f>E1082*G1081</f>
        <v>2107.0199228121369</v>
      </c>
      <c r="J1082" s="2">
        <f>I1082-H1082</f>
        <v>112.32373925397997</v>
      </c>
      <c r="K1082" s="2">
        <f t="shared" si="136"/>
        <v>-112.32373925397997</v>
      </c>
      <c r="L1082" s="14">
        <f>C1082/B1082</f>
        <v>1.106601853945286</v>
      </c>
      <c r="M1082" s="14">
        <f t="shared" si="139"/>
        <v>1.1078234849450666</v>
      </c>
      <c r="N1082" s="14">
        <f t="shared" si="143"/>
        <v>1.1081184305841514</v>
      </c>
      <c r="O1082" s="14">
        <f t="shared" si="144"/>
        <v>1.1059069221895195</v>
      </c>
      <c r="P1082" s="14">
        <f t="shared" si="137"/>
        <v>1.0952531617978072</v>
      </c>
      <c r="Q1082" s="4" t="str">
        <f t="shared" si="142"/>
        <v>UNDER</v>
      </c>
      <c r="R1082" s="4" t="str">
        <f t="shared" si="142"/>
        <v>UNDER</v>
      </c>
      <c r="S1082" s="4" t="str">
        <f t="shared" si="140"/>
        <v>OVER</v>
      </c>
      <c r="T1082" s="4" t="str">
        <f t="shared" si="140"/>
        <v>OVER</v>
      </c>
      <c r="U1082" s="2">
        <f>IF(Q1082="OVER",$J1082,$K1082)</f>
        <v>-112.32373925397997</v>
      </c>
      <c r="V1082" s="2">
        <f>IF(R1082="OVER",$J1082,$K1082)</f>
        <v>-112.32373925397997</v>
      </c>
      <c r="W1082" s="2">
        <f>IF(S1082="OVER",$J1082,$K1082)</f>
        <v>112.32373925397997</v>
      </c>
      <c r="X1082" s="2">
        <f>IF(T1082="OVER",$J1082,$K1082)</f>
        <v>112.32373925397997</v>
      </c>
      <c r="Y1082" s="9">
        <f t="shared" si="141"/>
        <v>-43243.160160123618</v>
      </c>
      <c r="Z1082" s="9">
        <f t="shared" si="141"/>
        <v>-41956.49581495524</v>
      </c>
      <c r="AA1082" s="9">
        <f t="shared" si="141"/>
        <v>59971.630250103917</v>
      </c>
      <c r="AB1082" s="9">
        <f t="shared" si="138"/>
        <v>27956.216666767952</v>
      </c>
    </row>
    <row r="1083" spans="1:28" x14ac:dyDescent="0.3">
      <c r="A1083" s="1">
        <v>45986</v>
      </c>
      <c r="B1083" s="2">
        <v>88.83</v>
      </c>
      <c r="C1083" s="2">
        <v>98.55</v>
      </c>
      <c r="D1083" s="9">
        <f>B1083-B1082</f>
        <v>0.37000000000000455</v>
      </c>
      <c r="E1083" s="9">
        <f>C1083-C1082</f>
        <v>0.65999999999999659</v>
      </c>
      <c r="F1083" s="3">
        <f>F$1/B1083</f>
        <v>1125.7458065968704</v>
      </c>
      <c r="G1083" s="3">
        <f>F$1/C1083</f>
        <v>1014.7133434804668</v>
      </c>
      <c r="H1083" s="2">
        <f>D1083*F1082</f>
        <v>418.26814379381022</v>
      </c>
      <c r="I1083" s="2">
        <f>E1083*G1082</f>
        <v>674.22617223413681</v>
      </c>
      <c r="J1083" s="2">
        <f>I1083-H1083</f>
        <v>255.95802844032659</v>
      </c>
      <c r="K1083" s="2">
        <f t="shared" si="136"/>
        <v>-255.95802844032659</v>
      </c>
      <c r="L1083" s="14">
        <f>C1083/B1083</f>
        <v>1.1094224924012157</v>
      </c>
      <c r="M1083" s="14">
        <f t="shared" si="139"/>
        <v>1.1078431928448922</v>
      </c>
      <c r="N1083" s="14">
        <f t="shared" si="143"/>
        <v>1.1082182308856887</v>
      </c>
      <c r="O1083" s="14">
        <f t="shared" si="144"/>
        <v>1.1060929026245905</v>
      </c>
      <c r="P1083" s="14">
        <f t="shared" si="137"/>
        <v>1.0953288332983462</v>
      </c>
      <c r="Q1083" s="4" t="str">
        <f t="shared" si="142"/>
        <v>UNDER</v>
      </c>
      <c r="R1083" s="4" t="str">
        <f t="shared" si="142"/>
        <v>UNDER</v>
      </c>
      <c r="S1083" s="4" t="str">
        <f t="shared" si="140"/>
        <v>OVER</v>
      </c>
      <c r="T1083" s="4" t="str">
        <f t="shared" si="140"/>
        <v>OVER</v>
      </c>
      <c r="U1083" s="2">
        <f>IF(Q1083="OVER",$J1083,$K1083)</f>
        <v>-255.95802844032659</v>
      </c>
      <c r="V1083" s="2">
        <f>IF(R1083="OVER",$J1083,$K1083)</f>
        <v>-255.95802844032659</v>
      </c>
      <c r="W1083" s="2">
        <f>IF(S1083="OVER",$J1083,$K1083)</f>
        <v>255.95802844032659</v>
      </c>
      <c r="X1083" s="2">
        <f>IF(T1083="OVER",$J1083,$K1083)</f>
        <v>255.95802844032659</v>
      </c>
      <c r="Y1083" s="9">
        <f t="shared" si="141"/>
        <v>-43499.118188563945</v>
      </c>
      <c r="Z1083" s="9">
        <f t="shared" si="141"/>
        <v>-42212.453843395568</v>
      </c>
      <c r="AA1083" s="9">
        <f t="shared" si="141"/>
        <v>60227.588278544245</v>
      </c>
      <c r="AB1083" s="9">
        <f t="shared" si="138"/>
        <v>28212.174695208279</v>
      </c>
    </row>
    <row r="1084" spans="1:28" x14ac:dyDescent="0.3">
      <c r="A1084" s="1">
        <v>45987</v>
      </c>
      <c r="B1084" s="2">
        <v>89.89</v>
      </c>
      <c r="C1084" s="2">
        <v>99.57</v>
      </c>
      <c r="D1084" s="9">
        <f>B1084-B1083</f>
        <v>1.0600000000000023</v>
      </c>
      <c r="E1084" s="9">
        <f>C1084-C1083</f>
        <v>1.019999999999996</v>
      </c>
      <c r="F1084" s="3">
        <f>F$1/B1084</f>
        <v>1112.4707976415618</v>
      </c>
      <c r="G1084" s="3">
        <f>F$1/C1084</f>
        <v>1004.3185698503567</v>
      </c>
      <c r="H1084" s="2">
        <f>D1084*F1083</f>
        <v>1193.2905549926852</v>
      </c>
      <c r="I1084" s="2">
        <f>E1084*G1083</f>
        <v>1035.0076103500721</v>
      </c>
      <c r="J1084" s="2">
        <f>I1084-H1084</f>
        <v>-158.28294464261307</v>
      </c>
      <c r="K1084" s="2">
        <f t="shared" si="136"/>
        <v>158.28294464261307</v>
      </c>
      <c r="L1084" s="14">
        <f>C1084/B1084</f>
        <v>1.1076871732117031</v>
      </c>
      <c r="M1084" s="14">
        <f t="shared" si="139"/>
        <v>1.1077050072013981</v>
      </c>
      <c r="N1084" s="14">
        <f t="shared" si="143"/>
        <v>1.1082149346979187</v>
      </c>
      <c r="O1084" s="14">
        <f t="shared" si="144"/>
        <v>1.1061912835425958</v>
      </c>
      <c r="P1084" s="14">
        <f t="shared" si="137"/>
        <v>1.0953954066146041</v>
      </c>
      <c r="Q1084" s="4" t="str">
        <f t="shared" si="142"/>
        <v>OVER</v>
      </c>
      <c r="R1084" s="4" t="str">
        <f t="shared" si="142"/>
        <v>OVER</v>
      </c>
      <c r="S1084" s="4" t="str">
        <f t="shared" si="140"/>
        <v>OVER</v>
      </c>
      <c r="T1084" s="4" t="str">
        <f t="shared" si="140"/>
        <v>OVER</v>
      </c>
      <c r="U1084" s="2">
        <f>IF(Q1084="OVER",$J1084,$K1084)</f>
        <v>-158.28294464261307</v>
      </c>
      <c r="V1084" s="2">
        <f>IF(R1084="OVER",$J1084,$K1084)</f>
        <v>-158.28294464261307</v>
      </c>
      <c r="W1084" s="2">
        <f>IF(S1084="OVER",$J1084,$K1084)</f>
        <v>-158.28294464261307</v>
      </c>
      <c r="X1084" s="2">
        <f>IF(T1084="OVER",$J1084,$K1084)</f>
        <v>-158.28294464261307</v>
      </c>
      <c r="Y1084" s="9">
        <f t="shared" si="141"/>
        <v>-43657.401133206557</v>
      </c>
      <c r="Z1084" s="9">
        <f t="shared" si="141"/>
        <v>-42370.736788038179</v>
      </c>
      <c r="AA1084" s="9">
        <f t="shared" si="141"/>
        <v>60069.305333901633</v>
      </c>
      <c r="AB1084" s="9">
        <f t="shared" si="138"/>
        <v>28053.891750565665</v>
      </c>
    </row>
    <row r="1085" spans="1:28" x14ac:dyDescent="0.3">
      <c r="A1085" s="1">
        <v>45989</v>
      </c>
      <c r="B1085" s="2">
        <v>90.57</v>
      </c>
      <c r="C1085" s="2">
        <v>100.35</v>
      </c>
      <c r="D1085" s="9">
        <f>B1085-B1084</f>
        <v>0.67999999999999261</v>
      </c>
      <c r="E1085" s="9">
        <f>C1085-C1084</f>
        <v>0.78000000000000114</v>
      </c>
      <c r="F1085" s="3">
        <f>F$1/B1085</f>
        <v>1104.1183614883516</v>
      </c>
      <c r="G1085" s="3">
        <f>F$1/C1085</f>
        <v>996.51220727453915</v>
      </c>
      <c r="H1085" s="2">
        <f>D1085*F1084</f>
        <v>756.48014239625377</v>
      </c>
      <c r="I1085" s="2">
        <f>E1085*G1084</f>
        <v>783.3684844832793</v>
      </c>
      <c r="J1085" s="2">
        <f>I1085-H1085</f>
        <v>26.888342087025535</v>
      </c>
      <c r="K1085" s="2">
        <f t="shared" si="136"/>
        <v>-26.888342087025535</v>
      </c>
      <c r="L1085" s="14">
        <f>C1085/B1085</f>
        <v>1.1079827757535607</v>
      </c>
      <c r="M1085" s="14">
        <f t="shared" si="139"/>
        <v>1.1076967244532312</v>
      </c>
      <c r="N1085" s="14">
        <f t="shared" si="143"/>
        <v>1.1081233687731022</v>
      </c>
      <c r="O1085" s="14">
        <f t="shared" si="144"/>
        <v>1.1063132032086103</v>
      </c>
      <c r="P1085" s="14">
        <f t="shared" si="137"/>
        <v>1.0954656009599888</v>
      </c>
      <c r="Q1085" s="4" t="str">
        <f t="shared" si="142"/>
        <v>UNDER</v>
      </c>
      <c r="R1085" s="4" t="str">
        <f t="shared" si="142"/>
        <v>UNDER</v>
      </c>
      <c r="S1085" s="4" t="str">
        <f t="shared" si="140"/>
        <v>OVER</v>
      </c>
      <c r="T1085" s="4" t="str">
        <f t="shared" si="140"/>
        <v>OVER</v>
      </c>
      <c r="U1085" s="2">
        <f>IF(Q1085="OVER",$J1085,$K1085)</f>
        <v>-26.888342087025535</v>
      </c>
      <c r="V1085" s="2">
        <f>IF(R1085="OVER",$J1085,$K1085)</f>
        <v>-26.888342087025535</v>
      </c>
      <c r="W1085" s="2">
        <f>IF(S1085="OVER",$J1085,$K1085)</f>
        <v>26.888342087025535</v>
      </c>
      <c r="X1085" s="2">
        <f>IF(T1085="OVER",$J1085,$K1085)</f>
        <v>26.888342087025535</v>
      </c>
      <c r="Y1085" s="9">
        <f t="shared" si="141"/>
        <v>-43684.289475293583</v>
      </c>
      <c r="Z1085" s="9">
        <f t="shared" si="141"/>
        <v>-42397.625130125205</v>
      </c>
      <c r="AA1085" s="9">
        <f t="shared" si="141"/>
        <v>60096.193675988659</v>
      </c>
      <c r="AB1085" s="9">
        <f t="shared" si="138"/>
        <v>28080.780092652691</v>
      </c>
    </row>
    <row r="1086" spans="1:28" x14ac:dyDescent="0.3">
      <c r="A1086" s="1">
        <v>45992</v>
      </c>
      <c r="B1086" s="2">
        <v>89.98</v>
      </c>
      <c r="C1086" s="2">
        <v>99.47</v>
      </c>
      <c r="D1086" s="9">
        <f>B1086-B1085</f>
        <v>-0.5899999999999892</v>
      </c>
      <c r="E1086" s="9">
        <f>C1086-C1085</f>
        <v>-0.87999999999999545</v>
      </c>
      <c r="F1086" s="3">
        <f>F$1/B1086</f>
        <v>1111.3580795732385</v>
      </c>
      <c r="G1086" s="3">
        <f>F$1/C1086</f>
        <v>1005.3282396702524</v>
      </c>
      <c r="H1086" s="2">
        <f>D1086*F1085</f>
        <v>-651.42983327811555</v>
      </c>
      <c r="I1086" s="2">
        <f>E1086*G1085</f>
        <v>-876.9307424015899</v>
      </c>
      <c r="J1086" s="2">
        <f>I1086-H1086</f>
        <v>-225.50090912347434</v>
      </c>
      <c r="K1086" s="2">
        <f t="shared" si="136"/>
        <v>225.50090912347434</v>
      </c>
      <c r="L1086" s="14">
        <f>C1086/B1086</f>
        <v>1.1054678817515002</v>
      </c>
      <c r="M1086" s="14">
        <f t="shared" si="139"/>
        <v>1.1073835284493778</v>
      </c>
      <c r="N1086" s="14">
        <f t="shared" si="143"/>
        <v>1.1079545129680195</v>
      </c>
      <c r="O1086" s="14">
        <f t="shared" si="144"/>
        <v>1.1063851755986454</v>
      </c>
      <c r="P1086" s="14">
        <f t="shared" si="137"/>
        <v>1.0955272359522648</v>
      </c>
      <c r="Q1086" s="4" t="str">
        <f t="shared" si="142"/>
        <v>OVER</v>
      </c>
      <c r="R1086" s="4" t="str">
        <f t="shared" si="142"/>
        <v>UNDER</v>
      </c>
      <c r="S1086" s="4" t="str">
        <f t="shared" si="140"/>
        <v>UNDER</v>
      </c>
      <c r="T1086" s="4" t="str">
        <f t="shared" si="140"/>
        <v>OVER</v>
      </c>
      <c r="U1086" s="2">
        <f>IF(Q1086="OVER",$J1086,$K1086)</f>
        <v>-225.50090912347434</v>
      </c>
      <c r="V1086" s="2">
        <f>IF(R1086="OVER",$J1086,$K1086)</f>
        <v>225.50090912347434</v>
      </c>
      <c r="W1086" s="2">
        <f>IF(S1086="OVER",$J1086,$K1086)</f>
        <v>225.50090912347434</v>
      </c>
      <c r="X1086" s="2">
        <f>IF(T1086="OVER",$J1086,$K1086)</f>
        <v>-225.50090912347434</v>
      </c>
      <c r="Y1086" s="9">
        <f t="shared" si="141"/>
        <v>-43909.790384417058</v>
      </c>
      <c r="Z1086" s="9">
        <f t="shared" si="141"/>
        <v>-42172.12422100173</v>
      </c>
      <c r="AA1086" s="9">
        <f t="shared" si="141"/>
        <v>60321.694585112135</v>
      </c>
      <c r="AB1086" s="9">
        <f t="shared" si="138"/>
        <v>27855.279183529216</v>
      </c>
    </row>
    <row r="1087" spans="1:28" x14ac:dyDescent="0.3">
      <c r="A1087" s="1">
        <v>45993</v>
      </c>
      <c r="B1087" s="2">
        <v>89.68</v>
      </c>
      <c r="C1087" s="2">
        <v>99</v>
      </c>
      <c r="D1087" s="9">
        <f>B1087-B1086</f>
        <v>-0.29999999999999716</v>
      </c>
      <c r="E1087" s="9">
        <f>C1087-C1086</f>
        <v>-0.46999999999999886</v>
      </c>
      <c r="F1087" s="3">
        <f>F$1/B1087</f>
        <v>1115.0758251561106</v>
      </c>
      <c r="G1087" s="3">
        <f>F$1/C1087</f>
        <v>1010.10101010101</v>
      </c>
      <c r="H1087" s="2">
        <f>D1087*F1086</f>
        <v>-333.40742387196838</v>
      </c>
      <c r="I1087" s="2">
        <f>E1087*G1086</f>
        <v>-472.50427264501747</v>
      </c>
      <c r="J1087" s="2">
        <f>I1087-H1087</f>
        <v>-139.09684877304909</v>
      </c>
      <c r="K1087" s="2">
        <f t="shared" si="136"/>
        <v>139.09684877304909</v>
      </c>
      <c r="L1087" s="14">
        <f>C1087/B1087</f>
        <v>1.1039250669045495</v>
      </c>
      <c r="M1087" s="14">
        <f t="shared" si="139"/>
        <v>1.1069234979619469</v>
      </c>
      <c r="N1087" s="14">
        <f t="shared" si="143"/>
        <v>1.107608907593127</v>
      </c>
      <c r="O1087" s="14">
        <f t="shared" si="144"/>
        <v>1.106392508048337</v>
      </c>
      <c r="P1087" s="14">
        <f t="shared" si="137"/>
        <v>1.0955851052612096</v>
      </c>
      <c r="Q1087" s="4" t="str">
        <f t="shared" si="142"/>
        <v>UNDER</v>
      </c>
      <c r="R1087" s="4" t="str">
        <f t="shared" si="142"/>
        <v>UNDER</v>
      </c>
      <c r="S1087" s="4" t="str">
        <f t="shared" si="140"/>
        <v>UNDER</v>
      </c>
      <c r="T1087" s="4" t="str">
        <f t="shared" si="140"/>
        <v>OVER</v>
      </c>
      <c r="U1087" s="2">
        <f>IF(Q1087="OVER",$J1087,$K1087)</f>
        <v>139.09684877304909</v>
      </c>
      <c r="V1087" s="2">
        <f>IF(R1087="OVER",$J1087,$K1087)</f>
        <v>139.09684877304909</v>
      </c>
      <c r="W1087" s="2">
        <f>IF(S1087="OVER",$J1087,$K1087)</f>
        <v>139.09684877304909</v>
      </c>
      <c r="X1087" s="2">
        <f>IF(T1087="OVER",$J1087,$K1087)</f>
        <v>-139.09684877304909</v>
      </c>
      <c r="Y1087" s="9">
        <f t="shared" si="141"/>
        <v>-43770.693535644008</v>
      </c>
      <c r="Z1087" s="9">
        <f t="shared" si="141"/>
        <v>-42033.02737222868</v>
      </c>
      <c r="AA1087" s="9">
        <f t="shared" si="141"/>
        <v>60460.791433885184</v>
      </c>
      <c r="AB1087" s="9">
        <f t="shared" si="138"/>
        <v>27716.182334756166</v>
      </c>
    </row>
    <row r="1088" spans="1:28" x14ac:dyDescent="0.3">
      <c r="A1088" s="1">
        <v>45994</v>
      </c>
      <c r="B1088" s="2">
        <v>90</v>
      </c>
      <c r="C1088" s="2">
        <v>99.49</v>
      </c>
      <c r="D1088" s="9">
        <f>B1088-B1087</f>
        <v>0.31999999999999318</v>
      </c>
      <c r="E1088" s="9">
        <f>C1088-C1087</f>
        <v>0.48999999999999488</v>
      </c>
      <c r="F1088" s="3">
        <f>F$1/B1088</f>
        <v>1111.1111111111111</v>
      </c>
      <c r="G1088" s="3">
        <f>F$1/C1088</f>
        <v>1005.126143330988</v>
      </c>
      <c r="H1088" s="2">
        <f>D1088*F1087</f>
        <v>356.82426404994777</v>
      </c>
      <c r="I1088" s="2">
        <f>E1088*G1087</f>
        <v>494.94949494948975</v>
      </c>
      <c r="J1088" s="2">
        <f>I1088-H1088</f>
        <v>138.12523089954198</v>
      </c>
      <c r="K1088" s="2">
        <f t="shared" si="136"/>
        <v>-138.12523089954198</v>
      </c>
      <c r="L1088" s="14">
        <f>C1088/B1088</f>
        <v>1.1054444444444445</v>
      </c>
      <c r="M1088" s="14">
        <f t="shared" si="139"/>
        <v>1.1067224527887807</v>
      </c>
      <c r="N1088" s="14">
        <f t="shared" si="143"/>
        <v>1.1074330423836551</v>
      </c>
      <c r="O1088" s="14">
        <f t="shared" si="144"/>
        <v>1.1064624330231236</v>
      </c>
      <c r="P1088" s="14">
        <f t="shared" si="137"/>
        <v>1.0956410109842898</v>
      </c>
      <c r="Q1088" s="4" t="str">
        <f t="shared" si="142"/>
        <v>UNDER</v>
      </c>
      <c r="R1088" s="4" t="str">
        <f t="shared" si="142"/>
        <v>UNDER</v>
      </c>
      <c r="S1088" s="4" t="str">
        <f t="shared" si="140"/>
        <v>UNDER</v>
      </c>
      <c r="T1088" s="4" t="str">
        <f t="shared" si="140"/>
        <v>OVER</v>
      </c>
      <c r="U1088" s="2">
        <f>IF(Q1088="OVER",$J1088,$K1088)</f>
        <v>-138.12523089954198</v>
      </c>
      <c r="V1088" s="2">
        <f>IF(R1088="OVER",$J1088,$K1088)</f>
        <v>-138.12523089954198</v>
      </c>
      <c r="W1088" s="2">
        <f>IF(S1088="OVER",$J1088,$K1088)</f>
        <v>-138.12523089954198</v>
      </c>
      <c r="X1088" s="2">
        <f>IF(T1088="OVER",$J1088,$K1088)</f>
        <v>138.12523089954198</v>
      </c>
      <c r="Y1088" s="9">
        <f t="shared" si="141"/>
        <v>-43908.818766543547</v>
      </c>
      <c r="Z1088" s="9">
        <f t="shared" si="141"/>
        <v>-42171.152603128219</v>
      </c>
      <c r="AA1088" s="9">
        <f t="shared" si="141"/>
        <v>60322.666202985645</v>
      </c>
      <c r="AB1088" s="9">
        <f t="shared" si="138"/>
        <v>27854.307565655708</v>
      </c>
    </row>
    <row r="1089" spans="1:28" x14ac:dyDescent="0.3">
      <c r="A1089" s="1">
        <v>45995</v>
      </c>
      <c r="B1089" s="2">
        <v>90.68</v>
      </c>
      <c r="C1089" s="2">
        <v>100.3</v>
      </c>
      <c r="D1089" s="9">
        <f>B1089-B1088</f>
        <v>0.68000000000000682</v>
      </c>
      <c r="E1089" s="9">
        <f>C1089-C1088</f>
        <v>0.81000000000000227</v>
      </c>
      <c r="F1089" s="3">
        <f>F$1/B1089</f>
        <v>1102.7790030877811</v>
      </c>
      <c r="G1089" s="3">
        <f>F$1/C1089</f>
        <v>997.00897308075776</v>
      </c>
      <c r="H1089" s="2">
        <f>D1089*F1088</f>
        <v>755.55555555556316</v>
      </c>
      <c r="I1089" s="2">
        <f>E1089*G1088</f>
        <v>814.15217609810259</v>
      </c>
      <c r="J1089" s="2">
        <f>I1089-H1089</f>
        <v>58.596620542539426</v>
      </c>
      <c r="K1089" s="2">
        <f t="shared" si="136"/>
        <v>-58.596620542539426</v>
      </c>
      <c r="L1089" s="14">
        <f>C1089/B1089</f>
        <v>1.1060873400970443</v>
      </c>
      <c r="M1089" s="14">
        <f t="shared" si="139"/>
        <v>1.1065889771667572</v>
      </c>
      <c r="N1089" s="14">
        <f t="shared" si="143"/>
        <v>1.1073350610097503</v>
      </c>
      <c r="O1089" s="14">
        <f t="shared" si="144"/>
        <v>1.1065021889351632</v>
      </c>
      <c r="P1089" s="14">
        <f t="shared" si="137"/>
        <v>1.095710467871875</v>
      </c>
      <c r="Q1089" s="4" t="str">
        <f t="shared" si="142"/>
        <v>UNDER</v>
      </c>
      <c r="R1089" s="4" t="str">
        <f t="shared" si="142"/>
        <v>UNDER</v>
      </c>
      <c r="S1089" s="4" t="str">
        <f t="shared" si="140"/>
        <v>UNDER</v>
      </c>
      <c r="T1089" s="4" t="str">
        <f t="shared" si="140"/>
        <v>OVER</v>
      </c>
      <c r="U1089" s="2">
        <f>IF(Q1089="OVER",$J1089,$K1089)</f>
        <v>-58.596620542539426</v>
      </c>
      <c r="V1089" s="2">
        <f>IF(R1089="OVER",$J1089,$K1089)</f>
        <v>-58.596620542539426</v>
      </c>
      <c r="W1089" s="2">
        <f>IF(S1089="OVER",$J1089,$K1089)</f>
        <v>-58.596620542539426</v>
      </c>
      <c r="X1089" s="2">
        <f>IF(T1089="OVER",$J1089,$K1089)</f>
        <v>58.596620542539426</v>
      </c>
      <c r="Y1089" s="9">
        <f t="shared" si="141"/>
        <v>-43967.41538708609</v>
      </c>
      <c r="Z1089" s="9">
        <f t="shared" si="141"/>
        <v>-42229.749223670762</v>
      </c>
      <c r="AA1089" s="9">
        <f t="shared" si="141"/>
        <v>60264.069582443102</v>
      </c>
      <c r="AB1089" s="9">
        <f t="shared" si="138"/>
        <v>27912.904186198248</v>
      </c>
    </row>
    <row r="1090" spans="1:28" x14ac:dyDescent="0.3">
      <c r="A1090" s="1">
        <v>45996</v>
      </c>
      <c r="B1090" s="2">
        <v>90.65</v>
      </c>
      <c r="C1090" s="2">
        <v>100</v>
      </c>
      <c r="D1090" s="9">
        <f>B1090-B1089</f>
        <v>-3.0000000000001137E-2</v>
      </c>
      <c r="E1090" s="9">
        <f>C1090-C1089</f>
        <v>-0.29999999999999716</v>
      </c>
      <c r="F1090" s="3">
        <f>F$1/B1090</f>
        <v>1103.1439602868174</v>
      </c>
      <c r="G1090" s="3">
        <f>F$1/C1090</f>
        <v>1000</v>
      </c>
      <c r="H1090" s="2">
        <f>D1090*F1089</f>
        <v>-33.083370092634688</v>
      </c>
      <c r="I1090" s="2">
        <f>E1090*G1089</f>
        <v>-299.10269192422447</v>
      </c>
      <c r="J1090" s="2">
        <f>I1090-H1090</f>
        <v>-266.01932183158976</v>
      </c>
      <c r="K1090" s="2">
        <f t="shared" si="136"/>
        <v>266.01932183158976</v>
      </c>
      <c r="L1090" s="14">
        <f>C1090/B1090</f>
        <v>1.1031439602868174</v>
      </c>
      <c r="M1090" s="14">
        <f t="shared" si="139"/>
        <v>1.1061147515488154</v>
      </c>
      <c r="N1090" s="14">
        <f t="shared" si="143"/>
        <v>1.1071163848982173</v>
      </c>
      <c r="O1090" s="14">
        <f t="shared" si="144"/>
        <v>1.1065050301987056</v>
      </c>
      <c r="P1090" s="14">
        <f t="shared" si="137"/>
        <v>1.0957545012242489</v>
      </c>
      <c r="Q1090" s="4" t="str">
        <f t="shared" si="142"/>
        <v>UNDER</v>
      </c>
      <c r="R1090" s="4" t="str">
        <f t="shared" si="142"/>
        <v>UNDER</v>
      </c>
      <c r="S1090" s="4" t="str">
        <f t="shared" si="140"/>
        <v>UNDER</v>
      </c>
      <c r="T1090" s="4" t="str">
        <f t="shared" si="140"/>
        <v>OVER</v>
      </c>
      <c r="U1090" s="2">
        <f>IF(Q1090="OVER",$J1090,$K1090)</f>
        <v>266.01932183158976</v>
      </c>
      <c r="V1090" s="2">
        <f>IF(R1090="OVER",$J1090,$K1090)</f>
        <v>266.01932183158976</v>
      </c>
      <c r="W1090" s="2">
        <f>IF(S1090="OVER",$J1090,$K1090)</f>
        <v>266.01932183158976</v>
      </c>
      <c r="X1090" s="2">
        <f>IF(T1090="OVER",$J1090,$K1090)</f>
        <v>-266.01932183158976</v>
      </c>
      <c r="Y1090" s="9">
        <f t="shared" si="141"/>
        <v>-43701.396065254499</v>
      </c>
      <c r="Z1090" s="9">
        <f t="shared" si="141"/>
        <v>-41963.729901839171</v>
      </c>
      <c r="AA1090" s="9">
        <f t="shared" si="141"/>
        <v>60530.088904274693</v>
      </c>
      <c r="AB1090" s="9">
        <f t="shared" si="138"/>
        <v>27646.884864366657</v>
      </c>
    </row>
    <row r="1091" spans="1:28" x14ac:dyDescent="0.3">
      <c r="A1091" s="1">
        <v>45999</v>
      </c>
      <c r="B1091" s="2">
        <v>90.74</v>
      </c>
      <c r="C1091" s="2">
        <v>100.17</v>
      </c>
      <c r="D1091" s="9">
        <f>B1091-B1090</f>
        <v>8.99999999999892E-2</v>
      </c>
      <c r="E1091" s="9">
        <f>C1091-C1090</f>
        <v>0.17000000000000171</v>
      </c>
      <c r="F1091" s="3">
        <f>F$1/B1091</f>
        <v>1102.049812651532</v>
      </c>
      <c r="G1091" s="3">
        <f>F$1/C1091</f>
        <v>998.30288509533796</v>
      </c>
      <c r="H1091" s="2">
        <f>D1091*F1090</f>
        <v>99.282956425801657</v>
      </c>
      <c r="I1091" s="2">
        <f>E1091*G1090</f>
        <v>170.00000000000171</v>
      </c>
      <c r="J1091" s="2">
        <f>I1091-H1091</f>
        <v>70.717043574200048</v>
      </c>
      <c r="K1091" s="2">
        <f t="shared" si="136"/>
        <v>-70.717043574200048</v>
      </c>
      <c r="L1091" s="14">
        <f>C1091/B1091</f>
        <v>1.1039232973330395</v>
      </c>
      <c r="M1091" s="14">
        <f t="shared" si="139"/>
        <v>1.105968628612916</v>
      </c>
      <c r="N1091" s="14">
        <f t="shared" si="143"/>
        <v>1.1069439338441458</v>
      </c>
      <c r="O1091" s="14">
        <f t="shared" si="144"/>
        <v>1.106524311332413</v>
      </c>
      <c r="P1091" s="14">
        <f t="shared" si="137"/>
        <v>1.0958052307696344</v>
      </c>
      <c r="Q1091" s="4" t="str">
        <f t="shared" si="142"/>
        <v>UNDER</v>
      </c>
      <c r="R1091" s="4" t="str">
        <f t="shared" si="142"/>
        <v>UNDER</v>
      </c>
      <c r="S1091" s="4" t="str">
        <f t="shared" si="140"/>
        <v>UNDER</v>
      </c>
      <c r="T1091" s="4" t="str">
        <f t="shared" si="140"/>
        <v>OVER</v>
      </c>
      <c r="U1091" s="2">
        <f>IF(Q1091="OVER",$J1091,$K1091)</f>
        <v>-70.717043574200048</v>
      </c>
      <c r="V1091" s="2">
        <f>IF(R1091="OVER",$J1091,$K1091)</f>
        <v>-70.717043574200048</v>
      </c>
      <c r="W1091" s="2">
        <f>IF(S1091="OVER",$J1091,$K1091)</f>
        <v>-70.717043574200048</v>
      </c>
      <c r="X1091" s="2">
        <f>IF(T1091="OVER",$J1091,$K1091)</f>
        <v>70.717043574200048</v>
      </c>
      <c r="Y1091" s="9">
        <f t="shared" si="141"/>
        <v>-43772.1131088287</v>
      </c>
      <c r="Z1091" s="9">
        <f t="shared" si="141"/>
        <v>-42034.446945413372</v>
      </c>
      <c r="AA1091" s="9">
        <f t="shared" si="141"/>
        <v>60459.371860700492</v>
      </c>
      <c r="AB1091" s="9">
        <f t="shared" si="138"/>
        <v>27717.601907940858</v>
      </c>
    </row>
    <row r="1092" spans="1:28" x14ac:dyDescent="0.3">
      <c r="A1092" s="1">
        <v>46000</v>
      </c>
      <c r="B1092" s="2">
        <v>90.8</v>
      </c>
      <c r="C1092" s="2">
        <v>100.23</v>
      </c>
      <c r="D1092" s="9">
        <f>B1092-B1091</f>
        <v>6.0000000000002274E-2</v>
      </c>
      <c r="E1092" s="9">
        <f>C1092-C1091</f>
        <v>6.0000000000002274E-2</v>
      </c>
      <c r="F1092" s="3">
        <f>F$1/B1092</f>
        <v>1101.3215859030838</v>
      </c>
      <c r="G1092" s="3">
        <f>F$1/C1092</f>
        <v>997.70527786091986</v>
      </c>
      <c r="H1092" s="2">
        <f>D1092*F1091</f>
        <v>66.122988759094426</v>
      </c>
      <c r="I1092" s="2">
        <f>E1092*G1091</f>
        <v>59.898173105722549</v>
      </c>
      <c r="J1092" s="2">
        <f>I1092-H1092</f>
        <v>-6.224815653371877</v>
      </c>
      <c r="K1092" s="2">
        <f t="shared" si="136"/>
        <v>6.224815653371877</v>
      </c>
      <c r="L1092" s="14">
        <f>C1092/B1092</f>
        <v>1.1038546255506609</v>
      </c>
      <c r="M1092" s="14">
        <f t="shared" si="139"/>
        <v>1.1056939057734536</v>
      </c>
      <c r="N1092" s="14">
        <f t="shared" si="143"/>
        <v>1.1067586953592599</v>
      </c>
      <c r="O1092" s="14">
        <f t="shared" si="144"/>
        <v>1.1065056815045293</v>
      </c>
      <c r="P1092" s="14">
        <f t="shared" si="137"/>
        <v>1.0958591823337054</v>
      </c>
      <c r="Q1092" s="4" t="str">
        <f t="shared" si="142"/>
        <v>UNDER</v>
      </c>
      <c r="R1092" s="4" t="str">
        <f t="shared" si="142"/>
        <v>UNDER</v>
      </c>
      <c r="S1092" s="4" t="str">
        <f t="shared" si="140"/>
        <v>UNDER</v>
      </c>
      <c r="T1092" s="4" t="str">
        <f t="shared" si="140"/>
        <v>OVER</v>
      </c>
      <c r="U1092" s="2">
        <f>IF(Q1092="OVER",$J1092,$K1092)</f>
        <v>6.224815653371877</v>
      </c>
      <c r="V1092" s="2">
        <f>IF(R1092="OVER",$J1092,$K1092)</f>
        <v>6.224815653371877</v>
      </c>
      <c r="W1092" s="2">
        <f>IF(S1092="OVER",$J1092,$K1092)</f>
        <v>6.224815653371877</v>
      </c>
      <c r="X1092" s="2">
        <f>IF(T1092="OVER",$J1092,$K1092)</f>
        <v>-6.224815653371877</v>
      </c>
      <c r="Y1092" s="9">
        <f t="shared" si="141"/>
        <v>-43765.888293175325</v>
      </c>
      <c r="Z1092" s="9">
        <f t="shared" si="141"/>
        <v>-42028.222129759997</v>
      </c>
      <c r="AA1092" s="9">
        <f t="shared" si="141"/>
        <v>60465.596676353867</v>
      </c>
      <c r="AB1092" s="9">
        <f t="shared" si="138"/>
        <v>27711.377092287486</v>
      </c>
    </row>
    <row r="1093" spans="1:28" x14ac:dyDescent="0.3">
      <c r="A1093" s="1">
        <v>46001</v>
      </c>
      <c r="B1093" s="2">
        <v>91.02</v>
      </c>
      <c r="C1093" s="2">
        <v>100.26</v>
      </c>
      <c r="D1093" s="9">
        <f>B1093-B1092</f>
        <v>0.21999999999999886</v>
      </c>
      <c r="E1093" s="9">
        <f>C1093-C1092</f>
        <v>3.0000000000001137E-2</v>
      </c>
      <c r="F1093" s="3">
        <f>F$1/B1093</f>
        <v>1098.6596352450013</v>
      </c>
      <c r="G1093" s="3">
        <f>F$1/C1093</f>
        <v>997.40674246957906</v>
      </c>
      <c r="H1093" s="2">
        <f>D1093*F1092</f>
        <v>242.29074889867718</v>
      </c>
      <c r="I1093" s="2">
        <f>E1093*G1092</f>
        <v>29.93115833582873</v>
      </c>
      <c r="J1093" s="2">
        <f>I1093-H1093</f>
        <v>-212.35959056284844</v>
      </c>
      <c r="K1093" s="2">
        <f t="shared" ref="K1093:K1156" si="145">H1093-I1093</f>
        <v>212.35959056284844</v>
      </c>
      <c r="L1093" s="14">
        <f>C1093/B1093</f>
        <v>1.1015161502966382</v>
      </c>
      <c r="M1093" s="14">
        <f t="shared" si="139"/>
        <v>1.1049032715629958</v>
      </c>
      <c r="N1093" s="14">
        <f t="shared" si="143"/>
        <v>1.1063732322039441</v>
      </c>
      <c r="O1093" s="14">
        <f t="shared" si="144"/>
        <v>1.1064255072728932</v>
      </c>
      <c r="P1093" s="14">
        <f t="shared" si="137"/>
        <v>1.0959039647103792</v>
      </c>
      <c r="Q1093" s="4" t="str">
        <f t="shared" si="142"/>
        <v>UNDER</v>
      </c>
      <c r="R1093" s="4" t="str">
        <f t="shared" si="142"/>
        <v>UNDER</v>
      </c>
      <c r="S1093" s="4" t="str">
        <f t="shared" si="140"/>
        <v>UNDER</v>
      </c>
      <c r="T1093" s="4" t="str">
        <f t="shared" si="140"/>
        <v>OVER</v>
      </c>
      <c r="U1093" s="2">
        <f>IF(Q1093="OVER",$J1093,$K1093)</f>
        <v>212.35959056284844</v>
      </c>
      <c r="V1093" s="2">
        <f>IF(R1093="OVER",$J1093,$K1093)</f>
        <v>212.35959056284844</v>
      </c>
      <c r="W1093" s="2">
        <f>IF(S1093="OVER",$J1093,$K1093)</f>
        <v>212.35959056284844</v>
      </c>
      <c r="X1093" s="2">
        <f>IF(T1093="OVER",$J1093,$K1093)</f>
        <v>-212.35959056284844</v>
      </c>
      <c r="Y1093" s="9">
        <f t="shared" si="141"/>
        <v>-43553.528702612479</v>
      </c>
      <c r="Z1093" s="9">
        <f t="shared" si="141"/>
        <v>-41815.862539197151</v>
      </c>
      <c r="AA1093" s="9">
        <f t="shared" si="141"/>
        <v>60677.956266916714</v>
      </c>
      <c r="AB1093" s="9">
        <f t="shared" si="138"/>
        <v>27499.017501724637</v>
      </c>
    </row>
    <row r="1094" spans="1:28" x14ac:dyDescent="0.3">
      <c r="A1094" s="1">
        <v>46002</v>
      </c>
      <c r="B1094" s="2">
        <v>91.41</v>
      </c>
      <c r="C1094" s="2">
        <v>100.79</v>
      </c>
      <c r="D1094" s="9">
        <f>B1094-B1093</f>
        <v>0.39000000000000057</v>
      </c>
      <c r="E1094" s="9">
        <f>C1094-C1093</f>
        <v>0.53000000000000114</v>
      </c>
      <c r="F1094" s="3">
        <f>F$1/B1094</f>
        <v>1093.9722131057872</v>
      </c>
      <c r="G1094" s="3">
        <f>F$1/C1094</f>
        <v>992.16192082547866</v>
      </c>
      <c r="H1094" s="2">
        <f>D1094*F1093</f>
        <v>428.47725774555113</v>
      </c>
      <c r="I1094" s="2">
        <f>E1094*G1093</f>
        <v>528.62557350887801</v>
      </c>
      <c r="J1094" s="2">
        <f>I1094-H1094</f>
        <v>100.14831576332688</v>
      </c>
      <c r="K1094" s="2">
        <f t="shared" si="145"/>
        <v>-100.14831576332688</v>
      </c>
      <c r="L1094" s="14">
        <f>C1094/B1094</f>
        <v>1.102614593589323</v>
      </c>
      <c r="M1094" s="14">
        <f t="shared" si="139"/>
        <v>1.1043960136007578</v>
      </c>
      <c r="N1094" s="14">
        <f t="shared" si="143"/>
        <v>1.106050510401078</v>
      </c>
      <c r="O1094" s="14">
        <f t="shared" si="144"/>
        <v>1.1063972034372771</v>
      </c>
      <c r="P1094" s="14">
        <f t="shared" si="137"/>
        <v>1.0959522738490759</v>
      </c>
      <c r="Q1094" s="4" t="str">
        <f t="shared" si="142"/>
        <v>UNDER</v>
      </c>
      <c r="R1094" s="4" t="str">
        <f t="shared" si="142"/>
        <v>UNDER</v>
      </c>
      <c r="S1094" s="4" t="str">
        <f t="shared" si="140"/>
        <v>UNDER</v>
      </c>
      <c r="T1094" s="4" t="str">
        <f t="shared" si="140"/>
        <v>OVER</v>
      </c>
      <c r="U1094" s="2">
        <f>IF(Q1094="OVER",$J1094,$K1094)</f>
        <v>-100.14831576332688</v>
      </c>
      <c r="V1094" s="2">
        <f>IF(R1094="OVER",$J1094,$K1094)</f>
        <v>-100.14831576332688</v>
      </c>
      <c r="W1094" s="2">
        <f>IF(S1094="OVER",$J1094,$K1094)</f>
        <v>-100.14831576332688</v>
      </c>
      <c r="X1094" s="2">
        <f>IF(T1094="OVER",$J1094,$K1094)</f>
        <v>100.14831576332688</v>
      </c>
      <c r="Y1094" s="9">
        <f t="shared" si="141"/>
        <v>-43653.677018375805</v>
      </c>
      <c r="Z1094" s="9">
        <f t="shared" si="141"/>
        <v>-41916.010854960477</v>
      </c>
      <c r="AA1094" s="9">
        <f t="shared" si="141"/>
        <v>60577.807951153387</v>
      </c>
      <c r="AB1094" s="9">
        <f t="shared" si="138"/>
        <v>27599.165817487963</v>
      </c>
    </row>
    <row r="1095" spans="1:28" x14ac:dyDescent="0.3">
      <c r="A1095" s="1">
        <v>46003</v>
      </c>
      <c r="B1095" s="2">
        <v>90.26</v>
      </c>
      <c r="C1095" s="2">
        <v>99.53</v>
      </c>
      <c r="D1095" s="9">
        <f>B1095-B1094</f>
        <v>-1.1499999999999915</v>
      </c>
      <c r="E1095" s="9">
        <f>C1095-C1094</f>
        <v>-1.2600000000000051</v>
      </c>
      <c r="F1095" s="3">
        <f>F$1/B1095</f>
        <v>1107.9104808331485</v>
      </c>
      <c r="G1095" s="3">
        <f>F$1/C1095</f>
        <v>1004.7221943132723</v>
      </c>
      <c r="H1095" s="2">
        <f>D1095*F1094</f>
        <v>-1258.0680450716459</v>
      </c>
      <c r="I1095" s="2">
        <f>E1095*G1094</f>
        <v>-1250.1240202401082</v>
      </c>
      <c r="J1095" s="2">
        <f>I1095-H1095</f>
        <v>7.9440248315377175</v>
      </c>
      <c r="K1095" s="2">
        <f t="shared" si="145"/>
        <v>-7.9440248315377175</v>
      </c>
      <c r="L1095" s="14">
        <f>C1095/B1095</f>
        <v>1.1027033015732328</v>
      </c>
      <c r="M1095" s="14">
        <f t="shared" si="139"/>
        <v>1.1038680661827249</v>
      </c>
      <c r="N1095" s="14">
        <f t="shared" si="143"/>
        <v>1.1057823953179782</v>
      </c>
      <c r="O1095" s="14">
        <f t="shared" si="144"/>
        <v>1.1063510411830584</v>
      </c>
      <c r="P1095" s="14">
        <f t="shared" si="137"/>
        <v>1.0960102051491649</v>
      </c>
      <c r="Q1095" s="4" t="str">
        <f t="shared" si="142"/>
        <v>UNDER</v>
      </c>
      <c r="R1095" s="4" t="str">
        <f t="shared" si="142"/>
        <v>UNDER</v>
      </c>
      <c r="S1095" s="4" t="str">
        <f t="shared" si="140"/>
        <v>UNDER</v>
      </c>
      <c r="T1095" s="4" t="str">
        <f t="shared" si="140"/>
        <v>OVER</v>
      </c>
      <c r="U1095" s="2">
        <f>IF(Q1095="OVER",$J1095,$K1095)</f>
        <v>-7.9440248315377175</v>
      </c>
      <c r="V1095" s="2">
        <f>IF(R1095="OVER",$J1095,$K1095)</f>
        <v>-7.9440248315377175</v>
      </c>
      <c r="W1095" s="2">
        <f>IF(S1095="OVER",$J1095,$K1095)</f>
        <v>-7.9440248315377175</v>
      </c>
      <c r="X1095" s="2">
        <f>IF(T1095="OVER",$J1095,$K1095)</f>
        <v>7.9440248315377175</v>
      </c>
      <c r="Y1095" s="9">
        <f t="shared" si="141"/>
        <v>-43661.621043207342</v>
      </c>
      <c r="Z1095" s="9">
        <f t="shared" si="141"/>
        <v>-41923.954879792014</v>
      </c>
      <c r="AA1095" s="9">
        <f t="shared" si="141"/>
        <v>60569.86392632185</v>
      </c>
      <c r="AB1095" s="9">
        <f t="shared" si="138"/>
        <v>27607.1098423195</v>
      </c>
    </row>
    <row r="1096" spans="1:28" x14ac:dyDescent="0.3">
      <c r="A1096" s="1">
        <v>46006</v>
      </c>
      <c r="B1096" s="2">
        <v>89.16</v>
      </c>
      <c r="C1096" s="2">
        <v>98.45</v>
      </c>
      <c r="D1096" s="9">
        <f>B1096-B1095</f>
        <v>-1.1000000000000085</v>
      </c>
      <c r="E1096" s="9">
        <f>C1096-C1095</f>
        <v>-1.0799999999999983</v>
      </c>
      <c r="F1096" s="3">
        <f>F$1/B1096</f>
        <v>1121.5791834903544</v>
      </c>
      <c r="G1096" s="3">
        <f>F$1/C1096</f>
        <v>1015.744032503809</v>
      </c>
      <c r="H1096" s="2">
        <f>D1096*F1095</f>
        <v>-1218.7015289164729</v>
      </c>
      <c r="I1096" s="2">
        <f>E1096*G1095</f>
        <v>-1085.0999698583323</v>
      </c>
      <c r="J1096" s="2">
        <f>I1096-H1096</f>
        <v>133.60155905814054</v>
      </c>
      <c r="K1096" s="2">
        <f t="shared" si="145"/>
        <v>-133.60155905814054</v>
      </c>
      <c r="L1096" s="14">
        <f>C1096/B1096</f>
        <v>1.104194706146254</v>
      </c>
      <c r="M1096" s="14">
        <f t="shared" si="139"/>
        <v>1.1037407486222004</v>
      </c>
      <c r="N1096" s="14">
        <f t="shared" si="143"/>
        <v>1.1055621385357892</v>
      </c>
      <c r="O1096" s="14">
        <f t="shared" si="144"/>
        <v>1.1063354997870951</v>
      </c>
      <c r="P1096" s="14">
        <f t="shared" si="137"/>
        <v>1.096080079362231</v>
      </c>
      <c r="Q1096" s="4" t="str">
        <f t="shared" si="142"/>
        <v>UNDER</v>
      </c>
      <c r="R1096" s="4" t="str">
        <f t="shared" si="142"/>
        <v>UNDER</v>
      </c>
      <c r="S1096" s="4" t="str">
        <f t="shared" si="140"/>
        <v>UNDER</v>
      </c>
      <c r="T1096" s="4" t="str">
        <f t="shared" si="140"/>
        <v>OVER</v>
      </c>
      <c r="U1096" s="2">
        <f>IF(Q1096="OVER",$J1096,$K1096)</f>
        <v>-133.60155905814054</v>
      </c>
      <c r="V1096" s="2">
        <f>IF(R1096="OVER",$J1096,$K1096)</f>
        <v>-133.60155905814054</v>
      </c>
      <c r="W1096" s="2">
        <f>IF(S1096="OVER",$J1096,$K1096)</f>
        <v>-133.60155905814054</v>
      </c>
      <c r="X1096" s="2">
        <f>IF(T1096="OVER",$J1096,$K1096)</f>
        <v>133.60155905814054</v>
      </c>
      <c r="Y1096" s="9">
        <f t="shared" si="141"/>
        <v>-43795.22260226548</v>
      </c>
      <c r="Z1096" s="9">
        <f t="shared" si="141"/>
        <v>-42057.556438850152</v>
      </c>
      <c r="AA1096" s="9">
        <f t="shared" si="141"/>
        <v>60436.262367263713</v>
      </c>
      <c r="AB1096" s="9">
        <f t="shared" si="138"/>
        <v>27740.711401377641</v>
      </c>
    </row>
    <row r="1097" spans="1:28" x14ac:dyDescent="0.3">
      <c r="A1097" s="1">
        <v>46007</v>
      </c>
      <c r="B1097" s="2">
        <v>89.05</v>
      </c>
      <c r="C1097" s="2">
        <v>98.21</v>
      </c>
      <c r="D1097" s="9">
        <f>B1097-B1096</f>
        <v>-0.10999999999999943</v>
      </c>
      <c r="E1097" s="9">
        <f>C1097-C1096</f>
        <v>-0.24000000000000909</v>
      </c>
      <c r="F1097" s="3">
        <f>F$1/B1097</f>
        <v>1122.9646266142618</v>
      </c>
      <c r="G1097" s="3">
        <f>F$1/C1097</f>
        <v>1018.2262498727218</v>
      </c>
      <c r="H1097" s="2">
        <f>D1097*F1096</f>
        <v>-123.37371018393834</v>
      </c>
      <c r="I1097" s="2">
        <f>E1097*G1096</f>
        <v>-243.77856780092338</v>
      </c>
      <c r="J1097" s="2">
        <f>I1097-H1097</f>
        <v>-120.40485761698504</v>
      </c>
      <c r="K1097" s="2">
        <f t="shared" si="145"/>
        <v>120.40485761698504</v>
      </c>
      <c r="L1097" s="14">
        <f>C1097/B1097</f>
        <v>1.1028635597978664</v>
      </c>
      <c r="M1097" s="14">
        <f t="shared" si="139"/>
        <v>1.1036345979115318</v>
      </c>
      <c r="N1097" s="14">
        <f t="shared" si="143"/>
        <v>1.1052790479367396</v>
      </c>
      <c r="O1097" s="14">
        <f t="shared" si="144"/>
        <v>1.1063209805335539</v>
      </c>
      <c r="P1097" s="14">
        <f t="shared" si="137"/>
        <v>1.0961289086223549</v>
      </c>
      <c r="Q1097" s="4" t="str">
        <f t="shared" si="142"/>
        <v>OVER</v>
      </c>
      <c r="R1097" s="4" t="str">
        <f t="shared" si="142"/>
        <v>UNDER</v>
      </c>
      <c r="S1097" s="4" t="str">
        <f t="shared" si="140"/>
        <v>UNDER</v>
      </c>
      <c r="T1097" s="4" t="str">
        <f t="shared" si="140"/>
        <v>OVER</v>
      </c>
      <c r="U1097" s="2">
        <f>IF(Q1097="OVER",$J1097,$K1097)</f>
        <v>-120.40485761698504</v>
      </c>
      <c r="V1097" s="2">
        <f>IF(R1097="OVER",$J1097,$K1097)</f>
        <v>120.40485761698504</v>
      </c>
      <c r="W1097" s="2">
        <f>IF(S1097="OVER",$J1097,$K1097)</f>
        <v>120.40485761698504</v>
      </c>
      <c r="X1097" s="2">
        <f>IF(T1097="OVER",$J1097,$K1097)</f>
        <v>-120.40485761698504</v>
      </c>
      <c r="Y1097" s="9">
        <f t="shared" si="141"/>
        <v>-43915.627459882468</v>
      </c>
      <c r="Z1097" s="9">
        <f t="shared" si="141"/>
        <v>-41937.151581233164</v>
      </c>
      <c r="AA1097" s="9">
        <f t="shared" si="141"/>
        <v>60556.667224880701</v>
      </c>
      <c r="AB1097" s="9">
        <f t="shared" si="138"/>
        <v>27620.306543760656</v>
      </c>
    </row>
    <row r="1098" spans="1:28" x14ac:dyDescent="0.3">
      <c r="A1098" s="1">
        <v>46008</v>
      </c>
      <c r="B1098" s="2">
        <v>88.08</v>
      </c>
      <c r="C1098" s="2">
        <v>97.2</v>
      </c>
      <c r="D1098" s="9">
        <f>B1098-B1097</f>
        <v>-0.96999999999999886</v>
      </c>
      <c r="E1098" s="9">
        <f>C1098-C1097</f>
        <v>-1.0099999999999909</v>
      </c>
      <c r="F1098" s="3">
        <f>F$1/B1098</f>
        <v>1135.3315168029064</v>
      </c>
      <c r="G1098" s="3">
        <f>F$1/C1098</f>
        <v>1028.8065843621398</v>
      </c>
      <c r="H1098" s="2">
        <f>D1098*F1097</f>
        <v>-1089.2756878158327</v>
      </c>
      <c r="I1098" s="2">
        <f>E1098*G1097</f>
        <v>-1028.4085123714399</v>
      </c>
      <c r="J1098" s="2">
        <f>I1098-H1098</f>
        <v>60.867175444392842</v>
      </c>
      <c r="K1098" s="2">
        <f t="shared" si="145"/>
        <v>-60.867175444392842</v>
      </c>
      <c r="L1098" s="14">
        <f>C1098/B1098</f>
        <v>1.103542234332425</v>
      </c>
      <c r="M1098" s="14">
        <f t="shared" si="139"/>
        <v>1.1034443769003299</v>
      </c>
      <c r="N1098" s="14">
        <f t="shared" si="143"/>
        <v>1.1050834148445554</v>
      </c>
      <c r="O1098" s="14">
        <f t="shared" si="144"/>
        <v>1.1062561140414289</v>
      </c>
      <c r="P1098" s="14">
        <f t="shared" si="137"/>
        <v>1.0961782913859484</v>
      </c>
      <c r="Q1098" s="4" t="str">
        <f t="shared" si="142"/>
        <v>UNDER</v>
      </c>
      <c r="R1098" s="4" t="str">
        <f t="shared" si="142"/>
        <v>UNDER</v>
      </c>
      <c r="S1098" s="4" t="str">
        <f t="shared" si="140"/>
        <v>UNDER</v>
      </c>
      <c r="T1098" s="4" t="str">
        <f t="shared" si="140"/>
        <v>OVER</v>
      </c>
      <c r="U1098" s="2">
        <f>IF(Q1098="OVER",$J1098,$K1098)</f>
        <v>-60.867175444392842</v>
      </c>
      <c r="V1098" s="2">
        <f>IF(R1098="OVER",$J1098,$K1098)</f>
        <v>-60.867175444392842</v>
      </c>
      <c r="W1098" s="2">
        <f>IF(S1098="OVER",$J1098,$K1098)</f>
        <v>-60.867175444392842</v>
      </c>
      <c r="X1098" s="2">
        <f>IF(T1098="OVER",$J1098,$K1098)</f>
        <v>60.867175444392842</v>
      </c>
      <c r="Y1098" s="9">
        <f t="shared" si="141"/>
        <v>-43976.494635326861</v>
      </c>
      <c r="Z1098" s="9">
        <f t="shared" si="141"/>
        <v>-41998.018756677557</v>
      </c>
      <c r="AA1098" s="9">
        <f t="shared" si="141"/>
        <v>60495.800049436308</v>
      </c>
      <c r="AB1098" s="9">
        <f t="shared" si="138"/>
        <v>27681.17371920505</v>
      </c>
    </row>
    <row r="1099" spans="1:28" x14ac:dyDescent="0.3">
      <c r="A1099" s="1">
        <v>46009</v>
      </c>
      <c r="B1099" s="2">
        <v>88.73</v>
      </c>
      <c r="C1099" s="2">
        <v>98.16</v>
      </c>
      <c r="D1099" s="9">
        <f>B1099-B1098</f>
        <v>0.65000000000000568</v>
      </c>
      <c r="E1099" s="9">
        <f>C1099-C1098</f>
        <v>0.95999999999999375</v>
      </c>
      <c r="F1099" s="3">
        <f>F$1/B1099</f>
        <v>1127.0145384875464</v>
      </c>
      <c r="G1099" s="3">
        <f>F$1/C1099</f>
        <v>1018.7449062754687</v>
      </c>
      <c r="H1099" s="2">
        <f>D1099*F1098</f>
        <v>737.96548592189561</v>
      </c>
      <c r="I1099" s="2">
        <f>E1099*G1098</f>
        <v>987.65432098764779</v>
      </c>
      <c r="J1099" s="2">
        <f>I1099-H1099</f>
        <v>249.68883506575219</v>
      </c>
      <c r="K1099" s="2">
        <f t="shared" si="145"/>
        <v>-249.68883506575219</v>
      </c>
      <c r="L1099" s="14">
        <f>C1099/B1099</f>
        <v>1.1062774709793755</v>
      </c>
      <c r="M1099" s="14">
        <f t="shared" si="139"/>
        <v>1.1034633899885633</v>
      </c>
      <c r="N1099" s="14">
        <f t="shared" si="143"/>
        <v>1.1050261835776602</v>
      </c>
      <c r="O1099" s="14">
        <f t="shared" si="144"/>
        <v>1.1063240769194442</v>
      </c>
      <c r="P1099" s="14">
        <f t="shared" ref="P1099:P1162" si="146">AVERAGE(L900:L1099)</f>
        <v>1.0962394194627567</v>
      </c>
      <c r="Q1099" s="4" t="str">
        <f t="shared" si="142"/>
        <v>OVER</v>
      </c>
      <c r="R1099" s="4" t="str">
        <f t="shared" si="142"/>
        <v>UNDER</v>
      </c>
      <c r="S1099" s="4" t="str">
        <f t="shared" si="140"/>
        <v>UNDER</v>
      </c>
      <c r="T1099" s="4" t="str">
        <f t="shared" si="140"/>
        <v>OVER</v>
      </c>
      <c r="U1099" s="2">
        <f>IF(Q1099="OVER",$J1099,$K1099)</f>
        <v>249.68883506575219</v>
      </c>
      <c r="V1099" s="2">
        <f>IF(R1099="OVER",$J1099,$K1099)</f>
        <v>-249.68883506575219</v>
      </c>
      <c r="W1099" s="2">
        <f>IF(S1099="OVER",$J1099,$K1099)</f>
        <v>-249.68883506575219</v>
      </c>
      <c r="X1099" s="2">
        <f>IF(T1099="OVER",$J1099,$K1099)</f>
        <v>249.68883506575219</v>
      </c>
      <c r="Y1099" s="9">
        <f t="shared" si="141"/>
        <v>-43726.805800261107</v>
      </c>
      <c r="Z1099" s="9">
        <f t="shared" si="141"/>
        <v>-42247.70759174331</v>
      </c>
      <c r="AA1099" s="9">
        <f t="shared" si="141"/>
        <v>60246.111214370554</v>
      </c>
      <c r="AB1099" s="9">
        <f t="shared" si="138"/>
        <v>27930.862554270803</v>
      </c>
    </row>
    <row r="1100" spans="1:28" x14ac:dyDescent="0.3">
      <c r="A1100" s="1">
        <v>46010</v>
      </c>
      <c r="B1100" s="2">
        <v>90.23</v>
      </c>
      <c r="C1100" s="2">
        <v>99.43</v>
      </c>
      <c r="D1100" s="9">
        <f>B1100-B1099</f>
        <v>1.5</v>
      </c>
      <c r="E1100" s="9">
        <f>C1100-C1099</f>
        <v>1.2700000000000102</v>
      </c>
      <c r="F1100" s="3">
        <f>F$1/B1100</f>
        <v>1108.278842956888</v>
      </c>
      <c r="G1100" s="3">
        <f>F$1/C1100</f>
        <v>1005.7326762546514</v>
      </c>
      <c r="H1100" s="2">
        <f>D1100*F1099</f>
        <v>1690.5218077313195</v>
      </c>
      <c r="I1100" s="2">
        <f>E1100*G1099</f>
        <v>1293.8060309698556</v>
      </c>
      <c r="J1100" s="2">
        <f>I1100-H1100</f>
        <v>-396.71577676146399</v>
      </c>
      <c r="K1100" s="2">
        <f t="shared" si="145"/>
        <v>396.71577676146399</v>
      </c>
      <c r="L1100" s="14">
        <f>C1100/B1100</f>
        <v>1.1019616535520338</v>
      </c>
      <c r="M1100" s="14">
        <f t="shared" si="139"/>
        <v>1.1033451593150849</v>
      </c>
      <c r="N1100" s="14">
        <f t="shared" si="143"/>
        <v>1.1047299554319503</v>
      </c>
      <c r="O1100" s="14">
        <f t="shared" si="144"/>
        <v>1.1062814613780241</v>
      </c>
      <c r="P1100" s="14">
        <f t="shared" si="146"/>
        <v>1.0962806187321927</v>
      </c>
      <c r="Q1100" s="4" t="str">
        <f t="shared" si="142"/>
        <v>OVER</v>
      </c>
      <c r="R1100" s="4" t="str">
        <f t="shared" si="142"/>
        <v>OVER</v>
      </c>
      <c r="S1100" s="4" t="str">
        <f t="shared" si="140"/>
        <v>UNDER</v>
      </c>
      <c r="T1100" s="4" t="str">
        <f t="shared" si="140"/>
        <v>OVER</v>
      </c>
      <c r="U1100" s="2">
        <f>IF(Q1100="OVER",$J1100,$K1100)</f>
        <v>-396.71577676146399</v>
      </c>
      <c r="V1100" s="2">
        <f>IF(R1100="OVER",$J1100,$K1100)</f>
        <v>-396.71577676146399</v>
      </c>
      <c r="W1100" s="2">
        <f>IF(S1100="OVER",$J1100,$K1100)</f>
        <v>396.71577676146399</v>
      </c>
      <c r="X1100" s="2">
        <f>IF(T1100="OVER",$J1100,$K1100)</f>
        <v>-396.71577676146399</v>
      </c>
      <c r="Y1100" s="9">
        <f t="shared" si="141"/>
        <v>-44123.52157702257</v>
      </c>
      <c r="Z1100" s="9">
        <f t="shared" si="141"/>
        <v>-42644.423368504773</v>
      </c>
      <c r="AA1100" s="9">
        <f t="shared" si="141"/>
        <v>60642.826991132017</v>
      </c>
      <c r="AB1100" s="9">
        <f t="shared" si="141"/>
        <v>27534.146777509341</v>
      </c>
    </row>
    <row r="1101" spans="1:28" x14ac:dyDescent="0.3">
      <c r="A1101" s="1">
        <v>46013</v>
      </c>
      <c r="B1101" s="2">
        <v>90.98</v>
      </c>
      <c r="C1101" s="2">
        <v>100.22</v>
      </c>
      <c r="D1101" s="9">
        <f>B1101-B1100</f>
        <v>0.75</v>
      </c>
      <c r="E1101" s="9">
        <f>C1101-C1100</f>
        <v>0.78999999999999204</v>
      </c>
      <c r="F1101" s="3">
        <f>F$1/B1101</f>
        <v>1099.1426687183996</v>
      </c>
      <c r="G1101" s="3">
        <f>F$1/C1101</f>
        <v>997.8048293753742</v>
      </c>
      <c r="H1101" s="2">
        <f>D1101*F1100</f>
        <v>831.20913221766591</v>
      </c>
      <c r="I1101" s="2">
        <f>E1101*G1100</f>
        <v>794.52881424116663</v>
      </c>
      <c r="J1101" s="2">
        <f>I1101-H1101</f>
        <v>-36.680317976499282</v>
      </c>
      <c r="K1101" s="2">
        <f t="shared" si="145"/>
        <v>36.680317976499282</v>
      </c>
      <c r="L1101" s="14">
        <f>C1101/B1101</f>
        <v>1.1015607825895801</v>
      </c>
      <c r="M1101" s="14">
        <f t="shared" ref="M1101:M1164" si="147">AVERAGE(L1092:L1101)</f>
        <v>1.1031089078407388</v>
      </c>
      <c r="N1101" s="14">
        <f t="shared" si="143"/>
        <v>1.1045387682268275</v>
      </c>
      <c r="O1101" s="14">
        <f t="shared" si="144"/>
        <v>1.1062268684489578</v>
      </c>
      <c r="P1101" s="14">
        <f t="shared" si="146"/>
        <v>1.0963242060107112</v>
      </c>
      <c r="Q1101" s="4" t="str">
        <f t="shared" si="142"/>
        <v>UNDER</v>
      </c>
      <c r="R1101" s="4" t="str">
        <f t="shared" si="142"/>
        <v>UNDER</v>
      </c>
      <c r="S1101" s="4" t="str">
        <f t="shared" ref="S1101:T1164" si="148">IF($L1101&gt;O1101,"OVER","UNDER")</f>
        <v>UNDER</v>
      </c>
      <c r="T1101" s="4" t="str">
        <f t="shared" si="148"/>
        <v>OVER</v>
      </c>
      <c r="U1101" s="2">
        <f>IF(Q1101="OVER",$J1101,$K1101)</f>
        <v>36.680317976499282</v>
      </c>
      <c r="V1101" s="2">
        <f>IF(R1101="OVER",$J1101,$K1101)</f>
        <v>36.680317976499282</v>
      </c>
      <c r="W1101" s="2">
        <f>IF(S1101="OVER",$J1101,$K1101)</f>
        <v>36.680317976499282</v>
      </c>
      <c r="X1101" s="2">
        <f>IF(T1101="OVER",$J1101,$K1101)</f>
        <v>-36.680317976499282</v>
      </c>
      <c r="Y1101" s="9">
        <f t="shared" ref="Y1101:AB1164" si="149">Y1100+U1101</f>
        <v>-44086.841259046072</v>
      </c>
      <c r="Z1101" s="9">
        <f t="shared" si="149"/>
        <v>-42607.743050528275</v>
      </c>
      <c r="AA1101" s="9">
        <f t="shared" si="149"/>
        <v>60679.507309108514</v>
      </c>
      <c r="AB1101" s="9">
        <f t="shared" si="149"/>
        <v>27497.466459532843</v>
      </c>
    </row>
    <row r="1102" spans="1:28" x14ac:dyDescent="0.3">
      <c r="A1102" s="1">
        <v>46014</v>
      </c>
      <c r="B1102" s="2">
        <v>90.6</v>
      </c>
      <c r="C1102" s="2">
        <v>99.88</v>
      </c>
      <c r="D1102" s="9">
        <f>B1102-B1101</f>
        <v>-0.38000000000000966</v>
      </c>
      <c r="E1102" s="9">
        <f>C1102-C1101</f>
        <v>-0.34000000000000341</v>
      </c>
      <c r="F1102" s="3">
        <f>F$1/B1102</f>
        <v>1103.7527593818986</v>
      </c>
      <c r="G1102" s="3">
        <f>F$1/C1102</f>
        <v>1001.2014417300761</v>
      </c>
      <c r="H1102" s="2">
        <f>D1102*F1101</f>
        <v>-417.67421411300245</v>
      </c>
      <c r="I1102" s="2">
        <f>E1102*G1101</f>
        <v>-339.25364198763066</v>
      </c>
      <c r="J1102" s="2">
        <f>I1102-H1102</f>
        <v>78.420572125371791</v>
      </c>
      <c r="K1102" s="2">
        <f t="shared" si="145"/>
        <v>-78.420572125371791</v>
      </c>
      <c r="L1102" s="14">
        <f>C1102/B1102</f>
        <v>1.1024282560706402</v>
      </c>
      <c r="M1102" s="14">
        <f t="shared" si="147"/>
        <v>1.1029662708927366</v>
      </c>
      <c r="N1102" s="14">
        <f t="shared" si="143"/>
        <v>1.1043300883330953</v>
      </c>
      <c r="O1102" s="14">
        <f t="shared" si="144"/>
        <v>1.106228070814719</v>
      </c>
      <c r="P1102" s="14">
        <f t="shared" si="146"/>
        <v>1.0963632587267798</v>
      </c>
      <c r="Q1102" s="4" t="str">
        <f t="shared" ref="Q1102:R1165" si="150">IF($L1101&gt;M1101,"OVER","UNDER")</f>
        <v>UNDER</v>
      </c>
      <c r="R1102" s="4" t="str">
        <f t="shared" si="150"/>
        <v>UNDER</v>
      </c>
      <c r="S1102" s="4" t="str">
        <f t="shared" si="148"/>
        <v>UNDER</v>
      </c>
      <c r="T1102" s="4" t="str">
        <f t="shared" si="148"/>
        <v>OVER</v>
      </c>
      <c r="U1102" s="2">
        <f>IF(Q1102="OVER",$J1102,$K1102)</f>
        <v>-78.420572125371791</v>
      </c>
      <c r="V1102" s="2">
        <f>IF(R1102="OVER",$J1102,$K1102)</f>
        <v>-78.420572125371791</v>
      </c>
      <c r="W1102" s="2">
        <f>IF(S1102="OVER",$J1102,$K1102)</f>
        <v>-78.420572125371791</v>
      </c>
      <c r="X1102" s="2">
        <f>IF(T1102="OVER",$J1102,$K1102)</f>
        <v>78.420572125371791</v>
      </c>
      <c r="Y1102" s="9">
        <f t="shared" si="149"/>
        <v>-44165.261831171447</v>
      </c>
      <c r="Z1102" s="9">
        <f t="shared" si="149"/>
        <v>-42686.16362265365</v>
      </c>
      <c r="AA1102" s="9">
        <f t="shared" si="149"/>
        <v>60601.086736983139</v>
      </c>
      <c r="AB1102" s="9">
        <f t="shared" si="149"/>
        <v>27575.887031658214</v>
      </c>
    </row>
    <row r="1103" spans="1:28" x14ac:dyDescent="0.3">
      <c r="A1103" s="1">
        <v>46015</v>
      </c>
      <c r="B1103" s="2">
        <v>90.74</v>
      </c>
      <c r="C1103" s="2">
        <v>99.87</v>
      </c>
      <c r="D1103" s="9">
        <f>B1103-B1102</f>
        <v>0.14000000000000057</v>
      </c>
      <c r="E1103" s="9">
        <f>C1103-C1102</f>
        <v>-9.9999999999909051E-3</v>
      </c>
      <c r="F1103" s="3">
        <f>F$1/B1103</f>
        <v>1102.049812651532</v>
      </c>
      <c r="G1103" s="3">
        <f>F$1/C1103</f>
        <v>1001.3016921998598</v>
      </c>
      <c r="H1103" s="2">
        <f>D1103*F1102</f>
        <v>154.52538631346644</v>
      </c>
      <c r="I1103" s="2">
        <f>E1103*G1102</f>
        <v>-10.012014417291656</v>
      </c>
      <c r="J1103" s="2">
        <f>I1103-H1103</f>
        <v>-164.53740073075809</v>
      </c>
      <c r="K1103" s="2">
        <f t="shared" si="145"/>
        <v>164.53740073075809</v>
      </c>
      <c r="L1103" s="14">
        <f>C1103/B1103</f>
        <v>1.100617147895085</v>
      </c>
      <c r="M1103" s="14">
        <f t="shared" si="147"/>
        <v>1.1028763706525815</v>
      </c>
      <c r="N1103" s="14">
        <f t="shared" si="143"/>
        <v>1.1038898211077888</v>
      </c>
      <c r="O1103" s="14">
        <f t="shared" si="144"/>
        <v>1.1061157770273835</v>
      </c>
      <c r="P1103" s="14">
        <f t="shared" si="146"/>
        <v>1.0964017919829634</v>
      </c>
      <c r="Q1103" s="4" t="str">
        <f t="shared" si="150"/>
        <v>UNDER</v>
      </c>
      <c r="R1103" s="4" t="str">
        <f t="shared" si="150"/>
        <v>UNDER</v>
      </c>
      <c r="S1103" s="4" t="str">
        <f t="shared" si="148"/>
        <v>UNDER</v>
      </c>
      <c r="T1103" s="4" t="str">
        <f t="shared" si="148"/>
        <v>OVER</v>
      </c>
      <c r="U1103" s="2">
        <f>IF(Q1103="OVER",$J1103,$K1103)</f>
        <v>164.53740073075809</v>
      </c>
      <c r="V1103" s="2">
        <f>IF(R1103="OVER",$J1103,$K1103)</f>
        <v>164.53740073075809</v>
      </c>
      <c r="W1103" s="2">
        <f>IF(S1103="OVER",$J1103,$K1103)</f>
        <v>164.53740073075809</v>
      </c>
      <c r="X1103" s="2">
        <f>IF(T1103="OVER",$J1103,$K1103)</f>
        <v>-164.53740073075809</v>
      </c>
      <c r="Y1103" s="9">
        <f t="shared" si="149"/>
        <v>-44000.724430440692</v>
      </c>
      <c r="Z1103" s="9">
        <f t="shared" si="149"/>
        <v>-42521.626221922896</v>
      </c>
      <c r="AA1103" s="9">
        <f t="shared" si="149"/>
        <v>60765.624137713894</v>
      </c>
      <c r="AB1103" s="9">
        <f t="shared" si="149"/>
        <v>27411.349630927456</v>
      </c>
    </row>
    <row r="1104" spans="1:28" x14ac:dyDescent="0.3">
      <c r="A1104" s="1">
        <v>46017</v>
      </c>
      <c r="B1104" s="2">
        <v>90.42</v>
      </c>
      <c r="C1104" s="2">
        <v>99.65</v>
      </c>
      <c r="D1104" s="9">
        <f>B1104-B1103</f>
        <v>-0.31999999999999318</v>
      </c>
      <c r="E1104" s="9">
        <f>C1104-C1103</f>
        <v>-0.21999999999999886</v>
      </c>
      <c r="F1104" s="3">
        <f>F$1/B1104</f>
        <v>1105.9500110595002</v>
      </c>
      <c r="G1104" s="3">
        <f>F$1/C1104</f>
        <v>1003.5122930255895</v>
      </c>
      <c r="H1104" s="2">
        <f>D1104*F1103</f>
        <v>-352.65594004848271</v>
      </c>
      <c r="I1104" s="2">
        <f>E1104*G1103</f>
        <v>-220.28637228396801</v>
      </c>
      <c r="J1104" s="2">
        <f>I1104-H1104</f>
        <v>132.3695677645147</v>
      </c>
      <c r="K1104" s="2">
        <f t="shared" si="145"/>
        <v>-132.3695677645147</v>
      </c>
      <c r="L1104" s="14">
        <f>C1104/B1104</f>
        <v>1.1020791860207919</v>
      </c>
      <c r="M1104" s="14">
        <f t="shared" si="147"/>
        <v>1.1028228298957283</v>
      </c>
      <c r="N1104" s="14">
        <f t="shared" si="143"/>
        <v>1.1036094217482433</v>
      </c>
      <c r="O1104" s="14">
        <f t="shared" si="144"/>
        <v>1.1060143506857143</v>
      </c>
      <c r="P1104" s="14">
        <f t="shared" si="146"/>
        <v>1.096447132393799</v>
      </c>
      <c r="Q1104" s="4" t="str">
        <f t="shared" si="150"/>
        <v>UNDER</v>
      </c>
      <c r="R1104" s="4" t="str">
        <f t="shared" si="150"/>
        <v>UNDER</v>
      </c>
      <c r="S1104" s="4" t="str">
        <f t="shared" si="148"/>
        <v>UNDER</v>
      </c>
      <c r="T1104" s="4" t="str">
        <f t="shared" si="148"/>
        <v>OVER</v>
      </c>
      <c r="U1104" s="2">
        <f>IF(Q1104="OVER",$J1104,$K1104)</f>
        <v>-132.3695677645147</v>
      </c>
      <c r="V1104" s="2">
        <f>IF(R1104="OVER",$J1104,$K1104)</f>
        <v>-132.3695677645147</v>
      </c>
      <c r="W1104" s="2">
        <f>IF(S1104="OVER",$J1104,$K1104)</f>
        <v>-132.3695677645147</v>
      </c>
      <c r="X1104" s="2">
        <f>IF(T1104="OVER",$J1104,$K1104)</f>
        <v>132.3695677645147</v>
      </c>
      <c r="Y1104" s="9">
        <f t="shared" si="149"/>
        <v>-44133.093998205208</v>
      </c>
      <c r="Z1104" s="9">
        <f t="shared" si="149"/>
        <v>-42653.995789687411</v>
      </c>
      <c r="AA1104" s="9">
        <f t="shared" si="149"/>
        <v>60633.254569949378</v>
      </c>
      <c r="AB1104" s="9">
        <f t="shared" si="149"/>
        <v>27543.719198691972</v>
      </c>
    </row>
    <row r="1105" spans="1:28" x14ac:dyDescent="0.3">
      <c r="A1105" s="1">
        <v>46020</v>
      </c>
      <c r="B1105" s="2">
        <v>89.98</v>
      </c>
      <c r="C1105" s="2">
        <v>99.18</v>
      </c>
      <c r="D1105" s="9">
        <f>B1105-B1104</f>
        <v>-0.43999999999999773</v>
      </c>
      <c r="E1105" s="9">
        <f>C1105-C1104</f>
        <v>-0.46999999999999886</v>
      </c>
      <c r="F1105" s="3">
        <f>F$1/B1105</f>
        <v>1111.3580795732385</v>
      </c>
      <c r="G1105" s="3">
        <f>F$1/C1105</f>
        <v>1008.2677959265981</v>
      </c>
      <c r="H1105" s="2">
        <f>D1105*F1104</f>
        <v>-486.61800486617756</v>
      </c>
      <c r="I1105" s="2">
        <f>E1105*G1104</f>
        <v>-471.65077772202596</v>
      </c>
      <c r="J1105" s="2">
        <f>I1105-H1105</f>
        <v>14.967227144151593</v>
      </c>
      <c r="K1105" s="2">
        <f t="shared" si="145"/>
        <v>-14.967227144151593</v>
      </c>
      <c r="L1105" s="14">
        <f>C1105/B1105</f>
        <v>1.102244943320738</v>
      </c>
      <c r="M1105" s="14">
        <f t="shared" si="147"/>
        <v>1.102776994070479</v>
      </c>
      <c r="N1105" s="14">
        <f t="shared" si="143"/>
        <v>1.1033225301266021</v>
      </c>
      <c r="O1105" s="14">
        <f t="shared" si="144"/>
        <v>1.1059324646105453</v>
      </c>
      <c r="P1105" s="14">
        <f t="shared" si="146"/>
        <v>1.096484797520821</v>
      </c>
      <c r="Q1105" s="4" t="str">
        <f t="shared" si="150"/>
        <v>UNDER</v>
      </c>
      <c r="R1105" s="4" t="str">
        <f t="shared" si="150"/>
        <v>UNDER</v>
      </c>
      <c r="S1105" s="4" t="str">
        <f t="shared" si="148"/>
        <v>UNDER</v>
      </c>
      <c r="T1105" s="4" t="str">
        <f t="shared" si="148"/>
        <v>OVER</v>
      </c>
      <c r="U1105" s="2">
        <f>IF(Q1105="OVER",$J1105,$K1105)</f>
        <v>-14.967227144151593</v>
      </c>
      <c r="V1105" s="2">
        <f>IF(R1105="OVER",$J1105,$K1105)</f>
        <v>-14.967227144151593</v>
      </c>
      <c r="W1105" s="2">
        <f>IF(S1105="OVER",$J1105,$K1105)</f>
        <v>-14.967227144151593</v>
      </c>
      <c r="X1105" s="2">
        <f>IF(T1105="OVER",$J1105,$K1105)</f>
        <v>14.967227144151593</v>
      </c>
      <c r="Y1105" s="9">
        <f t="shared" si="149"/>
        <v>-44148.06122534936</v>
      </c>
      <c r="Z1105" s="9">
        <f t="shared" si="149"/>
        <v>-42668.963016831563</v>
      </c>
      <c r="AA1105" s="9">
        <f t="shared" si="149"/>
        <v>60618.287342805226</v>
      </c>
      <c r="AB1105" s="9">
        <f t="shared" si="149"/>
        <v>27558.686425836124</v>
      </c>
    </row>
    <row r="1106" spans="1:28" x14ac:dyDescent="0.3">
      <c r="A1106" s="1">
        <v>46021</v>
      </c>
      <c r="B1106" s="2">
        <v>89.64</v>
      </c>
      <c r="C1106" s="2">
        <v>98.86</v>
      </c>
      <c r="D1106" s="9">
        <f>B1106-B1105</f>
        <v>-0.34000000000000341</v>
      </c>
      <c r="E1106" s="9">
        <f>C1106-C1105</f>
        <v>-0.32000000000000739</v>
      </c>
      <c r="F1106" s="3">
        <f>F$1/B1106</f>
        <v>1115.5734047300311</v>
      </c>
      <c r="G1106" s="3">
        <f>F$1/C1106</f>
        <v>1011.5314586283633</v>
      </c>
      <c r="H1106" s="2">
        <f>D1106*F1105</f>
        <v>-377.86174705490487</v>
      </c>
      <c r="I1106" s="2">
        <f>E1106*G1105</f>
        <v>-322.64569469651883</v>
      </c>
      <c r="J1106" s="2">
        <f>I1106-H1106</f>
        <v>55.216052358386037</v>
      </c>
      <c r="K1106" s="2">
        <f t="shared" si="145"/>
        <v>-55.216052358386037</v>
      </c>
      <c r="L1106" s="14">
        <f>C1106/B1106</f>
        <v>1.1028558679161089</v>
      </c>
      <c r="M1106" s="14">
        <f t="shared" si="147"/>
        <v>1.1026431102474645</v>
      </c>
      <c r="N1106" s="14">
        <f t="shared" si="143"/>
        <v>1.1031919294348325</v>
      </c>
      <c r="O1106" s="14">
        <f t="shared" si="144"/>
        <v>1.1058713981756891</v>
      </c>
      <c r="P1106" s="14">
        <f t="shared" si="146"/>
        <v>1.0965367015204197</v>
      </c>
      <c r="Q1106" s="4" t="str">
        <f t="shared" si="150"/>
        <v>UNDER</v>
      </c>
      <c r="R1106" s="4" t="str">
        <f t="shared" si="150"/>
        <v>UNDER</v>
      </c>
      <c r="S1106" s="4" t="str">
        <f t="shared" si="148"/>
        <v>UNDER</v>
      </c>
      <c r="T1106" s="4" t="str">
        <f t="shared" si="148"/>
        <v>OVER</v>
      </c>
      <c r="U1106" s="2">
        <f>IF(Q1106="OVER",$J1106,$K1106)</f>
        <v>-55.216052358386037</v>
      </c>
      <c r="V1106" s="2">
        <f>IF(R1106="OVER",$J1106,$K1106)</f>
        <v>-55.216052358386037</v>
      </c>
      <c r="W1106" s="2">
        <f>IF(S1106="OVER",$J1106,$K1106)</f>
        <v>-55.216052358386037</v>
      </c>
      <c r="X1106" s="2">
        <f>IF(T1106="OVER",$J1106,$K1106)</f>
        <v>55.216052358386037</v>
      </c>
      <c r="Y1106" s="9">
        <f t="shared" si="149"/>
        <v>-44203.277277707748</v>
      </c>
      <c r="Z1106" s="9">
        <f t="shared" si="149"/>
        <v>-42724.179069189951</v>
      </c>
      <c r="AA1106" s="9">
        <f t="shared" si="149"/>
        <v>60563.071290446838</v>
      </c>
      <c r="AB1106" s="9">
        <f t="shared" si="149"/>
        <v>27613.902478194508</v>
      </c>
    </row>
    <row r="1107" spans="1:28" x14ac:dyDescent="0.3">
      <c r="A1107" s="1">
        <v>46022</v>
      </c>
      <c r="B1107" s="2">
        <v>89.2</v>
      </c>
      <c r="C1107" s="2">
        <v>98.5</v>
      </c>
      <c r="D1107" s="9">
        <f>B1107-B1106</f>
        <v>-0.43999999999999773</v>
      </c>
      <c r="E1107" s="9">
        <f>C1107-C1106</f>
        <v>-0.35999999999999943</v>
      </c>
      <c r="F1107" s="3">
        <f>F$1/B1107</f>
        <v>1121.0762331838564</v>
      </c>
      <c r="G1107" s="3">
        <f>F$1/C1107</f>
        <v>1015.2284263959391</v>
      </c>
      <c r="H1107" s="2">
        <f>D1107*F1106</f>
        <v>-490.85229808121119</v>
      </c>
      <c r="I1107" s="2">
        <f>E1107*G1106</f>
        <v>-364.15132510621021</v>
      </c>
      <c r="J1107" s="2">
        <f>I1107-H1107</f>
        <v>126.70097297500098</v>
      </c>
      <c r="K1107" s="2">
        <f t="shared" si="145"/>
        <v>-126.70097297500098</v>
      </c>
      <c r="L1107" s="14">
        <f>C1107/B1107</f>
        <v>1.1042600896860986</v>
      </c>
      <c r="M1107" s="14">
        <f t="shared" si="147"/>
        <v>1.1027827632362877</v>
      </c>
      <c r="N1107" s="14">
        <f t="shared" si="143"/>
        <v>1.1032086805739099</v>
      </c>
      <c r="O1107" s="14">
        <f t="shared" si="144"/>
        <v>1.1058466861763077</v>
      </c>
      <c r="P1107" s="14">
        <f t="shared" si="146"/>
        <v>1.096588608964735</v>
      </c>
      <c r="Q1107" s="4" t="str">
        <f t="shared" si="150"/>
        <v>OVER</v>
      </c>
      <c r="R1107" s="4" t="str">
        <f t="shared" si="150"/>
        <v>UNDER</v>
      </c>
      <c r="S1107" s="4" t="str">
        <f t="shared" si="148"/>
        <v>UNDER</v>
      </c>
      <c r="T1107" s="4" t="str">
        <f t="shared" si="148"/>
        <v>OVER</v>
      </c>
      <c r="U1107" s="2">
        <f>IF(Q1107="OVER",$J1107,$K1107)</f>
        <v>126.70097297500098</v>
      </c>
      <c r="V1107" s="2">
        <f>IF(R1107="OVER",$J1107,$K1107)</f>
        <v>-126.70097297500098</v>
      </c>
      <c r="W1107" s="2">
        <f>IF(S1107="OVER",$J1107,$K1107)</f>
        <v>-126.70097297500098</v>
      </c>
      <c r="X1107" s="2">
        <f>IF(T1107="OVER",$J1107,$K1107)</f>
        <v>126.70097297500098</v>
      </c>
      <c r="Y1107" s="9">
        <f t="shared" si="149"/>
        <v>-44076.576304732749</v>
      </c>
      <c r="Z1107" s="9">
        <f t="shared" si="149"/>
        <v>-42850.88004216495</v>
      </c>
      <c r="AA1107" s="9">
        <f t="shared" si="149"/>
        <v>60436.370317471839</v>
      </c>
      <c r="AB1107" s="9">
        <f t="shared" si="149"/>
        <v>27740.603451169511</v>
      </c>
    </row>
    <row r="1108" spans="1:28" x14ac:dyDescent="0.3">
      <c r="A1108" s="1">
        <v>46024</v>
      </c>
      <c r="B1108" s="2">
        <v>90.55</v>
      </c>
      <c r="C1108" s="2">
        <v>100.03</v>
      </c>
      <c r="D1108" s="9">
        <f>B1108-B1107</f>
        <v>1.3499999999999943</v>
      </c>
      <c r="E1108" s="9">
        <f>C1108-C1107</f>
        <v>1.5300000000000011</v>
      </c>
      <c r="F1108" s="3">
        <f>F$1/B1108</f>
        <v>1104.3622308117062</v>
      </c>
      <c r="G1108" s="3">
        <f>F$1/C1108</f>
        <v>999.70008997300806</v>
      </c>
      <c r="H1108" s="2">
        <f>D1108*F1107</f>
        <v>1513.4529147981998</v>
      </c>
      <c r="I1108" s="2">
        <f>E1108*G1107</f>
        <v>1553.299492385788</v>
      </c>
      <c r="J1108" s="2">
        <f>I1108-H1108</f>
        <v>39.846577587588172</v>
      </c>
      <c r="K1108" s="2">
        <f t="shared" si="145"/>
        <v>-39.846577587588172</v>
      </c>
      <c r="L1108" s="14">
        <f>C1108/B1108</f>
        <v>1.1046935394809498</v>
      </c>
      <c r="M1108" s="14">
        <f t="shared" si="147"/>
        <v>1.10289789375114</v>
      </c>
      <c r="N1108" s="14">
        <f t="shared" si="143"/>
        <v>1.103171135325735</v>
      </c>
      <c r="O1108" s="14">
        <f t="shared" si="144"/>
        <v>1.1058052251531754</v>
      </c>
      <c r="P1108" s="14">
        <f t="shared" si="146"/>
        <v>1.0966400735585577</v>
      </c>
      <c r="Q1108" s="4" t="str">
        <f t="shared" si="150"/>
        <v>OVER</v>
      </c>
      <c r="R1108" s="4" t="str">
        <f t="shared" si="150"/>
        <v>OVER</v>
      </c>
      <c r="S1108" s="4" t="str">
        <f t="shared" si="148"/>
        <v>UNDER</v>
      </c>
      <c r="T1108" s="4" t="str">
        <f t="shared" si="148"/>
        <v>OVER</v>
      </c>
      <c r="U1108" s="2">
        <f>IF(Q1108="OVER",$J1108,$K1108)</f>
        <v>39.846577587588172</v>
      </c>
      <c r="V1108" s="2">
        <f>IF(R1108="OVER",$J1108,$K1108)</f>
        <v>39.846577587588172</v>
      </c>
      <c r="W1108" s="2">
        <f>IF(S1108="OVER",$J1108,$K1108)</f>
        <v>-39.846577587588172</v>
      </c>
      <c r="X1108" s="2">
        <f>IF(T1108="OVER",$J1108,$K1108)</f>
        <v>39.846577587588172</v>
      </c>
      <c r="Y1108" s="9">
        <f t="shared" si="149"/>
        <v>-44036.729727145161</v>
      </c>
      <c r="Z1108" s="9">
        <f t="shared" si="149"/>
        <v>-42811.033464577362</v>
      </c>
      <c r="AA1108" s="9">
        <f t="shared" si="149"/>
        <v>60396.523739884251</v>
      </c>
      <c r="AB1108" s="9">
        <f t="shared" si="149"/>
        <v>27780.450028757099</v>
      </c>
    </row>
    <row r="1109" spans="1:28" x14ac:dyDescent="0.3">
      <c r="A1109" s="1">
        <v>46027</v>
      </c>
      <c r="B1109" s="2">
        <v>91.53</v>
      </c>
      <c r="C1109" s="2">
        <v>100.93</v>
      </c>
      <c r="D1109" s="9">
        <f>B1109-B1108</f>
        <v>0.98000000000000398</v>
      </c>
      <c r="E1109" s="9">
        <f>C1109-C1108</f>
        <v>0.90000000000000568</v>
      </c>
      <c r="F1109" s="3">
        <f>F$1/B1109</f>
        <v>1092.5379656943078</v>
      </c>
      <c r="G1109" s="3">
        <f>F$1/C1109</f>
        <v>990.78569305459223</v>
      </c>
      <c r="H1109" s="2">
        <f>D1109*F1108</f>
        <v>1082.2749861954765</v>
      </c>
      <c r="I1109" s="2">
        <f>E1109*G1108</f>
        <v>899.73008097571289</v>
      </c>
      <c r="J1109" s="2">
        <f>I1109-H1109</f>
        <v>-182.54490521976356</v>
      </c>
      <c r="K1109" s="2">
        <f t="shared" si="145"/>
        <v>182.54490521976356</v>
      </c>
      <c r="L1109" s="14">
        <f>C1109/B1109</f>
        <v>1.1026985687752651</v>
      </c>
      <c r="M1109" s="14">
        <f t="shared" si="147"/>
        <v>1.1025400035307291</v>
      </c>
      <c r="N1109" s="14">
        <f t="shared" si="143"/>
        <v>1.1030016967596459</v>
      </c>
      <c r="O1109" s="14">
        <f t="shared" si="144"/>
        <v>1.1057543968809487</v>
      </c>
      <c r="P1109" s="14">
        <f t="shared" si="146"/>
        <v>1.0966910423793719</v>
      </c>
      <c r="Q1109" s="4" t="str">
        <f t="shared" si="150"/>
        <v>OVER</v>
      </c>
      <c r="R1109" s="4" t="str">
        <f t="shared" si="150"/>
        <v>OVER</v>
      </c>
      <c r="S1109" s="4" t="str">
        <f t="shared" si="148"/>
        <v>UNDER</v>
      </c>
      <c r="T1109" s="4" t="str">
        <f t="shared" si="148"/>
        <v>OVER</v>
      </c>
      <c r="U1109" s="2">
        <f>IF(Q1109="OVER",$J1109,$K1109)</f>
        <v>-182.54490521976356</v>
      </c>
      <c r="V1109" s="2">
        <f>IF(R1109="OVER",$J1109,$K1109)</f>
        <v>-182.54490521976356</v>
      </c>
      <c r="W1109" s="2">
        <f>IF(S1109="OVER",$J1109,$K1109)</f>
        <v>182.54490521976356</v>
      </c>
      <c r="X1109" s="2">
        <f>IF(T1109="OVER",$J1109,$K1109)</f>
        <v>-182.54490521976356</v>
      </c>
      <c r="Y1109" s="9">
        <f t="shared" si="149"/>
        <v>-44219.274632364926</v>
      </c>
      <c r="Z1109" s="9">
        <f t="shared" si="149"/>
        <v>-42993.578369797127</v>
      </c>
      <c r="AA1109" s="9">
        <f t="shared" si="149"/>
        <v>60579.068645104016</v>
      </c>
      <c r="AB1109" s="9">
        <f t="shared" si="149"/>
        <v>27597.905123537337</v>
      </c>
    </row>
    <row r="1110" spans="1:28" x14ac:dyDescent="0.3">
      <c r="A1110" s="1">
        <v>46028</v>
      </c>
      <c r="B1110" s="2">
        <v>92.69</v>
      </c>
      <c r="C1110" s="2">
        <v>102.18</v>
      </c>
      <c r="D1110" s="9">
        <f>B1110-B1109</f>
        <v>1.1599999999999966</v>
      </c>
      <c r="E1110" s="9">
        <f>C1110-C1109</f>
        <v>1.25</v>
      </c>
      <c r="F1110" s="3">
        <f>F$1/B1110</f>
        <v>1078.8650339842486</v>
      </c>
      <c r="G1110" s="3">
        <f>F$1/C1110</f>
        <v>978.66510080250532</v>
      </c>
      <c r="H1110" s="2">
        <f>D1110*F1109</f>
        <v>1267.3440402053934</v>
      </c>
      <c r="I1110" s="2">
        <f>E1110*G1109</f>
        <v>1238.4821163182403</v>
      </c>
      <c r="J1110" s="2">
        <f>I1110-H1110</f>
        <v>-28.861923887153125</v>
      </c>
      <c r="K1110" s="2">
        <f t="shared" si="145"/>
        <v>28.861923887153125</v>
      </c>
      <c r="L1110" s="14">
        <f>C1110/B1110</f>
        <v>1.1023842917251052</v>
      </c>
      <c r="M1110" s="14">
        <f t="shared" si="147"/>
        <v>1.1025822673480363</v>
      </c>
      <c r="N1110" s="14">
        <f t="shared" si="143"/>
        <v>1.1029637133315604</v>
      </c>
      <c r="O1110" s="14">
        <f t="shared" si="144"/>
        <v>1.1057115207951014</v>
      </c>
      <c r="P1110" s="14">
        <f t="shared" si="146"/>
        <v>1.0967380267714679</v>
      </c>
      <c r="Q1110" s="4" t="str">
        <f t="shared" si="150"/>
        <v>OVER</v>
      </c>
      <c r="R1110" s="4" t="str">
        <f t="shared" si="150"/>
        <v>UNDER</v>
      </c>
      <c r="S1110" s="4" t="str">
        <f t="shared" si="148"/>
        <v>UNDER</v>
      </c>
      <c r="T1110" s="4" t="str">
        <f t="shared" si="148"/>
        <v>OVER</v>
      </c>
      <c r="U1110" s="2">
        <f>IF(Q1110="OVER",$J1110,$K1110)</f>
        <v>-28.861923887153125</v>
      </c>
      <c r="V1110" s="2">
        <f>IF(R1110="OVER",$J1110,$K1110)</f>
        <v>28.861923887153125</v>
      </c>
      <c r="W1110" s="2">
        <f>IF(S1110="OVER",$J1110,$K1110)</f>
        <v>28.861923887153125</v>
      </c>
      <c r="X1110" s="2">
        <f>IF(T1110="OVER",$J1110,$K1110)</f>
        <v>-28.861923887153125</v>
      </c>
      <c r="Y1110" s="9">
        <f t="shared" si="149"/>
        <v>-44248.13655625208</v>
      </c>
      <c r="Z1110" s="9">
        <f t="shared" si="149"/>
        <v>-42964.716445909973</v>
      </c>
      <c r="AA1110" s="9">
        <f t="shared" si="149"/>
        <v>60607.930568991171</v>
      </c>
      <c r="AB1110" s="9">
        <f t="shared" si="149"/>
        <v>27569.043199650183</v>
      </c>
    </row>
    <row r="1111" spans="1:28" x14ac:dyDescent="0.3">
      <c r="A1111" s="1">
        <v>46029</v>
      </c>
      <c r="B1111" s="2">
        <v>92.1</v>
      </c>
      <c r="C1111" s="2">
        <v>101.62</v>
      </c>
      <c r="D1111" s="9">
        <f>B1111-B1110</f>
        <v>-0.59000000000000341</v>
      </c>
      <c r="E1111" s="9">
        <f>C1111-C1110</f>
        <v>-0.56000000000000227</v>
      </c>
      <c r="F1111" s="3">
        <f>F$1/B1111</f>
        <v>1085.7763300760043</v>
      </c>
      <c r="G1111" s="3">
        <f>F$1/C1111</f>
        <v>984.05825624876991</v>
      </c>
      <c r="H1111" s="2">
        <f>D1111*F1110</f>
        <v>-636.53037005071042</v>
      </c>
      <c r="I1111" s="2">
        <f>E1111*G1110</f>
        <v>-548.05245644940521</v>
      </c>
      <c r="J1111" s="2">
        <f>I1111-H1111</f>
        <v>88.477913601305204</v>
      </c>
      <c r="K1111" s="2">
        <f t="shared" si="145"/>
        <v>-88.477913601305204</v>
      </c>
      <c r="L1111" s="14">
        <f>C1111/B1111</f>
        <v>1.1033659066232357</v>
      </c>
      <c r="M1111" s="14">
        <f t="shared" si="147"/>
        <v>1.1027627797514019</v>
      </c>
      <c r="N1111" s="14">
        <f t="shared" ref="N1111:N1174" si="151">AVERAGE(L1092:L1111)</f>
        <v>1.1029358437960701</v>
      </c>
      <c r="O1111" s="14">
        <f t="shared" si="144"/>
        <v>1.105645907763072</v>
      </c>
      <c r="P1111" s="14">
        <f t="shared" si="146"/>
        <v>1.096798094693088</v>
      </c>
      <c r="Q1111" s="4" t="str">
        <f t="shared" si="150"/>
        <v>UNDER</v>
      </c>
      <c r="R1111" s="4" t="str">
        <f t="shared" si="150"/>
        <v>UNDER</v>
      </c>
      <c r="S1111" s="4" t="str">
        <f t="shared" si="148"/>
        <v>UNDER</v>
      </c>
      <c r="T1111" s="4" t="str">
        <f t="shared" si="148"/>
        <v>OVER</v>
      </c>
      <c r="U1111" s="2">
        <f>IF(Q1111="OVER",$J1111,$K1111)</f>
        <v>-88.477913601305204</v>
      </c>
      <c r="V1111" s="2">
        <f>IF(R1111="OVER",$J1111,$K1111)</f>
        <v>-88.477913601305204</v>
      </c>
      <c r="W1111" s="2">
        <f>IF(S1111="OVER",$J1111,$K1111)</f>
        <v>-88.477913601305204</v>
      </c>
      <c r="X1111" s="2">
        <f>IF(T1111="OVER",$J1111,$K1111)</f>
        <v>88.477913601305204</v>
      </c>
      <c r="Y1111" s="9">
        <f t="shared" si="149"/>
        <v>-44336.614469853383</v>
      </c>
      <c r="Z1111" s="9">
        <f t="shared" si="149"/>
        <v>-43053.194359511275</v>
      </c>
      <c r="AA1111" s="9">
        <f t="shared" si="149"/>
        <v>60519.452655389869</v>
      </c>
      <c r="AB1111" s="9">
        <f t="shared" si="149"/>
        <v>27657.521113251489</v>
      </c>
    </row>
    <row r="1112" spans="1:28" x14ac:dyDescent="0.3">
      <c r="A1112" s="1">
        <v>46030</v>
      </c>
      <c r="B1112" s="2">
        <v>91.83</v>
      </c>
      <c r="C1112" s="2">
        <v>101.2</v>
      </c>
      <c r="D1112" s="9">
        <f>B1112-B1111</f>
        <v>-0.26999999999999602</v>
      </c>
      <c r="E1112" s="9">
        <f>C1112-C1111</f>
        <v>-0.42000000000000171</v>
      </c>
      <c r="F1112" s="3">
        <f>F$1/B1112</f>
        <v>1088.9687465969728</v>
      </c>
      <c r="G1112" s="3">
        <f>F$1/C1112</f>
        <v>988.14229249011851</v>
      </c>
      <c r="H1112" s="2">
        <f>D1112*F1111</f>
        <v>-293.15960912051685</v>
      </c>
      <c r="I1112" s="2">
        <f>E1112*G1111</f>
        <v>-413.30446762448503</v>
      </c>
      <c r="J1112" s="2">
        <f>I1112-H1112</f>
        <v>-120.14485850396818</v>
      </c>
      <c r="K1112" s="2">
        <f t="shared" si="145"/>
        <v>120.14485850396818</v>
      </c>
      <c r="L1112" s="14">
        <f>C1112/B1112</f>
        <v>1.1020363715561363</v>
      </c>
      <c r="M1112" s="14">
        <f t="shared" si="147"/>
        <v>1.1027235912999513</v>
      </c>
      <c r="N1112" s="14">
        <f t="shared" si="151"/>
        <v>1.1028449310963437</v>
      </c>
      <c r="O1112" s="14">
        <f t="shared" si="144"/>
        <v>1.1055241258268893</v>
      </c>
      <c r="P1112" s="14">
        <f t="shared" si="146"/>
        <v>1.0968597863199629</v>
      </c>
      <c r="Q1112" s="4" t="str">
        <f t="shared" si="150"/>
        <v>OVER</v>
      </c>
      <c r="R1112" s="4" t="str">
        <f t="shared" si="150"/>
        <v>OVER</v>
      </c>
      <c r="S1112" s="4" t="str">
        <f t="shared" si="148"/>
        <v>UNDER</v>
      </c>
      <c r="T1112" s="4" t="str">
        <f t="shared" si="148"/>
        <v>OVER</v>
      </c>
      <c r="U1112" s="2">
        <f>IF(Q1112="OVER",$J1112,$K1112)</f>
        <v>-120.14485850396818</v>
      </c>
      <c r="V1112" s="2">
        <f>IF(R1112="OVER",$J1112,$K1112)</f>
        <v>-120.14485850396818</v>
      </c>
      <c r="W1112" s="2">
        <f>IF(S1112="OVER",$J1112,$K1112)</f>
        <v>120.14485850396818</v>
      </c>
      <c r="X1112" s="2">
        <f>IF(T1112="OVER",$J1112,$K1112)</f>
        <v>-120.14485850396818</v>
      </c>
      <c r="Y1112" s="9">
        <f t="shared" si="149"/>
        <v>-44456.759328357351</v>
      </c>
      <c r="Z1112" s="9">
        <f t="shared" si="149"/>
        <v>-43173.339218015244</v>
      </c>
      <c r="AA1112" s="9">
        <f t="shared" si="149"/>
        <v>60639.597513893837</v>
      </c>
      <c r="AB1112" s="9">
        <f t="shared" si="149"/>
        <v>27537.37625474752</v>
      </c>
    </row>
    <row r="1113" spans="1:28" x14ac:dyDescent="0.3">
      <c r="A1113" s="1">
        <v>46031</v>
      </c>
      <c r="B1113" s="2">
        <v>92.3</v>
      </c>
      <c r="C1113" s="2">
        <v>101.65</v>
      </c>
      <c r="D1113" s="9">
        <f>B1113-B1112</f>
        <v>0.46999999999999886</v>
      </c>
      <c r="E1113" s="9">
        <f>C1113-C1112</f>
        <v>0.45000000000000284</v>
      </c>
      <c r="F1113" s="3">
        <f>F$1/B1113</f>
        <v>1083.4236186348862</v>
      </c>
      <c r="G1113" s="3">
        <f>F$1/C1113</f>
        <v>983.76783079193308</v>
      </c>
      <c r="H1113" s="2">
        <f>D1113*F1112</f>
        <v>511.81531090057598</v>
      </c>
      <c r="I1113" s="2">
        <f>E1113*G1112</f>
        <v>444.66403162055616</v>
      </c>
      <c r="J1113" s="2">
        <f>I1113-H1113</f>
        <v>-67.151279280019821</v>
      </c>
      <c r="K1113" s="2">
        <f t="shared" si="145"/>
        <v>67.151279280019821</v>
      </c>
      <c r="L1113" s="14">
        <f>C1113/B1113</f>
        <v>1.1013001083423619</v>
      </c>
      <c r="M1113" s="14">
        <f t="shared" si="147"/>
        <v>1.1027918873446794</v>
      </c>
      <c r="N1113" s="14">
        <f t="shared" si="151"/>
        <v>1.1028341289986301</v>
      </c>
      <c r="O1113" s="14">
        <f t="shared" si="144"/>
        <v>1.1054015982663274</v>
      </c>
      <c r="P1113" s="14">
        <f t="shared" si="146"/>
        <v>1.0969128943442366</v>
      </c>
      <c r="Q1113" s="4" t="str">
        <f t="shared" si="150"/>
        <v>UNDER</v>
      </c>
      <c r="R1113" s="4" t="str">
        <f t="shared" si="150"/>
        <v>UNDER</v>
      </c>
      <c r="S1113" s="4" t="str">
        <f t="shared" si="148"/>
        <v>UNDER</v>
      </c>
      <c r="T1113" s="4" t="str">
        <f t="shared" si="148"/>
        <v>OVER</v>
      </c>
      <c r="U1113" s="2">
        <f>IF(Q1113="OVER",$J1113,$K1113)</f>
        <v>67.151279280019821</v>
      </c>
      <c r="V1113" s="2">
        <f>IF(R1113="OVER",$J1113,$K1113)</f>
        <v>67.151279280019821</v>
      </c>
      <c r="W1113" s="2">
        <f>IF(S1113="OVER",$J1113,$K1113)</f>
        <v>67.151279280019821</v>
      </c>
      <c r="X1113" s="2">
        <f>IF(T1113="OVER",$J1113,$K1113)</f>
        <v>-67.151279280019821</v>
      </c>
      <c r="Y1113" s="9">
        <f t="shared" si="149"/>
        <v>-44389.608049077331</v>
      </c>
      <c r="Z1113" s="9">
        <f t="shared" si="149"/>
        <v>-43106.187938735224</v>
      </c>
      <c r="AA1113" s="9">
        <f t="shared" si="149"/>
        <v>60706.748793173858</v>
      </c>
      <c r="AB1113" s="9">
        <f t="shared" si="149"/>
        <v>27470.224975467499</v>
      </c>
    </row>
    <row r="1114" spans="1:28" x14ac:dyDescent="0.3">
      <c r="A1114" s="1">
        <v>46034</v>
      </c>
      <c r="B1114" s="2">
        <v>93.13</v>
      </c>
      <c r="C1114" s="2">
        <v>102.63</v>
      </c>
      <c r="D1114" s="9">
        <f>B1114-B1113</f>
        <v>0.82999999999999829</v>
      </c>
      <c r="E1114" s="9">
        <f>C1114-C1113</f>
        <v>0.97999999999998977</v>
      </c>
      <c r="F1114" s="3">
        <f>F$1/B1114</f>
        <v>1073.7678513905294</v>
      </c>
      <c r="G1114" s="3">
        <f>F$1/C1114</f>
        <v>974.3739647276625</v>
      </c>
      <c r="H1114" s="2">
        <f>D1114*F1113</f>
        <v>899.24160346695373</v>
      </c>
      <c r="I1114" s="2">
        <f>E1114*G1113</f>
        <v>964.09247417608435</v>
      </c>
      <c r="J1114" s="2">
        <f>I1114-H1114</f>
        <v>64.850870709130618</v>
      </c>
      <c r="K1114" s="2">
        <f t="shared" si="145"/>
        <v>-64.850870709130618</v>
      </c>
      <c r="L1114" s="14">
        <f>C1114/B1114</f>
        <v>1.1020079458821004</v>
      </c>
      <c r="M1114" s="14">
        <f t="shared" si="147"/>
        <v>1.1027847633308099</v>
      </c>
      <c r="N1114" s="14">
        <f t="shared" si="151"/>
        <v>1.1028037966132689</v>
      </c>
      <c r="O1114" s="14">
        <f t="shared" si="144"/>
        <v>1.1052866952446272</v>
      </c>
      <c r="P1114" s="14">
        <f t="shared" si="146"/>
        <v>1.09697193612073</v>
      </c>
      <c r="Q1114" s="4" t="str">
        <f t="shared" si="150"/>
        <v>UNDER</v>
      </c>
      <c r="R1114" s="4" t="str">
        <f t="shared" si="150"/>
        <v>UNDER</v>
      </c>
      <c r="S1114" s="4" t="str">
        <f t="shared" si="148"/>
        <v>UNDER</v>
      </c>
      <c r="T1114" s="4" t="str">
        <f t="shared" si="148"/>
        <v>OVER</v>
      </c>
      <c r="U1114" s="2">
        <f>IF(Q1114="OVER",$J1114,$K1114)</f>
        <v>-64.850870709130618</v>
      </c>
      <c r="V1114" s="2">
        <f>IF(R1114="OVER",$J1114,$K1114)</f>
        <v>-64.850870709130618</v>
      </c>
      <c r="W1114" s="2">
        <f>IF(S1114="OVER",$J1114,$K1114)</f>
        <v>-64.850870709130618</v>
      </c>
      <c r="X1114" s="2">
        <f>IF(T1114="OVER",$J1114,$K1114)</f>
        <v>64.850870709130618</v>
      </c>
      <c r="Y1114" s="9">
        <f t="shared" si="149"/>
        <v>-44454.458919786463</v>
      </c>
      <c r="Z1114" s="9">
        <f t="shared" si="149"/>
        <v>-43171.038809444355</v>
      </c>
      <c r="AA1114" s="9">
        <f t="shared" si="149"/>
        <v>60641.897922464726</v>
      </c>
      <c r="AB1114" s="9">
        <f t="shared" si="149"/>
        <v>27535.075846176631</v>
      </c>
    </row>
    <row r="1115" spans="1:28" x14ac:dyDescent="0.3">
      <c r="A1115" s="1">
        <v>46035</v>
      </c>
      <c r="B1115" s="2">
        <v>93.34</v>
      </c>
      <c r="C1115" s="2">
        <v>102.88</v>
      </c>
      <c r="D1115" s="9">
        <f>B1115-B1114</f>
        <v>0.21000000000000796</v>
      </c>
      <c r="E1115" s="9">
        <f>C1115-C1114</f>
        <v>0.25</v>
      </c>
      <c r="F1115" s="3">
        <f>F$1/B1115</f>
        <v>1071.3520462824083</v>
      </c>
      <c r="G1115" s="3">
        <f>F$1/C1115</f>
        <v>972.00622083981341</v>
      </c>
      <c r="H1115" s="2">
        <f>D1115*F1114</f>
        <v>225.49124879201972</v>
      </c>
      <c r="I1115" s="2">
        <f>E1115*G1114</f>
        <v>243.59349118191562</v>
      </c>
      <c r="J1115" s="2">
        <f>I1115-H1115</f>
        <v>18.102242389895906</v>
      </c>
      <c r="K1115" s="2">
        <f t="shared" si="145"/>
        <v>-18.102242389895906</v>
      </c>
      <c r="L1115" s="14">
        <f>C1115/B1115</f>
        <v>1.1022069852153418</v>
      </c>
      <c r="M1115" s="14">
        <f t="shared" si="147"/>
        <v>1.1027809675202702</v>
      </c>
      <c r="N1115" s="14">
        <f t="shared" si="151"/>
        <v>1.1027789807953745</v>
      </c>
      <c r="O1115" s="14">
        <f t="shared" si="144"/>
        <v>1.1051345530639363</v>
      </c>
      <c r="P1115" s="14">
        <f t="shared" si="146"/>
        <v>1.0970202461110741</v>
      </c>
      <c r="Q1115" s="4" t="str">
        <f t="shared" si="150"/>
        <v>UNDER</v>
      </c>
      <c r="R1115" s="4" t="str">
        <f t="shared" si="150"/>
        <v>UNDER</v>
      </c>
      <c r="S1115" s="4" t="str">
        <f t="shared" si="148"/>
        <v>UNDER</v>
      </c>
      <c r="T1115" s="4" t="str">
        <f t="shared" si="148"/>
        <v>OVER</v>
      </c>
      <c r="U1115" s="2">
        <f>IF(Q1115="OVER",$J1115,$K1115)</f>
        <v>-18.102242389895906</v>
      </c>
      <c r="V1115" s="2">
        <f>IF(R1115="OVER",$J1115,$K1115)</f>
        <v>-18.102242389895906</v>
      </c>
      <c r="W1115" s="2">
        <f>IF(S1115="OVER",$J1115,$K1115)</f>
        <v>-18.102242389895906</v>
      </c>
      <c r="X1115" s="2">
        <f>IF(T1115="OVER",$J1115,$K1115)</f>
        <v>18.102242389895906</v>
      </c>
      <c r="Y1115" s="9">
        <f t="shared" si="149"/>
        <v>-44472.56116217636</v>
      </c>
      <c r="Z1115" s="9">
        <f t="shared" si="149"/>
        <v>-43189.141051834253</v>
      </c>
      <c r="AA1115" s="9">
        <f t="shared" si="149"/>
        <v>60623.795680074829</v>
      </c>
      <c r="AB1115" s="9">
        <f t="shared" si="149"/>
        <v>27553.178088566528</v>
      </c>
    </row>
    <row r="1116" spans="1:28" x14ac:dyDescent="0.3">
      <c r="A1116" s="1">
        <v>46036</v>
      </c>
      <c r="B1116" s="2">
        <v>93.42</v>
      </c>
      <c r="C1116" s="2">
        <v>102.73</v>
      </c>
      <c r="D1116" s="9">
        <f>B1116-B1115</f>
        <v>7.9999999999998295E-2</v>
      </c>
      <c r="E1116" s="9">
        <f>C1116-C1115</f>
        <v>-0.14999999999999147</v>
      </c>
      <c r="F1116" s="3">
        <f>F$1/B1116</f>
        <v>1070.4345964461572</v>
      </c>
      <c r="G1116" s="3">
        <f>F$1/C1116</f>
        <v>973.42548427917836</v>
      </c>
      <c r="H1116" s="2">
        <f>D1116*F1115</f>
        <v>85.708163702590838</v>
      </c>
      <c r="I1116" s="2">
        <f>E1116*G1115</f>
        <v>-145.80093312596372</v>
      </c>
      <c r="J1116" s="2">
        <f>I1116-H1116</f>
        <v>-231.50909682855456</v>
      </c>
      <c r="K1116" s="2">
        <f t="shared" si="145"/>
        <v>231.50909682855456</v>
      </c>
      <c r="L1116" s="14">
        <f>C1116/B1116</f>
        <v>1.0996574609291372</v>
      </c>
      <c r="M1116" s="14">
        <f t="shared" si="147"/>
        <v>1.1024611268215732</v>
      </c>
      <c r="N1116" s="14">
        <f t="shared" si="151"/>
        <v>1.1025521185345188</v>
      </c>
      <c r="O1116" s="14">
        <f t="shared" si="144"/>
        <v>1.1049508023254555</v>
      </c>
      <c r="P1116" s="14">
        <f t="shared" si="146"/>
        <v>1.0970616245375187</v>
      </c>
      <c r="Q1116" s="4" t="str">
        <f t="shared" si="150"/>
        <v>UNDER</v>
      </c>
      <c r="R1116" s="4" t="str">
        <f t="shared" si="150"/>
        <v>UNDER</v>
      </c>
      <c r="S1116" s="4" t="str">
        <f t="shared" si="148"/>
        <v>UNDER</v>
      </c>
      <c r="T1116" s="4" t="str">
        <f t="shared" si="148"/>
        <v>OVER</v>
      </c>
      <c r="U1116" s="2">
        <f>IF(Q1116="OVER",$J1116,$K1116)</f>
        <v>231.50909682855456</v>
      </c>
      <c r="V1116" s="2">
        <f>IF(R1116="OVER",$J1116,$K1116)</f>
        <v>231.50909682855456</v>
      </c>
      <c r="W1116" s="2">
        <f>IF(S1116="OVER",$J1116,$K1116)</f>
        <v>231.50909682855456</v>
      </c>
      <c r="X1116" s="2">
        <f>IF(T1116="OVER",$J1116,$K1116)</f>
        <v>-231.50909682855456</v>
      </c>
      <c r="Y1116" s="9">
        <f t="shared" si="149"/>
        <v>-44241.052065347809</v>
      </c>
      <c r="Z1116" s="9">
        <f t="shared" si="149"/>
        <v>-42957.631955005701</v>
      </c>
      <c r="AA1116" s="9">
        <f t="shared" si="149"/>
        <v>60855.30477690338</v>
      </c>
      <c r="AB1116" s="9">
        <f t="shared" si="149"/>
        <v>27321.668991737974</v>
      </c>
    </row>
    <row r="1117" spans="1:28" x14ac:dyDescent="0.3">
      <c r="A1117" s="1">
        <v>46037</v>
      </c>
      <c r="B1117" s="2">
        <v>93.62</v>
      </c>
      <c r="C1117" s="2">
        <v>103.12</v>
      </c>
      <c r="D1117" s="9">
        <f>B1117-B1116</f>
        <v>0.20000000000000284</v>
      </c>
      <c r="E1117" s="9">
        <f>C1117-C1116</f>
        <v>0.39000000000000057</v>
      </c>
      <c r="F1117" s="3">
        <f>F$1/B1117</f>
        <v>1068.1478316599016</v>
      </c>
      <c r="G1117" s="3">
        <f>F$1/C1117</f>
        <v>969.74398758727693</v>
      </c>
      <c r="H1117" s="2">
        <f>D1117*F1116</f>
        <v>214.08691928923449</v>
      </c>
      <c r="I1117" s="2">
        <f>E1117*G1116</f>
        <v>379.63593886888009</v>
      </c>
      <c r="J1117" s="2">
        <f>I1117-H1117</f>
        <v>165.5490195796456</v>
      </c>
      <c r="K1117" s="2">
        <f t="shared" si="145"/>
        <v>-165.5490195796456</v>
      </c>
      <c r="L1117" s="14">
        <f>C1117/B1117</f>
        <v>1.1014740440076907</v>
      </c>
      <c r="M1117" s="14">
        <f t="shared" si="147"/>
        <v>1.1021825222537323</v>
      </c>
      <c r="N1117" s="14">
        <f t="shared" si="151"/>
        <v>1.1024826427450101</v>
      </c>
      <c r="O1117" s="14">
        <f t="shared" si="144"/>
        <v>1.1047635397175615</v>
      </c>
      <c r="P1117" s="14">
        <f t="shared" si="146"/>
        <v>1.09711284753751</v>
      </c>
      <c r="Q1117" s="4" t="str">
        <f t="shared" si="150"/>
        <v>UNDER</v>
      </c>
      <c r="R1117" s="4" t="str">
        <f t="shared" si="150"/>
        <v>UNDER</v>
      </c>
      <c r="S1117" s="4" t="str">
        <f t="shared" si="148"/>
        <v>UNDER</v>
      </c>
      <c r="T1117" s="4" t="str">
        <f t="shared" si="148"/>
        <v>OVER</v>
      </c>
      <c r="U1117" s="2">
        <f>IF(Q1117="OVER",$J1117,$K1117)</f>
        <v>-165.5490195796456</v>
      </c>
      <c r="V1117" s="2">
        <f>IF(R1117="OVER",$J1117,$K1117)</f>
        <v>-165.5490195796456</v>
      </c>
      <c r="W1117" s="2">
        <f>IF(S1117="OVER",$J1117,$K1117)</f>
        <v>-165.5490195796456</v>
      </c>
      <c r="X1117" s="2">
        <f>IF(T1117="OVER",$J1117,$K1117)</f>
        <v>165.5490195796456</v>
      </c>
      <c r="Y1117" s="9">
        <f t="shared" si="149"/>
        <v>-44406.601084927453</v>
      </c>
      <c r="Z1117" s="9">
        <f t="shared" si="149"/>
        <v>-43123.180974585346</v>
      </c>
      <c r="AA1117" s="9">
        <f t="shared" si="149"/>
        <v>60689.755757323735</v>
      </c>
      <c r="AB1117" s="9">
        <f t="shared" si="149"/>
        <v>27487.218011317618</v>
      </c>
    </row>
    <row r="1118" spans="1:28" x14ac:dyDescent="0.3">
      <c r="A1118" s="1">
        <v>46038</v>
      </c>
      <c r="B1118" s="2">
        <v>93.89</v>
      </c>
      <c r="C1118" s="2">
        <v>103.52</v>
      </c>
      <c r="D1118" s="9">
        <f>B1118-B1117</f>
        <v>0.26999999999999602</v>
      </c>
      <c r="E1118" s="9">
        <f>C1118-C1117</f>
        <v>0.39999999999999147</v>
      </c>
      <c r="F1118" s="3">
        <f>F$1/B1118</f>
        <v>1065.0761529449355</v>
      </c>
      <c r="G1118" s="3">
        <f>F$1/C1118</f>
        <v>965.99690880989181</v>
      </c>
      <c r="H1118" s="2">
        <f>D1118*F1117</f>
        <v>288.39991454816919</v>
      </c>
      <c r="I1118" s="2">
        <f>E1118*G1117</f>
        <v>387.89759503490251</v>
      </c>
      <c r="J1118" s="2">
        <f>I1118-H1118</f>
        <v>99.497680486733316</v>
      </c>
      <c r="K1118" s="2">
        <f t="shared" si="145"/>
        <v>-99.497680486733316</v>
      </c>
      <c r="L1118" s="14">
        <f>C1118/B1118</f>
        <v>1.1025668335285972</v>
      </c>
      <c r="M1118" s="14">
        <f t="shared" si="147"/>
        <v>1.1019698516584973</v>
      </c>
      <c r="N1118" s="14">
        <f t="shared" si="151"/>
        <v>1.1024338727048186</v>
      </c>
      <c r="O1118" s="14">
        <f t="shared" si="144"/>
        <v>1.1046356414154557</v>
      </c>
      <c r="P1118" s="14">
        <f t="shared" si="146"/>
        <v>1.0971730898843663</v>
      </c>
      <c r="Q1118" s="4" t="str">
        <f t="shared" si="150"/>
        <v>UNDER</v>
      </c>
      <c r="R1118" s="4" t="str">
        <f t="shared" si="150"/>
        <v>UNDER</v>
      </c>
      <c r="S1118" s="4" t="str">
        <f t="shared" si="148"/>
        <v>UNDER</v>
      </c>
      <c r="T1118" s="4" t="str">
        <f t="shared" si="148"/>
        <v>OVER</v>
      </c>
      <c r="U1118" s="2">
        <f>IF(Q1118="OVER",$J1118,$K1118)</f>
        <v>-99.497680486733316</v>
      </c>
      <c r="V1118" s="2">
        <f>IF(R1118="OVER",$J1118,$K1118)</f>
        <v>-99.497680486733316</v>
      </c>
      <c r="W1118" s="2">
        <f>IF(S1118="OVER",$J1118,$K1118)</f>
        <v>-99.497680486733316</v>
      </c>
      <c r="X1118" s="2">
        <f>IF(T1118="OVER",$J1118,$K1118)</f>
        <v>99.497680486733316</v>
      </c>
      <c r="Y1118" s="9">
        <f t="shared" si="149"/>
        <v>-44506.098765414186</v>
      </c>
      <c r="Z1118" s="9">
        <f t="shared" si="149"/>
        <v>-43222.678655072079</v>
      </c>
      <c r="AA1118" s="9">
        <f t="shared" si="149"/>
        <v>60590.258076837003</v>
      </c>
      <c r="AB1118" s="9">
        <f t="shared" si="149"/>
        <v>27586.715691804351</v>
      </c>
    </row>
    <row r="1119" spans="1:28" x14ac:dyDescent="0.3">
      <c r="A1119" s="1">
        <v>46042</v>
      </c>
      <c r="B1119" s="2">
        <v>93.11</v>
      </c>
      <c r="C1119" s="2">
        <v>102.81</v>
      </c>
      <c r="D1119" s="9">
        <f>B1119-B1118</f>
        <v>-0.78000000000000114</v>
      </c>
      <c r="E1119" s="9">
        <f>C1119-C1118</f>
        <v>-0.70999999999999375</v>
      </c>
      <c r="F1119" s="3">
        <f>F$1/B1119</f>
        <v>1073.998496402105</v>
      </c>
      <c r="G1119" s="3">
        <f>F$1/C1119</f>
        <v>972.66802840190644</v>
      </c>
      <c r="H1119" s="2">
        <f>D1119*F1118</f>
        <v>-830.75939929705089</v>
      </c>
      <c r="I1119" s="2">
        <f>E1119*G1118</f>
        <v>-685.85780525501718</v>
      </c>
      <c r="J1119" s="2">
        <f>I1119-H1119</f>
        <v>144.90159404203371</v>
      </c>
      <c r="K1119" s="2">
        <f t="shared" si="145"/>
        <v>-144.90159404203371</v>
      </c>
      <c r="L1119" s="14">
        <f>C1119/B1119</f>
        <v>1.1041778541510041</v>
      </c>
      <c r="M1119" s="14">
        <f t="shared" si="147"/>
        <v>1.1021177801960711</v>
      </c>
      <c r="N1119" s="14">
        <f t="shared" si="151"/>
        <v>1.1023288918634002</v>
      </c>
      <c r="O1119" s="14">
        <f t="shared" si="144"/>
        <v>1.1045582591469731</v>
      </c>
      <c r="P1119" s="14">
        <f t="shared" si="146"/>
        <v>1.0972454935221934</v>
      </c>
      <c r="Q1119" s="4" t="str">
        <f t="shared" si="150"/>
        <v>OVER</v>
      </c>
      <c r="R1119" s="4" t="str">
        <f t="shared" si="150"/>
        <v>OVER</v>
      </c>
      <c r="S1119" s="4" t="str">
        <f t="shared" si="148"/>
        <v>UNDER</v>
      </c>
      <c r="T1119" s="4" t="str">
        <f t="shared" si="148"/>
        <v>OVER</v>
      </c>
      <c r="U1119" s="2">
        <f>IF(Q1119="OVER",$J1119,$K1119)</f>
        <v>144.90159404203371</v>
      </c>
      <c r="V1119" s="2">
        <f>IF(R1119="OVER",$J1119,$K1119)</f>
        <v>144.90159404203371</v>
      </c>
      <c r="W1119" s="2">
        <f>IF(S1119="OVER",$J1119,$K1119)</f>
        <v>-144.90159404203371</v>
      </c>
      <c r="X1119" s="2">
        <f>IF(T1119="OVER",$J1119,$K1119)</f>
        <v>144.90159404203371</v>
      </c>
      <c r="Y1119" s="9">
        <f t="shared" si="149"/>
        <v>-44361.19717137215</v>
      </c>
      <c r="Z1119" s="9">
        <f t="shared" si="149"/>
        <v>-43077.777061030043</v>
      </c>
      <c r="AA1119" s="9">
        <f t="shared" si="149"/>
        <v>60445.356482794967</v>
      </c>
      <c r="AB1119" s="9">
        <f t="shared" si="149"/>
        <v>27731.617285846383</v>
      </c>
    </row>
    <row r="1120" spans="1:28" x14ac:dyDescent="0.3">
      <c r="A1120" s="1">
        <v>46043</v>
      </c>
      <c r="B1120" s="2">
        <v>93.84</v>
      </c>
      <c r="C1120" s="2">
        <v>103.55</v>
      </c>
      <c r="D1120" s="9">
        <f>B1120-B1119</f>
        <v>0.73000000000000398</v>
      </c>
      <c r="E1120" s="9">
        <f>C1120-C1119</f>
        <v>0.73999999999999488</v>
      </c>
      <c r="F1120" s="3">
        <f>F$1/B1120</f>
        <v>1065.6436487638534</v>
      </c>
      <c r="G1120" s="3">
        <f>F$1/C1120</f>
        <v>965.71704490584261</v>
      </c>
      <c r="H1120" s="2">
        <f>D1120*F1119</f>
        <v>784.01890237354098</v>
      </c>
      <c r="I1120" s="2">
        <f>E1120*G1119</f>
        <v>719.77434101740585</v>
      </c>
      <c r="J1120" s="2">
        <f>I1120-H1120</f>
        <v>-64.244561356135137</v>
      </c>
      <c r="K1120" s="2">
        <f t="shared" si="145"/>
        <v>64.244561356135137</v>
      </c>
      <c r="L1120" s="14">
        <f>C1120/B1120</f>
        <v>1.1034739982949702</v>
      </c>
      <c r="M1120" s="14">
        <f t="shared" si="147"/>
        <v>1.1022267508530574</v>
      </c>
      <c r="N1120" s="14">
        <f t="shared" si="151"/>
        <v>1.102404509100547</v>
      </c>
      <c r="O1120" s="14">
        <f t="shared" si="144"/>
        <v>1.1044773894625231</v>
      </c>
      <c r="P1120" s="14">
        <f t="shared" si="146"/>
        <v>1.0972997646213687</v>
      </c>
      <c r="Q1120" s="4" t="str">
        <f t="shared" si="150"/>
        <v>OVER</v>
      </c>
      <c r="R1120" s="4" t="str">
        <f t="shared" si="150"/>
        <v>OVER</v>
      </c>
      <c r="S1120" s="4" t="str">
        <f t="shared" si="148"/>
        <v>UNDER</v>
      </c>
      <c r="T1120" s="4" t="str">
        <f t="shared" si="148"/>
        <v>OVER</v>
      </c>
      <c r="U1120" s="2">
        <f>IF(Q1120="OVER",$J1120,$K1120)</f>
        <v>-64.244561356135137</v>
      </c>
      <c r="V1120" s="2">
        <f>IF(R1120="OVER",$J1120,$K1120)</f>
        <v>-64.244561356135137</v>
      </c>
      <c r="W1120" s="2">
        <f>IF(S1120="OVER",$J1120,$K1120)</f>
        <v>64.244561356135137</v>
      </c>
      <c r="X1120" s="2">
        <f>IF(T1120="OVER",$J1120,$K1120)</f>
        <v>-64.244561356135137</v>
      </c>
      <c r="Y1120" s="9">
        <f t="shared" si="149"/>
        <v>-44425.441732728286</v>
      </c>
      <c r="Z1120" s="9">
        <f t="shared" si="149"/>
        <v>-43142.021622386179</v>
      </c>
      <c r="AA1120" s="9">
        <f t="shared" si="149"/>
        <v>60509.601044151103</v>
      </c>
      <c r="AB1120" s="9">
        <f t="shared" si="149"/>
        <v>27667.372724490247</v>
      </c>
    </row>
    <row r="1121" spans="1:28" x14ac:dyDescent="0.3">
      <c r="A1121" s="1">
        <v>46044</v>
      </c>
      <c r="B1121" s="2">
        <v>94.22</v>
      </c>
      <c r="C1121" s="2">
        <v>103.93</v>
      </c>
      <c r="D1121" s="9">
        <f>B1121-B1120</f>
        <v>0.37999999999999545</v>
      </c>
      <c r="E1121" s="9">
        <f>C1121-C1120</f>
        <v>0.38000000000000966</v>
      </c>
      <c r="F1121" s="3">
        <f>F$1/B1121</f>
        <v>1061.3457864572279</v>
      </c>
      <c r="G1121" s="3">
        <f>F$1/C1121</f>
        <v>962.18608678918497</v>
      </c>
      <c r="H1121" s="2">
        <f>D1121*F1120</f>
        <v>404.94458653025947</v>
      </c>
      <c r="I1121" s="2">
        <f>E1121*G1120</f>
        <v>366.97247706422951</v>
      </c>
      <c r="J1121" s="2">
        <f>I1121-H1121</f>
        <v>-37.972109466029963</v>
      </c>
      <c r="K1121" s="2">
        <f t="shared" si="145"/>
        <v>37.972109466029963</v>
      </c>
      <c r="L1121" s="14">
        <f>C1121/B1121</f>
        <v>1.1030566758649969</v>
      </c>
      <c r="M1121" s="14">
        <f t="shared" si="147"/>
        <v>1.1021958277772335</v>
      </c>
      <c r="N1121" s="14">
        <f t="shared" si="151"/>
        <v>1.1024793037643179</v>
      </c>
      <c r="O1121" s="14">
        <f t="shared" si="144"/>
        <v>1.1043910766115337</v>
      </c>
      <c r="P1121" s="14">
        <f t="shared" si="146"/>
        <v>1.0973241788533643</v>
      </c>
      <c r="Q1121" s="4" t="str">
        <f t="shared" si="150"/>
        <v>OVER</v>
      </c>
      <c r="R1121" s="4" t="str">
        <f t="shared" si="150"/>
        <v>OVER</v>
      </c>
      <c r="S1121" s="4" t="str">
        <f t="shared" si="148"/>
        <v>UNDER</v>
      </c>
      <c r="T1121" s="4" t="str">
        <f t="shared" si="148"/>
        <v>OVER</v>
      </c>
      <c r="U1121" s="2">
        <f>IF(Q1121="OVER",$J1121,$K1121)</f>
        <v>-37.972109466029963</v>
      </c>
      <c r="V1121" s="2">
        <f>IF(R1121="OVER",$J1121,$K1121)</f>
        <v>-37.972109466029963</v>
      </c>
      <c r="W1121" s="2">
        <f>IF(S1121="OVER",$J1121,$K1121)</f>
        <v>37.972109466029963</v>
      </c>
      <c r="X1121" s="2">
        <f>IF(T1121="OVER",$J1121,$K1121)</f>
        <v>-37.972109466029963</v>
      </c>
      <c r="Y1121" s="9">
        <f t="shared" si="149"/>
        <v>-44463.413842194313</v>
      </c>
      <c r="Z1121" s="9">
        <f t="shared" si="149"/>
        <v>-43179.993731852206</v>
      </c>
      <c r="AA1121" s="9">
        <f t="shared" si="149"/>
        <v>60547.57315361713</v>
      </c>
      <c r="AB1121" s="9">
        <f t="shared" si="149"/>
        <v>27629.400615024217</v>
      </c>
    </row>
    <row r="1122" spans="1:28" x14ac:dyDescent="0.3">
      <c r="A1122" s="1">
        <v>46045</v>
      </c>
      <c r="B1122" s="2">
        <v>93.89</v>
      </c>
      <c r="C1122" s="2">
        <v>103.78</v>
      </c>
      <c r="D1122" s="9">
        <f>B1122-B1121</f>
        <v>-0.32999999999999829</v>
      </c>
      <c r="E1122" s="9">
        <f>C1122-C1121</f>
        <v>-0.15000000000000568</v>
      </c>
      <c r="F1122" s="3">
        <f>F$1/B1122</f>
        <v>1065.0761529449355</v>
      </c>
      <c r="G1122" s="3">
        <f>F$1/C1122</f>
        <v>963.57679707072657</v>
      </c>
      <c r="H1122" s="2">
        <f>D1122*F1121</f>
        <v>-350.24410953088341</v>
      </c>
      <c r="I1122" s="2">
        <f>E1122*G1121</f>
        <v>-144.32791301838321</v>
      </c>
      <c r="J1122" s="2">
        <f>I1122-H1122</f>
        <v>205.91619651250019</v>
      </c>
      <c r="K1122" s="2">
        <f t="shared" si="145"/>
        <v>-205.91619651250019</v>
      </c>
      <c r="L1122" s="14">
        <f>C1122/B1122</f>
        <v>1.1053360315262541</v>
      </c>
      <c r="M1122" s="14">
        <f t="shared" si="147"/>
        <v>1.1025257937742454</v>
      </c>
      <c r="N1122" s="14">
        <f t="shared" si="151"/>
        <v>1.1026246925370984</v>
      </c>
      <c r="O1122" s="14">
        <f t="shared" si="144"/>
        <v>1.1043466093370915</v>
      </c>
      <c r="P1122" s="14">
        <f t="shared" si="146"/>
        <v>1.0973709529206765</v>
      </c>
      <c r="Q1122" s="4" t="str">
        <f t="shared" si="150"/>
        <v>OVER</v>
      </c>
      <c r="R1122" s="4" t="str">
        <f t="shared" si="150"/>
        <v>OVER</v>
      </c>
      <c r="S1122" s="4" t="str">
        <f t="shared" si="148"/>
        <v>OVER</v>
      </c>
      <c r="T1122" s="4" t="str">
        <f t="shared" si="148"/>
        <v>OVER</v>
      </c>
      <c r="U1122" s="2">
        <f>IF(Q1122="OVER",$J1122,$K1122)</f>
        <v>205.91619651250019</v>
      </c>
      <c r="V1122" s="2">
        <f>IF(R1122="OVER",$J1122,$K1122)</f>
        <v>205.91619651250019</v>
      </c>
      <c r="W1122" s="2">
        <f>IF(S1122="OVER",$J1122,$K1122)</f>
        <v>205.91619651250019</v>
      </c>
      <c r="X1122" s="2">
        <f>IF(T1122="OVER",$J1122,$K1122)</f>
        <v>205.91619651250019</v>
      </c>
      <c r="Y1122" s="9">
        <f t="shared" si="149"/>
        <v>-44257.497645681811</v>
      </c>
      <c r="Z1122" s="9">
        <f t="shared" si="149"/>
        <v>-42974.077535339704</v>
      </c>
      <c r="AA1122" s="9">
        <f t="shared" si="149"/>
        <v>60753.489350129632</v>
      </c>
      <c r="AB1122" s="9">
        <f t="shared" si="149"/>
        <v>27835.316811536715</v>
      </c>
    </row>
    <row r="1123" spans="1:28" x14ac:dyDescent="0.3">
      <c r="A1123" s="1">
        <v>46048</v>
      </c>
      <c r="B1123" s="2">
        <v>93.7</v>
      </c>
      <c r="C1123" s="2">
        <v>103.64</v>
      </c>
      <c r="D1123" s="9">
        <f>B1123-B1122</f>
        <v>-0.18999999999999773</v>
      </c>
      <c r="E1123" s="9">
        <f>C1123-C1122</f>
        <v>-0.14000000000000057</v>
      </c>
      <c r="F1123" s="3">
        <f>F$1/B1123</f>
        <v>1067.2358591248665</v>
      </c>
      <c r="G1123" s="3">
        <f>F$1/C1123</f>
        <v>964.87842531840988</v>
      </c>
      <c r="H1123" s="2">
        <f>D1123*F1122</f>
        <v>-202.36446905953534</v>
      </c>
      <c r="I1123" s="2">
        <f>E1123*G1122</f>
        <v>-134.90075158990226</v>
      </c>
      <c r="J1123" s="2">
        <f>I1123-H1123</f>
        <v>67.463717469633082</v>
      </c>
      <c r="K1123" s="2">
        <f t="shared" si="145"/>
        <v>-67.463717469633082</v>
      </c>
      <c r="L1123" s="14">
        <f>C1123/B1123</f>
        <v>1.1060832443970117</v>
      </c>
      <c r="M1123" s="14">
        <f t="shared" si="147"/>
        <v>1.1030041073797103</v>
      </c>
      <c r="N1123" s="14">
        <f t="shared" si="151"/>
        <v>1.1028979973621948</v>
      </c>
      <c r="O1123" s="14">
        <f t="shared" si="144"/>
        <v>1.1042837659569726</v>
      </c>
      <c r="P1123" s="14">
        <f t="shared" si="146"/>
        <v>1.0974059614053946</v>
      </c>
      <c r="Q1123" s="4" t="str">
        <f t="shared" si="150"/>
        <v>OVER</v>
      </c>
      <c r="R1123" s="4" t="str">
        <f t="shared" si="150"/>
        <v>OVER</v>
      </c>
      <c r="S1123" s="4" t="str">
        <f t="shared" si="148"/>
        <v>OVER</v>
      </c>
      <c r="T1123" s="4" t="str">
        <f t="shared" si="148"/>
        <v>OVER</v>
      </c>
      <c r="U1123" s="2">
        <f>IF(Q1123="OVER",$J1123,$K1123)</f>
        <v>67.463717469633082</v>
      </c>
      <c r="V1123" s="2">
        <f>IF(R1123="OVER",$J1123,$K1123)</f>
        <v>67.463717469633082</v>
      </c>
      <c r="W1123" s="2">
        <f>IF(S1123="OVER",$J1123,$K1123)</f>
        <v>67.463717469633082</v>
      </c>
      <c r="X1123" s="2">
        <f>IF(T1123="OVER",$J1123,$K1123)</f>
        <v>67.463717469633082</v>
      </c>
      <c r="Y1123" s="9">
        <f t="shared" si="149"/>
        <v>-44190.033928212179</v>
      </c>
      <c r="Z1123" s="9">
        <f t="shared" si="149"/>
        <v>-42906.613817870071</v>
      </c>
      <c r="AA1123" s="9">
        <f t="shared" si="149"/>
        <v>60820.953067599265</v>
      </c>
      <c r="AB1123" s="9">
        <f t="shared" si="149"/>
        <v>27902.780529006348</v>
      </c>
    </row>
    <row r="1124" spans="1:28" x14ac:dyDescent="0.3">
      <c r="A1124" s="1">
        <v>46049</v>
      </c>
      <c r="B1124" s="2">
        <v>94.91</v>
      </c>
      <c r="C1124" s="2">
        <v>105</v>
      </c>
      <c r="D1124" s="9">
        <f>B1124-B1123</f>
        <v>1.2099999999999937</v>
      </c>
      <c r="E1124" s="9">
        <f>C1124-C1123</f>
        <v>1.3599999999999994</v>
      </c>
      <c r="F1124" s="3">
        <f>F$1/B1124</f>
        <v>1053.6297545042673</v>
      </c>
      <c r="G1124" s="3">
        <f>F$1/C1124</f>
        <v>952.38095238095241</v>
      </c>
      <c r="H1124" s="2">
        <f>D1124*F1123</f>
        <v>1291.3553895410816</v>
      </c>
      <c r="I1124" s="2">
        <f>E1124*G1123</f>
        <v>1312.2346584330369</v>
      </c>
      <c r="J1124" s="2">
        <f>I1124-H1124</f>
        <v>20.879268891955235</v>
      </c>
      <c r="K1124" s="2">
        <f t="shared" si="145"/>
        <v>-20.879268891955235</v>
      </c>
      <c r="L1124" s="14">
        <f>C1124/B1124</f>
        <v>1.1063112422294805</v>
      </c>
      <c r="M1124" s="14">
        <f t="shared" si="147"/>
        <v>1.1034344370144484</v>
      </c>
      <c r="N1124" s="14">
        <f t="shared" si="151"/>
        <v>1.1031096001726293</v>
      </c>
      <c r="O1124" s="14">
        <f t="shared" si="144"/>
        <v>1.1042286102086292</v>
      </c>
      <c r="P1124" s="14">
        <f t="shared" si="146"/>
        <v>1.0974736138732266</v>
      </c>
      <c r="Q1124" s="4" t="str">
        <f t="shared" si="150"/>
        <v>OVER</v>
      </c>
      <c r="R1124" s="4" t="str">
        <f t="shared" si="150"/>
        <v>OVER</v>
      </c>
      <c r="S1124" s="4" t="str">
        <f t="shared" si="148"/>
        <v>OVER</v>
      </c>
      <c r="T1124" s="4" t="str">
        <f t="shared" si="148"/>
        <v>OVER</v>
      </c>
      <c r="U1124" s="2">
        <f>IF(Q1124="OVER",$J1124,$K1124)</f>
        <v>20.879268891955235</v>
      </c>
      <c r="V1124" s="2">
        <f>IF(R1124="OVER",$J1124,$K1124)</f>
        <v>20.879268891955235</v>
      </c>
      <c r="W1124" s="2">
        <f>IF(S1124="OVER",$J1124,$K1124)</f>
        <v>20.879268891955235</v>
      </c>
      <c r="X1124" s="2">
        <f>IF(T1124="OVER",$J1124,$K1124)</f>
        <v>20.879268891955235</v>
      </c>
      <c r="Y1124" s="9">
        <f t="shared" si="149"/>
        <v>-44169.154659320222</v>
      </c>
      <c r="Z1124" s="9">
        <f t="shared" si="149"/>
        <v>-42885.734548978115</v>
      </c>
      <c r="AA1124" s="9">
        <f t="shared" si="149"/>
        <v>60841.832336491221</v>
      </c>
      <c r="AB1124" s="9">
        <f t="shared" si="149"/>
        <v>27923.659797898305</v>
      </c>
    </row>
    <row r="1125" spans="1:28" x14ac:dyDescent="0.3">
      <c r="A1125" s="1">
        <v>46050</v>
      </c>
      <c r="B1125" s="2">
        <v>95.73</v>
      </c>
      <c r="C1125" s="2">
        <v>105.91</v>
      </c>
      <c r="D1125" s="9">
        <f>B1125-B1124</f>
        <v>0.82000000000000739</v>
      </c>
      <c r="E1125" s="9">
        <f>C1125-C1124</f>
        <v>0.90999999999999659</v>
      </c>
      <c r="F1125" s="3">
        <f>F$1/B1125</f>
        <v>1044.6046171524079</v>
      </c>
      <c r="G1125" s="3">
        <f>F$1/C1125</f>
        <v>944.19790388065337</v>
      </c>
      <c r="H1125" s="2">
        <f>D1125*F1124</f>
        <v>863.97639869350701</v>
      </c>
      <c r="I1125" s="2">
        <f>E1125*G1124</f>
        <v>866.66666666666345</v>
      </c>
      <c r="J1125" s="2">
        <f>I1125-H1125</f>
        <v>2.6902679731564376</v>
      </c>
      <c r="K1125" s="2">
        <f t="shared" si="145"/>
        <v>-2.6902679731564376</v>
      </c>
      <c r="L1125" s="14">
        <f>C1125/B1125</f>
        <v>1.1063407500261151</v>
      </c>
      <c r="M1125" s="14">
        <f t="shared" si="147"/>
        <v>1.1038478134955259</v>
      </c>
      <c r="N1125" s="14">
        <f t="shared" si="151"/>
        <v>1.1033143905078979</v>
      </c>
      <c r="O1125" s="14">
        <f t="shared" si="144"/>
        <v>1.1041941131444468</v>
      </c>
      <c r="P1125" s="14">
        <f t="shared" si="146"/>
        <v>1.0974837570484086</v>
      </c>
      <c r="Q1125" s="4" t="str">
        <f t="shared" si="150"/>
        <v>OVER</v>
      </c>
      <c r="R1125" s="4" t="str">
        <f t="shared" si="150"/>
        <v>OVER</v>
      </c>
      <c r="S1125" s="4" t="str">
        <f t="shared" si="148"/>
        <v>OVER</v>
      </c>
      <c r="T1125" s="4" t="str">
        <f t="shared" si="148"/>
        <v>OVER</v>
      </c>
      <c r="U1125" s="2">
        <f>IF(Q1125="OVER",$J1125,$K1125)</f>
        <v>2.6902679731564376</v>
      </c>
      <c r="V1125" s="2">
        <f>IF(R1125="OVER",$J1125,$K1125)</f>
        <v>2.6902679731564376</v>
      </c>
      <c r="W1125" s="2">
        <f>IF(S1125="OVER",$J1125,$K1125)</f>
        <v>2.6902679731564376</v>
      </c>
      <c r="X1125" s="2">
        <f>IF(T1125="OVER",$J1125,$K1125)</f>
        <v>2.6902679731564376</v>
      </c>
      <c r="Y1125" s="9">
        <f t="shared" si="149"/>
        <v>-44166.464391347065</v>
      </c>
      <c r="Z1125" s="9">
        <f t="shared" si="149"/>
        <v>-42883.044281004957</v>
      </c>
      <c r="AA1125" s="9">
        <f t="shared" si="149"/>
        <v>60844.522604464379</v>
      </c>
      <c r="AB1125" s="9">
        <f t="shared" si="149"/>
        <v>27926.350065871462</v>
      </c>
    </row>
    <row r="1126" spans="1:28" x14ac:dyDescent="0.3">
      <c r="A1126" s="1">
        <v>46051</v>
      </c>
      <c r="B1126" s="2">
        <v>94.82</v>
      </c>
      <c r="C1126" s="2">
        <v>105.08</v>
      </c>
      <c r="D1126" s="9">
        <f>B1126-B1125</f>
        <v>-0.9100000000000108</v>
      </c>
      <c r="E1126" s="9">
        <f>C1126-C1125</f>
        <v>-0.82999999999999829</v>
      </c>
      <c r="F1126" s="3">
        <f>F$1/B1126</f>
        <v>1054.6298249314491</v>
      </c>
      <c r="G1126" s="3">
        <f>F$1/C1126</f>
        <v>951.65588123334601</v>
      </c>
      <c r="H1126" s="2">
        <f>D1126*F1125</f>
        <v>-950.59020160870239</v>
      </c>
      <c r="I1126" s="2">
        <f>E1126*G1125</f>
        <v>-783.6842602209407</v>
      </c>
      <c r="J1126" s="2">
        <f>I1126-H1126</f>
        <v>166.90594138776169</v>
      </c>
      <c r="K1126" s="2">
        <f t="shared" si="145"/>
        <v>-166.90594138776169</v>
      </c>
      <c r="L1126" s="14">
        <f>C1126/B1126</f>
        <v>1.1082050200379667</v>
      </c>
      <c r="M1126" s="14">
        <f t="shared" si="147"/>
        <v>1.104702569406409</v>
      </c>
      <c r="N1126" s="14">
        <f t="shared" si="151"/>
        <v>1.103581848113991</v>
      </c>
      <c r="O1126" s="14">
        <f t="shared" si="144"/>
        <v>1.1041862167094054</v>
      </c>
      <c r="P1126" s="14">
        <f t="shared" si="146"/>
        <v>1.0975390484529459</v>
      </c>
      <c r="Q1126" s="4" t="str">
        <f t="shared" si="150"/>
        <v>OVER</v>
      </c>
      <c r="R1126" s="4" t="str">
        <f t="shared" si="150"/>
        <v>OVER</v>
      </c>
      <c r="S1126" s="4" t="str">
        <f t="shared" si="148"/>
        <v>OVER</v>
      </c>
      <c r="T1126" s="4" t="str">
        <f t="shared" si="148"/>
        <v>OVER</v>
      </c>
      <c r="U1126" s="2">
        <f>IF(Q1126="OVER",$J1126,$K1126)</f>
        <v>166.90594138776169</v>
      </c>
      <c r="V1126" s="2">
        <f>IF(R1126="OVER",$J1126,$K1126)</f>
        <v>166.90594138776169</v>
      </c>
      <c r="W1126" s="2">
        <f>IF(S1126="OVER",$J1126,$K1126)</f>
        <v>166.90594138776169</v>
      </c>
      <c r="X1126" s="2">
        <f>IF(T1126="OVER",$J1126,$K1126)</f>
        <v>166.90594138776169</v>
      </c>
      <c r="Y1126" s="9">
        <f t="shared" si="149"/>
        <v>-43999.558449959302</v>
      </c>
      <c r="Z1126" s="9">
        <f t="shared" si="149"/>
        <v>-42716.138339617195</v>
      </c>
      <c r="AA1126" s="9">
        <f t="shared" si="149"/>
        <v>61011.428545852141</v>
      </c>
      <c r="AB1126" s="9">
        <f t="shared" si="149"/>
        <v>28093.256007259224</v>
      </c>
    </row>
    <row r="1127" spans="1:28" x14ac:dyDescent="0.3">
      <c r="A1127" s="1">
        <v>46052</v>
      </c>
      <c r="B1127" s="2">
        <v>93.4</v>
      </c>
      <c r="C1127" s="2">
        <v>103.52</v>
      </c>
      <c r="D1127" s="9">
        <f>B1127-B1126</f>
        <v>-1.4199999999999875</v>
      </c>
      <c r="E1127" s="9">
        <f>C1127-C1126</f>
        <v>-1.5600000000000023</v>
      </c>
      <c r="F1127" s="3">
        <f>F$1/B1127</f>
        <v>1070.663811563169</v>
      </c>
      <c r="G1127" s="3">
        <f>F$1/C1127</f>
        <v>965.99690880989181</v>
      </c>
      <c r="H1127" s="2">
        <f>D1127*F1126</f>
        <v>-1497.5743514026444</v>
      </c>
      <c r="I1127" s="2">
        <f>E1127*G1126</f>
        <v>-1484.583174724022</v>
      </c>
      <c r="J1127" s="2">
        <f>I1127-H1127</f>
        <v>12.991176678622423</v>
      </c>
      <c r="K1127" s="2">
        <f t="shared" si="145"/>
        <v>-12.991176678622423</v>
      </c>
      <c r="L1127" s="14">
        <f>C1127/B1127</f>
        <v>1.1083511777301926</v>
      </c>
      <c r="M1127" s="14">
        <f t="shared" si="147"/>
        <v>1.105390282778659</v>
      </c>
      <c r="N1127" s="14">
        <f t="shared" si="151"/>
        <v>1.1037864025161954</v>
      </c>
      <c r="O1127" s="14">
        <f t="shared" si="144"/>
        <v>1.1041827328284319</v>
      </c>
      <c r="P1127" s="14">
        <f t="shared" si="146"/>
        <v>1.097605093123132</v>
      </c>
      <c r="Q1127" s="4" t="str">
        <f t="shared" si="150"/>
        <v>OVER</v>
      </c>
      <c r="R1127" s="4" t="str">
        <f t="shared" si="150"/>
        <v>OVER</v>
      </c>
      <c r="S1127" s="4" t="str">
        <f t="shared" si="148"/>
        <v>OVER</v>
      </c>
      <c r="T1127" s="4" t="str">
        <f t="shared" si="148"/>
        <v>OVER</v>
      </c>
      <c r="U1127" s="2">
        <f>IF(Q1127="OVER",$J1127,$K1127)</f>
        <v>12.991176678622423</v>
      </c>
      <c r="V1127" s="2">
        <f>IF(R1127="OVER",$J1127,$K1127)</f>
        <v>12.991176678622423</v>
      </c>
      <c r="W1127" s="2">
        <f>IF(S1127="OVER",$J1127,$K1127)</f>
        <v>12.991176678622423</v>
      </c>
      <c r="X1127" s="2">
        <f>IF(T1127="OVER",$J1127,$K1127)</f>
        <v>12.991176678622423</v>
      </c>
      <c r="Y1127" s="9">
        <f t="shared" si="149"/>
        <v>-43986.567273280678</v>
      </c>
      <c r="Z1127" s="9">
        <f t="shared" si="149"/>
        <v>-42703.147162938571</v>
      </c>
      <c r="AA1127" s="9">
        <f t="shared" si="149"/>
        <v>61024.419722530765</v>
      </c>
      <c r="AB1127" s="9">
        <f t="shared" si="149"/>
        <v>28106.247183937845</v>
      </c>
    </row>
    <row r="1128" spans="1:28" x14ac:dyDescent="0.3">
      <c r="A1128" s="1">
        <v>46055</v>
      </c>
      <c r="B1128" s="2">
        <v>93.82</v>
      </c>
      <c r="C1128" s="2">
        <v>103.98</v>
      </c>
      <c r="D1128" s="9">
        <f>B1128-B1127</f>
        <v>0.41999999999998749</v>
      </c>
      <c r="E1128" s="9">
        <f>C1128-C1127</f>
        <v>0.46000000000000796</v>
      </c>
      <c r="F1128" s="3">
        <f>F$1/B1128</f>
        <v>1065.8708164570455</v>
      </c>
      <c r="G1128" s="3">
        <f>F$1/C1128</f>
        <v>961.72340834775912</v>
      </c>
      <c r="H1128" s="2">
        <f>D1128*F1127</f>
        <v>449.67880085651763</v>
      </c>
      <c r="I1128" s="2">
        <f>E1128*G1127</f>
        <v>444.3585780525579</v>
      </c>
      <c r="J1128" s="2">
        <f>I1128-H1128</f>
        <v>-5.320222803959723</v>
      </c>
      <c r="K1128" s="2">
        <f t="shared" si="145"/>
        <v>5.320222803959723</v>
      </c>
      <c r="L1128" s="14">
        <f>C1128/B1128</f>
        <v>1.108292474952036</v>
      </c>
      <c r="M1128" s="14">
        <f t="shared" si="147"/>
        <v>1.1059628469210028</v>
      </c>
      <c r="N1128" s="14">
        <f t="shared" si="151"/>
        <v>1.10396634928975</v>
      </c>
      <c r="O1128" s="14">
        <f t="shared" si="144"/>
        <v>1.1041994844039504</v>
      </c>
      <c r="P1128" s="14">
        <f t="shared" si="146"/>
        <v>1.0976682596779566</v>
      </c>
      <c r="Q1128" s="4" t="str">
        <f t="shared" si="150"/>
        <v>OVER</v>
      </c>
      <c r="R1128" s="4" t="str">
        <f t="shared" si="150"/>
        <v>OVER</v>
      </c>
      <c r="S1128" s="4" t="str">
        <f t="shared" si="148"/>
        <v>OVER</v>
      </c>
      <c r="T1128" s="4" t="str">
        <f t="shared" si="148"/>
        <v>OVER</v>
      </c>
      <c r="U1128" s="2">
        <f>IF(Q1128="OVER",$J1128,$K1128)</f>
        <v>-5.320222803959723</v>
      </c>
      <c r="V1128" s="2">
        <f>IF(R1128="OVER",$J1128,$K1128)</f>
        <v>-5.320222803959723</v>
      </c>
      <c r="W1128" s="2">
        <f>IF(S1128="OVER",$J1128,$K1128)</f>
        <v>-5.320222803959723</v>
      </c>
      <c r="X1128" s="2">
        <f>IF(T1128="OVER",$J1128,$K1128)</f>
        <v>-5.320222803959723</v>
      </c>
      <c r="Y1128" s="9">
        <f t="shared" si="149"/>
        <v>-43991.887496084637</v>
      </c>
      <c r="Z1128" s="9">
        <f t="shared" si="149"/>
        <v>-42708.46738574253</v>
      </c>
      <c r="AA1128" s="9">
        <f t="shared" si="149"/>
        <v>61019.099499726806</v>
      </c>
      <c r="AB1128" s="9">
        <f t="shared" si="149"/>
        <v>28100.926961133886</v>
      </c>
    </row>
    <row r="1129" spans="1:28" x14ac:dyDescent="0.3">
      <c r="A1129" s="1">
        <v>46056</v>
      </c>
      <c r="B1129" s="2">
        <v>93.85</v>
      </c>
      <c r="C1129" s="2">
        <v>104.31</v>
      </c>
      <c r="D1129" s="9">
        <f>B1129-B1128</f>
        <v>3.0000000000001137E-2</v>
      </c>
      <c r="E1129" s="9">
        <f>C1129-C1128</f>
        <v>0.32999999999999829</v>
      </c>
      <c r="F1129" s="3">
        <f>F$1/B1129</f>
        <v>1065.5301012253597</v>
      </c>
      <c r="G1129" s="3">
        <f>F$1/C1129</f>
        <v>958.68085514332279</v>
      </c>
      <c r="H1129" s="2">
        <f>D1129*F1128</f>
        <v>31.976124493712579</v>
      </c>
      <c r="I1129" s="2">
        <f>E1129*G1128</f>
        <v>317.36872475475889</v>
      </c>
      <c r="J1129" s="2">
        <f>I1129-H1129</f>
        <v>285.39260026104631</v>
      </c>
      <c r="K1129" s="2">
        <f t="shared" si="145"/>
        <v>-285.39260026104631</v>
      </c>
      <c r="L1129" s="14">
        <f>C1129/B1129</f>
        <v>1.1114544485881728</v>
      </c>
      <c r="M1129" s="14">
        <f t="shared" si="147"/>
        <v>1.1066905063647197</v>
      </c>
      <c r="N1129" s="14">
        <f t="shared" si="151"/>
        <v>1.1044041432803953</v>
      </c>
      <c r="O1129" s="14">
        <f t="shared" si="144"/>
        <v>1.1042801314493682</v>
      </c>
      <c r="P1129" s="14">
        <f t="shared" si="146"/>
        <v>1.0977420302373957</v>
      </c>
      <c r="Q1129" s="4" t="str">
        <f t="shared" si="150"/>
        <v>OVER</v>
      </c>
      <c r="R1129" s="4" t="str">
        <f t="shared" si="150"/>
        <v>OVER</v>
      </c>
      <c r="S1129" s="4" t="str">
        <f t="shared" si="148"/>
        <v>OVER</v>
      </c>
      <c r="T1129" s="4" t="str">
        <f t="shared" si="148"/>
        <v>OVER</v>
      </c>
      <c r="U1129" s="2">
        <f>IF(Q1129="OVER",$J1129,$K1129)</f>
        <v>285.39260026104631</v>
      </c>
      <c r="V1129" s="2">
        <f>IF(R1129="OVER",$J1129,$K1129)</f>
        <v>285.39260026104631</v>
      </c>
      <c r="W1129" s="2">
        <f>IF(S1129="OVER",$J1129,$K1129)</f>
        <v>285.39260026104631</v>
      </c>
      <c r="X1129" s="2">
        <f>IF(T1129="OVER",$J1129,$K1129)</f>
        <v>285.39260026104631</v>
      </c>
      <c r="Y1129" s="9">
        <f t="shared" si="149"/>
        <v>-43706.494895823591</v>
      </c>
      <c r="Z1129" s="9">
        <f t="shared" si="149"/>
        <v>-42423.074785481484</v>
      </c>
      <c r="AA1129" s="9">
        <f t="shared" si="149"/>
        <v>61304.492099987852</v>
      </c>
      <c r="AB1129" s="9">
        <f t="shared" si="149"/>
        <v>28386.319561394932</v>
      </c>
    </row>
    <row r="1130" spans="1:28" x14ac:dyDescent="0.3">
      <c r="A1130" s="1">
        <v>46057</v>
      </c>
      <c r="B1130" s="2">
        <v>92.81</v>
      </c>
      <c r="C1130" s="2">
        <v>102.8</v>
      </c>
      <c r="D1130" s="9">
        <f>B1130-B1129</f>
        <v>-1.039999999999992</v>
      </c>
      <c r="E1130" s="9">
        <f>C1130-C1129</f>
        <v>-1.5100000000000051</v>
      </c>
      <c r="F1130" s="3">
        <f>F$1/B1130</f>
        <v>1077.4701002047193</v>
      </c>
      <c r="G1130" s="3">
        <f>F$1/C1130</f>
        <v>972.7626459143969</v>
      </c>
      <c r="H1130" s="2">
        <f>D1130*F1129</f>
        <v>-1108.1513052743655</v>
      </c>
      <c r="I1130" s="2">
        <f>E1130*G1129</f>
        <v>-1447.6080912664222</v>
      </c>
      <c r="J1130" s="2">
        <f>I1130-H1130</f>
        <v>-339.45678599205667</v>
      </c>
      <c r="K1130" s="2">
        <f t="shared" si="145"/>
        <v>339.45678599205667</v>
      </c>
      <c r="L1130" s="14">
        <f>C1130/B1130</f>
        <v>1.1076392630104515</v>
      </c>
      <c r="M1130" s="14">
        <f t="shared" si="147"/>
        <v>1.1071070328362678</v>
      </c>
      <c r="N1130" s="14">
        <f t="shared" si="151"/>
        <v>1.1046668918446627</v>
      </c>
      <c r="O1130" s="14">
        <f t="shared" si="144"/>
        <v>1.1042751923802525</v>
      </c>
      <c r="P1130" s="14">
        <f t="shared" si="146"/>
        <v>1.0978085663621759</v>
      </c>
      <c r="Q1130" s="4" t="str">
        <f t="shared" si="150"/>
        <v>OVER</v>
      </c>
      <c r="R1130" s="4" t="str">
        <f t="shared" si="150"/>
        <v>OVER</v>
      </c>
      <c r="S1130" s="4" t="str">
        <f t="shared" si="148"/>
        <v>OVER</v>
      </c>
      <c r="T1130" s="4" t="str">
        <f t="shared" si="148"/>
        <v>OVER</v>
      </c>
      <c r="U1130" s="2">
        <f>IF(Q1130="OVER",$J1130,$K1130)</f>
        <v>-339.45678599205667</v>
      </c>
      <c r="V1130" s="2">
        <f>IF(R1130="OVER",$J1130,$K1130)</f>
        <v>-339.45678599205667</v>
      </c>
      <c r="W1130" s="2">
        <f>IF(S1130="OVER",$J1130,$K1130)</f>
        <v>-339.45678599205667</v>
      </c>
      <c r="X1130" s="2">
        <f>IF(T1130="OVER",$J1130,$K1130)</f>
        <v>-339.45678599205667</v>
      </c>
      <c r="Y1130" s="9">
        <f t="shared" si="149"/>
        <v>-44045.951681815648</v>
      </c>
      <c r="Z1130" s="9">
        <f t="shared" si="149"/>
        <v>-42762.531571473541</v>
      </c>
      <c r="AA1130" s="9">
        <f t="shared" si="149"/>
        <v>60965.035313995795</v>
      </c>
      <c r="AB1130" s="9">
        <f t="shared" si="149"/>
        <v>28046.862775402875</v>
      </c>
    </row>
    <row r="1131" spans="1:28" x14ac:dyDescent="0.3">
      <c r="A1131" s="1">
        <v>46058</v>
      </c>
      <c r="B1131" s="2">
        <v>91.26</v>
      </c>
      <c r="C1131" s="2">
        <v>101.29</v>
      </c>
      <c r="D1131" s="9">
        <f>B1131-B1130</f>
        <v>-1.5499999999999972</v>
      </c>
      <c r="E1131" s="9">
        <f>C1131-C1130</f>
        <v>-1.5099999999999909</v>
      </c>
      <c r="F1131" s="3">
        <f>F$1/B1131</f>
        <v>1095.7703265395573</v>
      </c>
      <c r="G1131" s="3">
        <f>F$1/C1131</f>
        <v>987.26429065060711</v>
      </c>
      <c r="H1131" s="2">
        <f>D1131*F1130</f>
        <v>-1670.0786553173118</v>
      </c>
      <c r="I1131" s="2">
        <f>E1131*G1130</f>
        <v>-1468.8715953307305</v>
      </c>
      <c r="J1131" s="2">
        <f>I1131-H1131</f>
        <v>201.20705998658127</v>
      </c>
      <c r="K1131" s="2">
        <f t="shared" si="145"/>
        <v>-201.20705998658127</v>
      </c>
      <c r="L1131" s="14">
        <f>C1131/B1131</f>
        <v>1.1099057637519176</v>
      </c>
      <c r="M1131" s="14">
        <f t="shared" si="147"/>
        <v>1.10779194162496</v>
      </c>
      <c r="N1131" s="14">
        <f t="shared" si="151"/>
        <v>1.1049938847010967</v>
      </c>
      <c r="O1131" s="14">
        <f t="shared" si="144"/>
        <v>1.10436561712145</v>
      </c>
      <c r="P1131" s="14">
        <f t="shared" si="146"/>
        <v>1.0978724350077753</v>
      </c>
      <c r="Q1131" s="4" t="str">
        <f t="shared" si="150"/>
        <v>OVER</v>
      </c>
      <c r="R1131" s="4" t="str">
        <f t="shared" si="150"/>
        <v>OVER</v>
      </c>
      <c r="S1131" s="4" t="str">
        <f t="shared" si="148"/>
        <v>OVER</v>
      </c>
      <c r="T1131" s="4" t="str">
        <f t="shared" si="148"/>
        <v>OVER</v>
      </c>
      <c r="U1131" s="2">
        <f>IF(Q1131="OVER",$J1131,$K1131)</f>
        <v>201.20705998658127</v>
      </c>
      <c r="V1131" s="2">
        <f>IF(R1131="OVER",$J1131,$K1131)</f>
        <v>201.20705998658127</v>
      </c>
      <c r="W1131" s="2">
        <f>IF(S1131="OVER",$J1131,$K1131)</f>
        <v>201.20705998658127</v>
      </c>
      <c r="X1131" s="2">
        <f>IF(T1131="OVER",$J1131,$K1131)</f>
        <v>201.20705998658127</v>
      </c>
      <c r="Y1131" s="9">
        <f t="shared" si="149"/>
        <v>-43844.744621829064</v>
      </c>
      <c r="Z1131" s="9">
        <f t="shared" si="149"/>
        <v>-42561.324511486957</v>
      </c>
      <c r="AA1131" s="9">
        <f t="shared" si="149"/>
        <v>61166.242373982379</v>
      </c>
      <c r="AB1131" s="9">
        <f t="shared" si="149"/>
        <v>28248.069835389455</v>
      </c>
    </row>
    <row r="1132" spans="1:28" x14ac:dyDescent="0.3">
      <c r="A1132" s="1">
        <v>46059</v>
      </c>
      <c r="B1132" s="2">
        <v>93.95</v>
      </c>
      <c r="C1132" s="2">
        <v>104.41</v>
      </c>
      <c r="D1132" s="9">
        <f>B1132-B1131</f>
        <v>2.6899999999999977</v>
      </c>
      <c r="E1132" s="9">
        <f>C1132-C1131</f>
        <v>3.1199999999999903</v>
      </c>
      <c r="F1132" s="3">
        <f>F$1/B1132</f>
        <v>1064.39595529537</v>
      </c>
      <c r="G1132" s="3">
        <f>F$1/C1132</f>
        <v>957.76266641126335</v>
      </c>
      <c r="H1132" s="2">
        <f>D1132*F1131</f>
        <v>2947.6221783914066</v>
      </c>
      <c r="I1132" s="2">
        <f>E1132*G1131</f>
        <v>3080.2645868298846</v>
      </c>
      <c r="J1132" s="2">
        <f>I1132-H1132</f>
        <v>132.64240843847801</v>
      </c>
      <c r="K1132" s="2">
        <f t="shared" si="145"/>
        <v>-132.64240843847801</v>
      </c>
      <c r="L1132" s="14">
        <f>C1132/B1132</f>
        <v>1.1113358169238956</v>
      </c>
      <c r="M1132" s="14">
        <f t="shared" si="147"/>
        <v>1.1083919201647241</v>
      </c>
      <c r="N1132" s="14">
        <f t="shared" si="151"/>
        <v>1.1054588569694848</v>
      </c>
      <c r="O1132" s="14">
        <f t="shared" si="144"/>
        <v>1.1044602963810224</v>
      </c>
      <c r="P1132" s="14">
        <f t="shared" si="146"/>
        <v>1.0979649425420483</v>
      </c>
      <c r="Q1132" s="4" t="str">
        <f t="shared" si="150"/>
        <v>OVER</v>
      </c>
      <c r="R1132" s="4" t="str">
        <f t="shared" si="150"/>
        <v>OVER</v>
      </c>
      <c r="S1132" s="4" t="str">
        <f t="shared" si="148"/>
        <v>OVER</v>
      </c>
      <c r="T1132" s="4" t="str">
        <f t="shared" si="148"/>
        <v>OVER</v>
      </c>
      <c r="U1132" s="2">
        <f>IF(Q1132="OVER",$J1132,$K1132)</f>
        <v>132.64240843847801</v>
      </c>
      <c r="V1132" s="2">
        <f>IF(R1132="OVER",$J1132,$K1132)</f>
        <v>132.64240843847801</v>
      </c>
      <c r="W1132" s="2">
        <f>IF(S1132="OVER",$J1132,$K1132)</f>
        <v>132.64240843847801</v>
      </c>
      <c r="X1132" s="2">
        <f>IF(T1132="OVER",$J1132,$K1132)</f>
        <v>132.64240843847801</v>
      </c>
      <c r="Y1132" s="9">
        <f t="shared" si="149"/>
        <v>-43712.102213390586</v>
      </c>
      <c r="Z1132" s="9">
        <f t="shared" si="149"/>
        <v>-42428.682103048479</v>
      </c>
      <c r="AA1132" s="9">
        <f t="shared" si="149"/>
        <v>61298.884782420857</v>
      </c>
      <c r="AB1132" s="9">
        <f t="shared" si="149"/>
        <v>28380.712243827933</v>
      </c>
    </row>
    <row r="1133" spans="1:28" x14ac:dyDescent="0.3">
      <c r="A1133" s="1">
        <v>46062</v>
      </c>
      <c r="B1133" s="2">
        <v>95.02</v>
      </c>
      <c r="C1133" s="2">
        <v>105.17</v>
      </c>
      <c r="D1133" s="9">
        <f>B1133-B1132</f>
        <v>1.0699999999999932</v>
      </c>
      <c r="E1133" s="9">
        <f>C1133-C1132</f>
        <v>0.76000000000000512</v>
      </c>
      <c r="F1133" s="3">
        <f>F$1/B1133</f>
        <v>1052.4100189433805</v>
      </c>
      <c r="G1133" s="3">
        <f>F$1/C1133</f>
        <v>950.84149472282968</v>
      </c>
      <c r="H1133" s="2">
        <f>D1133*F1132</f>
        <v>1138.9036721660386</v>
      </c>
      <c r="I1133" s="2">
        <f>E1133*G1132</f>
        <v>727.89962647256505</v>
      </c>
      <c r="J1133" s="2">
        <f>I1133-H1133</f>
        <v>-411.00404569347359</v>
      </c>
      <c r="K1133" s="2">
        <f t="shared" si="145"/>
        <v>411.00404569347359</v>
      </c>
      <c r="L1133" s="14">
        <f>C1133/B1133</f>
        <v>1.1068196169227531</v>
      </c>
      <c r="M1133" s="14">
        <f t="shared" si="147"/>
        <v>1.1084655574172984</v>
      </c>
      <c r="N1133" s="14">
        <f t="shared" si="151"/>
        <v>1.1057348323985043</v>
      </c>
      <c r="O1133" s="14">
        <f t="shared" si="144"/>
        <v>1.1044082388714531</v>
      </c>
      <c r="P1133" s="14">
        <f t="shared" si="146"/>
        <v>1.0980307228819646</v>
      </c>
      <c r="Q1133" s="4" t="str">
        <f t="shared" si="150"/>
        <v>OVER</v>
      </c>
      <c r="R1133" s="4" t="str">
        <f t="shared" si="150"/>
        <v>OVER</v>
      </c>
      <c r="S1133" s="4" t="str">
        <f t="shared" si="148"/>
        <v>OVER</v>
      </c>
      <c r="T1133" s="4" t="str">
        <f t="shared" si="148"/>
        <v>OVER</v>
      </c>
      <c r="U1133" s="2">
        <f>IF(Q1133="OVER",$J1133,$K1133)</f>
        <v>-411.00404569347359</v>
      </c>
      <c r="V1133" s="2">
        <f>IF(R1133="OVER",$J1133,$K1133)</f>
        <v>-411.00404569347359</v>
      </c>
      <c r="W1133" s="2">
        <f>IF(S1133="OVER",$J1133,$K1133)</f>
        <v>-411.00404569347359</v>
      </c>
      <c r="X1133" s="2">
        <f>IF(T1133="OVER",$J1133,$K1133)</f>
        <v>-411.00404569347359</v>
      </c>
      <c r="Y1133" s="9">
        <f t="shared" si="149"/>
        <v>-44123.106259084059</v>
      </c>
      <c r="Z1133" s="9">
        <f t="shared" si="149"/>
        <v>-42839.686148741952</v>
      </c>
      <c r="AA1133" s="9">
        <f t="shared" si="149"/>
        <v>60887.880736727384</v>
      </c>
      <c r="AB1133" s="9">
        <f t="shared" si="149"/>
        <v>27969.70819813446</v>
      </c>
    </row>
    <row r="1134" spans="1:28" x14ac:dyDescent="0.3">
      <c r="A1134" s="1">
        <v>46063</v>
      </c>
      <c r="B1134" s="2">
        <v>94.59</v>
      </c>
      <c r="C1134" s="2">
        <v>104.68</v>
      </c>
      <c r="D1134" s="9">
        <f>B1134-B1133</f>
        <v>-0.42999999999999261</v>
      </c>
      <c r="E1134" s="9">
        <f>C1134-C1133</f>
        <v>-0.48999999999999488</v>
      </c>
      <c r="F1134" s="3">
        <f>F$1/B1134</f>
        <v>1057.194206575748</v>
      </c>
      <c r="G1134" s="3">
        <f>F$1/C1134</f>
        <v>955.29231944975152</v>
      </c>
      <c r="H1134" s="2">
        <f>D1134*F1133</f>
        <v>-452.53630814564582</v>
      </c>
      <c r="I1134" s="2">
        <f>E1134*G1133</f>
        <v>-465.91233241418166</v>
      </c>
      <c r="J1134" s="2">
        <f>I1134-H1134</f>
        <v>-13.376024268535843</v>
      </c>
      <c r="K1134" s="2">
        <f t="shared" si="145"/>
        <v>13.376024268535843</v>
      </c>
      <c r="L1134" s="14">
        <f>C1134/B1134</f>
        <v>1.106670895443493</v>
      </c>
      <c r="M1134" s="14">
        <f t="shared" si="147"/>
        <v>1.1085015227386994</v>
      </c>
      <c r="N1134" s="14">
        <f t="shared" si="151"/>
        <v>1.1059679798765738</v>
      </c>
      <c r="O1134" s="14">
        <f t="shared" si="144"/>
        <v>1.104387913316089</v>
      </c>
      <c r="P1134" s="14">
        <f t="shared" si="146"/>
        <v>1.0981050267592865</v>
      </c>
      <c r="Q1134" s="4" t="str">
        <f t="shared" si="150"/>
        <v>UNDER</v>
      </c>
      <c r="R1134" s="4" t="str">
        <f t="shared" si="150"/>
        <v>OVER</v>
      </c>
      <c r="S1134" s="4" t="str">
        <f t="shared" si="148"/>
        <v>OVER</v>
      </c>
      <c r="T1134" s="4" t="str">
        <f t="shared" si="148"/>
        <v>OVER</v>
      </c>
      <c r="U1134" s="2">
        <f>IF(Q1134="OVER",$J1134,$K1134)</f>
        <v>13.376024268535843</v>
      </c>
      <c r="V1134" s="2">
        <f>IF(R1134="OVER",$J1134,$K1134)</f>
        <v>-13.376024268535843</v>
      </c>
      <c r="W1134" s="2">
        <f>IF(S1134="OVER",$J1134,$K1134)</f>
        <v>-13.376024268535843</v>
      </c>
      <c r="X1134" s="2">
        <f>IF(T1134="OVER",$J1134,$K1134)</f>
        <v>-13.376024268535843</v>
      </c>
      <c r="Y1134" s="9">
        <f t="shared" si="149"/>
        <v>-44109.730234815521</v>
      </c>
      <c r="Z1134" s="9">
        <f t="shared" si="149"/>
        <v>-42853.06217301049</v>
      </c>
      <c r="AA1134" s="9">
        <f t="shared" si="149"/>
        <v>60874.504712458845</v>
      </c>
      <c r="AB1134" s="9">
        <f t="shared" si="149"/>
        <v>27956.332173865925</v>
      </c>
    </row>
    <row r="1135" spans="1:28" x14ac:dyDescent="0.3">
      <c r="A1135" s="1">
        <v>46064</v>
      </c>
      <c r="B1135" s="2">
        <v>94.5</v>
      </c>
      <c r="C1135" s="2">
        <v>104.4</v>
      </c>
      <c r="D1135" s="9">
        <f>B1135-B1134</f>
        <v>-9.0000000000003411E-2</v>
      </c>
      <c r="E1135" s="9">
        <f>C1135-C1134</f>
        <v>-0.28000000000000114</v>
      </c>
      <c r="F1135" s="3">
        <f>F$1/B1135</f>
        <v>1058.2010582010582</v>
      </c>
      <c r="G1135" s="3">
        <f>F$1/C1135</f>
        <v>957.8544061302681</v>
      </c>
      <c r="H1135" s="2">
        <f>D1135*F1134</f>
        <v>-95.147478591820928</v>
      </c>
      <c r="I1135" s="2">
        <f>E1135*G1134</f>
        <v>-267.48184944593152</v>
      </c>
      <c r="J1135" s="2">
        <f>I1135-H1135</f>
        <v>-172.3343708541106</v>
      </c>
      <c r="K1135" s="2">
        <f t="shared" si="145"/>
        <v>172.3343708541106</v>
      </c>
      <c r="L1135" s="14">
        <f>C1135/B1135</f>
        <v>1.1047619047619048</v>
      </c>
      <c r="M1135" s="14">
        <f t="shared" si="147"/>
        <v>1.1083436382122784</v>
      </c>
      <c r="N1135" s="14">
        <f t="shared" si="151"/>
        <v>1.1060957258539021</v>
      </c>
      <c r="O1135" s="14">
        <f t="shared" si="144"/>
        <v>1.1043234958962558</v>
      </c>
      <c r="P1135" s="14">
        <f t="shared" si="146"/>
        <v>1.0981748207390545</v>
      </c>
      <c r="Q1135" s="4" t="str">
        <f t="shared" si="150"/>
        <v>UNDER</v>
      </c>
      <c r="R1135" s="4" t="str">
        <f t="shared" si="150"/>
        <v>OVER</v>
      </c>
      <c r="S1135" s="4" t="str">
        <f t="shared" si="148"/>
        <v>OVER</v>
      </c>
      <c r="T1135" s="4" t="str">
        <f t="shared" si="148"/>
        <v>OVER</v>
      </c>
      <c r="U1135" s="2">
        <f>IF(Q1135="OVER",$J1135,$K1135)</f>
        <v>172.3343708541106</v>
      </c>
      <c r="V1135" s="2">
        <f>IF(R1135="OVER",$J1135,$K1135)</f>
        <v>-172.3343708541106</v>
      </c>
      <c r="W1135" s="2">
        <f>IF(S1135="OVER",$J1135,$K1135)</f>
        <v>-172.3343708541106</v>
      </c>
      <c r="X1135" s="2">
        <f>IF(T1135="OVER",$J1135,$K1135)</f>
        <v>-172.3343708541106</v>
      </c>
      <c r="Y1135" s="9">
        <f t="shared" si="149"/>
        <v>-43937.395863961414</v>
      </c>
      <c r="Z1135" s="9">
        <f t="shared" si="149"/>
        <v>-43025.396543864597</v>
      </c>
      <c r="AA1135" s="9">
        <f t="shared" si="149"/>
        <v>60702.170341604738</v>
      </c>
      <c r="AB1135" s="9">
        <f t="shared" si="149"/>
        <v>27783.997803011815</v>
      </c>
    </row>
    <row r="1136" spans="1:28" x14ac:dyDescent="0.3">
      <c r="A1136" s="1">
        <v>46065</v>
      </c>
      <c r="B1136" s="2">
        <v>93.91</v>
      </c>
      <c r="C1136" s="2">
        <v>103.84</v>
      </c>
      <c r="D1136" s="9">
        <f>B1136-B1135</f>
        <v>-0.59000000000000341</v>
      </c>
      <c r="E1136" s="9">
        <f>C1136-C1135</f>
        <v>-0.56000000000000227</v>
      </c>
      <c r="F1136" s="3">
        <f>F$1/B1136</f>
        <v>1064.8493238206795</v>
      </c>
      <c r="G1136" s="3">
        <f>F$1/C1136</f>
        <v>963.020030816641</v>
      </c>
      <c r="H1136" s="2">
        <f>D1136*F1135</f>
        <v>-624.33862433862794</v>
      </c>
      <c r="I1136" s="2">
        <f>E1136*G1135</f>
        <v>-536.39846743295232</v>
      </c>
      <c r="J1136" s="2">
        <f>I1136-H1136</f>
        <v>87.940156905675622</v>
      </c>
      <c r="K1136" s="2">
        <f t="shared" si="145"/>
        <v>-87.940156905675622</v>
      </c>
      <c r="L1136" s="14">
        <f>C1136/B1136</f>
        <v>1.1057395378553936</v>
      </c>
      <c r="M1136" s="14">
        <f t="shared" si="147"/>
        <v>1.108097089994021</v>
      </c>
      <c r="N1136" s="14">
        <f t="shared" si="151"/>
        <v>1.1063998297002147</v>
      </c>
      <c r="O1136" s="14">
        <f t="shared" si="144"/>
        <v>1.1043289290183338</v>
      </c>
      <c r="P1136" s="14">
        <f t="shared" si="146"/>
        <v>1.0982516139738447</v>
      </c>
      <c r="Q1136" s="4" t="str">
        <f t="shared" si="150"/>
        <v>UNDER</v>
      </c>
      <c r="R1136" s="4" t="str">
        <f t="shared" si="150"/>
        <v>UNDER</v>
      </c>
      <c r="S1136" s="4" t="str">
        <f t="shared" si="148"/>
        <v>OVER</v>
      </c>
      <c r="T1136" s="4" t="str">
        <f t="shared" si="148"/>
        <v>OVER</v>
      </c>
      <c r="U1136" s="2">
        <f>IF(Q1136="OVER",$J1136,$K1136)</f>
        <v>-87.940156905675622</v>
      </c>
      <c r="V1136" s="2">
        <f>IF(R1136="OVER",$J1136,$K1136)</f>
        <v>-87.940156905675622</v>
      </c>
      <c r="W1136" s="2">
        <f>IF(S1136="OVER",$J1136,$K1136)</f>
        <v>87.940156905675622</v>
      </c>
      <c r="X1136" s="2">
        <f>IF(T1136="OVER",$J1136,$K1136)</f>
        <v>87.940156905675622</v>
      </c>
      <c r="Y1136" s="9">
        <f t="shared" si="149"/>
        <v>-44025.336020867093</v>
      </c>
      <c r="Z1136" s="9">
        <f t="shared" si="149"/>
        <v>-43113.336700770276</v>
      </c>
      <c r="AA1136" s="9">
        <f t="shared" si="149"/>
        <v>60790.110498510418</v>
      </c>
      <c r="AB1136" s="9">
        <f t="shared" si="149"/>
        <v>27871.93795991749</v>
      </c>
    </row>
    <row r="1137" spans="1:28" x14ac:dyDescent="0.3">
      <c r="A1137" s="1">
        <v>46066</v>
      </c>
      <c r="B1137" s="2">
        <v>94.51</v>
      </c>
      <c r="C1137" s="2">
        <v>104.73</v>
      </c>
      <c r="D1137" s="9">
        <f>B1137-B1136</f>
        <v>0.60000000000000853</v>
      </c>
      <c r="E1137" s="9">
        <f>C1137-C1136</f>
        <v>0.89000000000000057</v>
      </c>
      <c r="F1137" s="3">
        <f>F$1/B1137</f>
        <v>1058.0890911014708</v>
      </c>
      <c r="G1137" s="3">
        <f>F$1/C1137</f>
        <v>954.83624558388237</v>
      </c>
      <c r="H1137" s="2">
        <f>D1137*F1136</f>
        <v>638.90959429241673</v>
      </c>
      <c r="I1137" s="2">
        <f>E1137*G1136</f>
        <v>857.08782742681103</v>
      </c>
      <c r="J1137" s="2">
        <f>I1137-H1137</f>
        <v>218.1782331343943</v>
      </c>
      <c r="K1137" s="2">
        <f t="shared" si="145"/>
        <v>-218.1782331343943</v>
      </c>
      <c r="L1137" s="14">
        <f>C1137/B1137</f>
        <v>1.1081367051105704</v>
      </c>
      <c r="M1137" s="14">
        <f t="shared" si="147"/>
        <v>1.1080756427320588</v>
      </c>
      <c r="N1137" s="14">
        <f t="shared" si="151"/>
        <v>1.1067329627553588</v>
      </c>
      <c r="O1137" s="14">
        <f t="shared" si="144"/>
        <v>1.104413161782454</v>
      </c>
      <c r="P1137" s="14">
        <f t="shared" si="146"/>
        <v>1.0983270465341466</v>
      </c>
      <c r="Q1137" s="4" t="str">
        <f t="shared" si="150"/>
        <v>UNDER</v>
      </c>
      <c r="R1137" s="4" t="str">
        <f t="shared" si="150"/>
        <v>UNDER</v>
      </c>
      <c r="S1137" s="4" t="str">
        <f t="shared" si="148"/>
        <v>OVER</v>
      </c>
      <c r="T1137" s="4" t="str">
        <f t="shared" si="148"/>
        <v>OVER</v>
      </c>
      <c r="U1137" s="2">
        <f>IF(Q1137="OVER",$J1137,$K1137)</f>
        <v>-218.1782331343943</v>
      </c>
      <c r="V1137" s="2">
        <f>IF(R1137="OVER",$J1137,$K1137)</f>
        <v>-218.1782331343943</v>
      </c>
      <c r="W1137" s="2">
        <f>IF(S1137="OVER",$J1137,$K1137)</f>
        <v>218.1782331343943</v>
      </c>
      <c r="X1137" s="2">
        <f>IF(T1137="OVER",$J1137,$K1137)</f>
        <v>218.1782331343943</v>
      </c>
      <c r="Y1137" s="9">
        <f t="shared" si="149"/>
        <v>-44243.514254001486</v>
      </c>
      <c r="Z1137" s="9">
        <f t="shared" si="149"/>
        <v>-43331.514933904669</v>
      </c>
      <c r="AA1137" s="9">
        <f t="shared" si="149"/>
        <v>61008.28873164481</v>
      </c>
      <c r="AB1137" s="9">
        <f t="shared" si="149"/>
        <v>28090.116193051883</v>
      </c>
    </row>
    <row r="1138" spans="1:28" x14ac:dyDescent="0.3">
      <c r="A1138" s="1">
        <v>46070</v>
      </c>
      <c r="B1138" s="2">
        <v>94.78</v>
      </c>
      <c r="C1138" s="2">
        <v>104.81</v>
      </c>
      <c r="D1138" s="9">
        <f>B1138-B1137</f>
        <v>0.26999999999999602</v>
      </c>
      <c r="E1138" s="9">
        <f>C1138-C1137</f>
        <v>7.9999999999998295E-2</v>
      </c>
      <c r="F1138" s="3">
        <f>F$1/B1138</f>
        <v>1055.0749103186326</v>
      </c>
      <c r="G1138" s="3">
        <f>F$1/C1138</f>
        <v>954.10743249689915</v>
      </c>
      <c r="H1138" s="2">
        <f>D1138*F1137</f>
        <v>285.6840545973929</v>
      </c>
      <c r="I1138" s="2">
        <f>E1138*G1137</f>
        <v>76.386899646708954</v>
      </c>
      <c r="J1138" s="2">
        <f>I1138-H1138</f>
        <v>-209.29715495068393</v>
      </c>
      <c r="K1138" s="2">
        <f t="shared" si="145"/>
        <v>209.29715495068393</v>
      </c>
      <c r="L1138" s="14">
        <f>C1138/B1138</f>
        <v>1.1058240135049588</v>
      </c>
      <c r="M1138" s="14">
        <f t="shared" si="147"/>
        <v>1.1078287965873512</v>
      </c>
      <c r="N1138" s="14">
        <f t="shared" si="151"/>
        <v>1.1068958217541769</v>
      </c>
      <c r="O1138" s="14">
        <f t="shared" si="144"/>
        <v>1.1044207531636643</v>
      </c>
      <c r="P1138" s="14">
        <f t="shared" si="146"/>
        <v>1.0983898954808149</v>
      </c>
      <c r="Q1138" s="4" t="str">
        <f t="shared" si="150"/>
        <v>OVER</v>
      </c>
      <c r="R1138" s="4" t="str">
        <f t="shared" si="150"/>
        <v>OVER</v>
      </c>
      <c r="S1138" s="4" t="str">
        <f t="shared" si="148"/>
        <v>OVER</v>
      </c>
      <c r="T1138" s="4" t="str">
        <f t="shared" si="148"/>
        <v>OVER</v>
      </c>
      <c r="U1138" s="2">
        <f>IF(Q1138="OVER",$J1138,$K1138)</f>
        <v>-209.29715495068393</v>
      </c>
      <c r="V1138" s="2">
        <f>IF(R1138="OVER",$J1138,$K1138)</f>
        <v>-209.29715495068393</v>
      </c>
      <c r="W1138" s="2">
        <f>IF(S1138="OVER",$J1138,$K1138)</f>
        <v>-209.29715495068393</v>
      </c>
      <c r="X1138" s="2">
        <f>IF(T1138="OVER",$J1138,$K1138)</f>
        <v>-209.29715495068393</v>
      </c>
      <c r="Y1138" s="9">
        <f t="shared" si="149"/>
        <v>-44452.81140895217</v>
      </c>
      <c r="Z1138" s="9">
        <f t="shared" si="149"/>
        <v>-43540.812088855353</v>
      </c>
      <c r="AA1138" s="9">
        <f t="shared" si="149"/>
        <v>60798.991576694127</v>
      </c>
      <c r="AB1138" s="9">
        <f t="shared" si="149"/>
        <v>27880.819038101199</v>
      </c>
    </row>
    <row r="1139" spans="1:28" x14ac:dyDescent="0.3">
      <c r="A1139" s="1">
        <v>46071</v>
      </c>
      <c r="B1139" s="2">
        <v>94.91</v>
      </c>
      <c r="C1139" s="2">
        <v>105.1</v>
      </c>
      <c r="D1139" s="9">
        <f>B1139-B1138</f>
        <v>0.12999999999999545</v>
      </c>
      <c r="E1139" s="9">
        <f>C1139-C1138</f>
        <v>0.28999999999999204</v>
      </c>
      <c r="F1139" s="3">
        <f>F$1/B1139</f>
        <v>1053.6297545042673</v>
      </c>
      <c r="G1139" s="3">
        <f>F$1/C1139</f>
        <v>951.47478591817321</v>
      </c>
      <c r="H1139" s="2">
        <f>D1139*F1138</f>
        <v>137.15973834141744</v>
      </c>
      <c r="I1139" s="2">
        <f>E1139*G1138</f>
        <v>276.69115542409315</v>
      </c>
      <c r="J1139" s="2">
        <f>I1139-H1139</f>
        <v>139.53141708267572</v>
      </c>
      <c r="K1139" s="2">
        <f t="shared" si="145"/>
        <v>-139.53141708267572</v>
      </c>
      <c r="L1139" s="14">
        <f>C1139/B1139</f>
        <v>1.1073648719839848</v>
      </c>
      <c r="M1139" s="14">
        <f t="shared" si="147"/>
        <v>1.1074198389269323</v>
      </c>
      <c r="N1139" s="14">
        <f t="shared" si="151"/>
        <v>1.107055172645826</v>
      </c>
      <c r="O1139" s="14">
        <f t="shared" si="144"/>
        <v>1.104446303801403</v>
      </c>
      <c r="P1139" s="14">
        <f t="shared" si="146"/>
        <v>1.0984649241113806</v>
      </c>
      <c r="Q1139" s="4" t="str">
        <f t="shared" si="150"/>
        <v>UNDER</v>
      </c>
      <c r="R1139" s="4" t="str">
        <f t="shared" si="150"/>
        <v>UNDER</v>
      </c>
      <c r="S1139" s="4" t="str">
        <f t="shared" si="148"/>
        <v>OVER</v>
      </c>
      <c r="T1139" s="4" t="str">
        <f t="shared" si="148"/>
        <v>OVER</v>
      </c>
      <c r="U1139" s="2">
        <f>IF(Q1139="OVER",$J1139,$K1139)</f>
        <v>-139.53141708267572</v>
      </c>
      <c r="V1139" s="2">
        <f>IF(R1139="OVER",$J1139,$K1139)</f>
        <v>-139.53141708267572</v>
      </c>
      <c r="W1139" s="2">
        <f>IF(S1139="OVER",$J1139,$K1139)</f>
        <v>139.53141708267572</v>
      </c>
      <c r="X1139" s="2">
        <f>IF(T1139="OVER",$J1139,$K1139)</f>
        <v>139.53141708267572</v>
      </c>
      <c r="Y1139" s="9">
        <f t="shared" si="149"/>
        <v>-44592.342826034845</v>
      </c>
      <c r="Z1139" s="9">
        <f t="shared" si="149"/>
        <v>-43680.343505938028</v>
      </c>
      <c r="AA1139" s="9">
        <f t="shared" si="149"/>
        <v>60938.522993776802</v>
      </c>
      <c r="AB1139" s="9">
        <f t="shared" si="149"/>
        <v>28020.350455183874</v>
      </c>
    </row>
    <row r="1140" spans="1:28" x14ac:dyDescent="0.3">
      <c r="A1140" s="1">
        <v>46072</v>
      </c>
      <c r="B1140" s="2">
        <v>94.98</v>
      </c>
      <c r="C1140" s="2">
        <v>105.26</v>
      </c>
      <c r="D1140" s="9">
        <f>B1140-B1139</f>
        <v>7.000000000000739E-2</v>
      </c>
      <c r="E1140" s="9">
        <f>C1140-C1139</f>
        <v>0.1600000000000108</v>
      </c>
      <c r="F1140" s="3">
        <f>F$1/B1140</f>
        <v>1052.8532322594231</v>
      </c>
      <c r="G1140" s="3">
        <f>F$1/C1140</f>
        <v>950.02850085502564</v>
      </c>
      <c r="H1140" s="2">
        <f>D1140*F1139</f>
        <v>73.754082815306504</v>
      </c>
      <c r="I1140" s="2">
        <f>E1140*G1139</f>
        <v>152.235965746918</v>
      </c>
      <c r="J1140" s="2">
        <f>I1140-H1140</f>
        <v>78.481882931611494</v>
      </c>
      <c r="K1140" s="2">
        <f t="shared" si="145"/>
        <v>-78.481882931611494</v>
      </c>
      <c r="L1140" s="14">
        <f>C1140/B1140</f>
        <v>1.1082333122762686</v>
      </c>
      <c r="M1140" s="14">
        <f t="shared" si="147"/>
        <v>1.1074792438535142</v>
      </c>
      <c r="N1140" s="14">
        <f t="shared" si="151"/>
        <v>1.107293138344891</v>
      </c>
      <c r="O1140" s="14">
        <f t="shared" si="144"/>
        <v>1.104548090841192</v>
      </c>
      <c r="P1140" s="14">
        <f t="shared" si="146"/>
        <v>1.0985355099290022</v>
      </c>
      <c r="Q1140" s="4" t="str">
        <f t="shared" si="150"/>
        <v>UNDER</v>
      </c>
      <c r="R1140" s="4" t="str">
        <f t="shared" si="150"/>
        <v>OVER</v>
      </c>
      <c r="S1140" s="4" t="str">
        <f t="shared" si="148"/>
        <v>OVER</v>
      </c>
      <c r="T1140" s="4" t="str">
        <f t="shared" si="148"/>
        <v>OVER</v>
      </c>
      <c r="U1140" s="2">
        <f>IF(Q1140="OVER",$J1140,$K1140)</f>
        <v>-78.481882931611494</v>
      </c>
      <c r="V1140" s="2">
        <f>IF(R1140="OVER",$J1140,$K1140)</f>
        <v>78.481882931611494</v>
      </c>
      <c r="W1140" s="2">
        <f>IF(S1140="OVER",$J1140,$K1140)</f>
        <v>78.481882931611494</v>
      </c>
      <c r="X1140" s="2">
        <f>IF(T1140="OVER",$J1140,$K1140)</f>
        <v>78.481882931611494</v>
      </c>
      <c r="Y1140" s="9">
        <f t="shared" si="149"/>
        <v>-44670.824708966458</v>
      </c>
      <c r="Z1140" s="9">
        <f t="shared" si="149"/>
        <v>-43601.861623006414</v>
      </c>
      <c r="AA1140" s="9">
        <f t="shared" si="149"/>
        <v>61017.004876708415</v>
      </c>
      <c r="AB1140" s="9">
        <f t="shared" si="149"/>
        <v>28098.832338115484</v>
      </c>
    </row>
    <row r="1141" spans="1:28" x14ac:dyDescent="0.3">
      <c r="A1141" s="1">
        <v>46073</v>
      </c>
      <c r="B1141" s="2">
        <v>94.64</v>
      </c>
      <c r="C1141" s="2">
        <v>105.05</v>
      </c>
      <c r="D1141" s="9">
        <f>B1141-B1140</f>
        <v>-0.34000000000000341</v>
      </c>
      <c r="E1141" s="9">
        <f>C1141-C1140</f>
        <v>-0.21000000000000796</v>
      </c>
      <c r="F1141" s="3">
        <f>F$1/B1141</f>
        <v>1056.6356720202873</v>
      </c>
      <c r="G1141" s="3">
        <f>F$1/C1141</f>
        <v>951.92765349833417</v>
      </c>
      <c r="H1141" s="2">
        <f>D1141*F1140</f>
        <v>-357.97009896820742</v>
      </c>
      <c r="I1141" s="2">
        <f>E1141*G1140</f>
        <v>-199.50598517956294</v>
      </c>
      <c r="J1141" s="2">
        <f>I1141-H1141</f>
        <v>158.46411378864448</v>
      </c>
      <c r="K1141" s="2">
        <f t="shared" si="145"/>
        <v>-158.46411378864448</v>
      </c>
      <c r="L1141" s="14">
        <f>C1141/B1141</f>
        <v>1.1099957734573118</v>
      </c>
      <c r="M1141" s="14">
        <f t="shared" si="147"/>
        <v>1.1074882448240535</v>
      </c>
      <c r="N1141" s="14">
        <f t="shared" si="151"/>
        <v>1.1076400932245067</v>
      </c>
      <c r="O1141" s="14">
        <f t="shared" ref="O1141:O1204" si="152">AVERAGE(L1092:L1141)</f>
        <v>1.1046695403636775</v>
      </c>
      <c r="P1141" s="14">
        <f t="shared" si="146"/>
        <v>1.0986157802073317</v>
      </c>
      <c r="Q1141" s="4" t="str">
        <f t="shared" si="150"/>
        <v>OVER</v>
      </c>
      <c r="R1141" s="4" t="str">
        <f t="shared" si="150"/>
        <v>OVER</v>
      </c>
      <c r="S1141" s="4" t="str">
        <f t="shared" si="148"/>
        <v>OVER</v>
      </c>
      <c r="T1141" s="4" t="str">
        <f t="shared" si="148"/>
        <v>OVER</v>
      </c>
      <c r="U1141" s="2">
        <f>IF(Q1141="OVER",$J1141,$K1141)</f>
        <v>158.46411378864448</v>
      </c>
      <c r="V1141" s="2">
        <f>IF(R1141="OVER",$J1141,$K1141)</f>
        <v>158.46411378864448</v>
      </c>
      <c r="W1141" s="2">
        <f>IF(S1141="OVER",$J1141,$K1141)</f>
        <v>158.46411378864448</v>
      </c>
      <c r="X1141" s="2">
        <f>IF(T1141="OVER",$J1141,$K1141)</f>
        <v>158.46411378864448</v>
      </c>
      <c r="Y1141" s="9">
        <f t="shared" si="149"/>
        <v>-44512.360595177815</v>
      </c>
      <c r="Z1141" s="9">
        <f t="shared" si="149"/>
        <v>-43443.397509217772</v>
      </c>
      <c r="AA1141" s="9">
        <f t="shared" si="149"/>
        <v>61175.468990497058</v>
      </c>
      <c r="AB1141" s="9">
        <f t="shared" si="149"/>
        <v>28257.296451904127</v>
      </c>
    </row>
    <row r="1142" spans="1:28" x14ac:dyDescent="0.3">
      <c r="A1142" s="1">
        <v>46076</v>
      </c>
      <c r="B1142" s="2">
        <v>94.13</v>
      </c>
      <c r="C1142" s="2">
        <v>104.37</v>
      </c>
      <c r="D1142" s="9">
        <f>B1142-B1141</f>
        <v>-0.51000000000000512</v>
      </c>
      <c r="E1142" s="9">
        <f>C1142-C1141</f>
        <v>-0.67999999999999261</v>
      </c>
      <c r="F1142" s="3">
        <f>F$1/B1142</f>
        <v>1062.3605651758207</v>
      </c>
      <c r="G1142" s="3">
        <f>F$1/C1142</f>
        <v>958.12973076554556</v>
      </c>
      <c r="H1142" s="2">
        <f>D1142*F1141</f>
        <v>-538.88419273035197</v>
      </c>
      <c r="I1142" s="2">
        <f>E1142*G1141</f>
        <v>-647.31080437886021</v>
      </c>
      <c r="J1142" s="2">
        <f>I1142-H1142</f>
        <v>-108.42661164850824</v>
      </c>
      <c r="K1142" s="2">
        <f t="shared" si="145"/>
        <v>108.42661164850824</v>
      </c>
      <c r="L1142" s="14">
        <f>C1142/B1142</f>
        <v>1.108785721874004</v>
      </c>
      <c r="M1142" s="14">
        <f t="shared" si="147"/>
        <v>1.1072332353190641</v>
      </c>
      <c r="N1142" s="14">
        <f t="shared" si="151"/>
        <v>1.1078125777418939</v>
      </c>
      <c r="O1142" s="14">
        <f t="shared" si="152"/>
        <v>1.1047681622901444</v>
      </c>
      <c r="P1142" s="14">
        <f t="shared" si="146"/>
        <v>1.0987071969925934</v>
      </c>
      <c r="Q1142" s="4" t="str">
        <f t="shared" si="150"/>
        <v>OVER</v>
      </c>
      <c r="R1142" s="4" t="str">
        <f t="shared" si="150"/>
        <v>OVER</v>
      </c>
      <c r="S1142" s="4" t="str">
        <f t="shared" si="148"/>
        <v>OVER</v>
      </c>
      <c r="T1142" s="4" t="str">
        <f t="shared" si="148"/>
        <v>OVER</v>
      </c>
      <c r="U1142" s="2">
        <f>IF(Q1142="OVER",$J1142,$K1142)</f>
        <v>-108.42661164850824</v>
      </c>
      <c r="V1142" s="2">
        <f>IF(R1142="OVER",$J1142,$K1142)</f>
        <v>-108.42661164850824</v>
      </c>
      <c r="W1142" s="2">
        <f>IF(S1142="OVER",$J1142,$K1142)</f>
        <v>-108.42661164850824</v>
      </c>
      <c r="X1142" s="2">
        <f>IF(T1142="OVER",$J1142,$K1142)</f>
        <v>-108.42661164850824</v>
      </c>
      <c r="Y1142" s="9">
        <f t="shared" si="149"/>
        <v>-44620.787206826324</v>
      </c>
      <c r="Z1142" s="9">
        <f t="shared" si="149"/>
        <v>-43551.82412086628</v>
      </c>
      <c r="AA1142" s="9">
        <f t="shared" si="149"/>
        <v>61067.04237884855</v>
      </c>
      <c r="AB1142" s="9">
        <f t="shared" si="149"/>
        <v>28148.869840255618</v>
      </c>
    </row>
    <row r="1143" spans="1:28" x14ac:dyDescent="0.3">
      <c r="A1143" s="1">
        <v>46077</v>
      </c>
      <c r="B1143" s="2">
        <v>94.91</v>
      </c>
      <c r="C1143" s="2">
        <v>104.9</v>
      </c>
      <c r="D1143" s="9">
        <f>B1143-B1142</f>
        <v>0.78000000000000114</v>
      </c>
      <c r="E1143" s="9">
        <f>C1143-C1142</f>
        <v>0.53000000000000114</v>
      </c>
      <c r="F1143" s="3">
        <f>F$1/B1143</f>
        <v>1053.6297545042673</v>
      </c>
      <c r="G1143" s="3">
        <f>F$1/C1143</f>
        <v>953.28884652049567</v>
      </c>
      <c r="H1143" s="2">
        <f>D1143*F1142</f>
        <v>828.64124083714137</v>
      </c>
      <c r="I1143" s="2">
        <f>E1143*G1142</f>
        <v>507.80875730574024</v>
      </c>
      <c r="J1143" s="2">
        <f>I1143-H1143</f>
        <v>-320.83248353140112</v>
      </c>
      <c r="K1143" s="2">
        <f t="shared" si="145"/>
        <v>320.83248353140112</v>
      </c>
      <c r="L1143" s="14">
        <f>C1143/B1143</f>
        <v>1.1052576124749764</v>
      </c>
      <c r="M1143" s="14">
        <f t="shared" si="147"/>
        <v>1.1070770348742864</v>
      </c>
      <c r="N1143" s="14">
        <f t="shared" si="151"/>
        <v>1.1077712961457924</v>
      </c>
      <c r="O1143" s="14">
        <f t="shared" si="152"/>
        <v>1.1048429915337112</v>
      </c>
      <c r="P1143" s="14">
        <f t="shared" si="146"/>
        <v>1.098781905164985</v>
      </c>
      <c r="Q1143" s="4" t="str">
        <f t="shared" si="150"/>
        <v>OVER</v>
      </c>
      <c r="R1143" s="4" t="str">
        <f t="shared" si="150"/>
        <v>OVER</v>
      </c>
      <c r="S1143" s="4" t="str">
        <f t="shared" si="148"/>
        <v>OVER</v>
      </c>
      <c r="T1143" s="4" t="str">
        <f t="shared" si="148"/>
        <v>OVER</v>
      </c>
      <c r="U1143" s="2">
        <f>IF(Q1143="OVER",$J1143,$K1143)</f>
        <v>-320.83248353140112</v>
      </c>
      <c r="V1143" s="2">
        <f>IF(R1143="OVER",$J1143,$K1143)</f>
        <v>-320.83248353140112</v>
      </c>
      <c r="W1143" s="2">
        <f>IF(S1143="OVER",$J1143,$K1143)</f>
        <v>-320.83248353140112</v>
      </c>
      <c r="X1143" s="2">
        <f>IF(T1143="OVER",$J1143,$K1143)</f>
        <v>-320.83248353140112</v>
      </c>
      <c r="Y1143" s="9">
        <f t="shared" si="149"/>
        <v>-44941.619690357722</v>
      </c>
      <c r="Z1143" s="9">
        <f t="shared" si="149"/>
        <v>-43872.656604397678</v>
      </c>
      <c r="AA1143" s="9">
        <f t="shared" si="149"/>
        <v>60746.209895317152</v>
      </c>
      <c r="AB1143" s="9">
        <f t="shared" si="149"/>
        <v>27828.037356724217</v>
      </c>
    </row>
    <row r="1144" spans="1:28" x14ac:dyDescent="0.3">
      <c r="A1144" s="1">
        <v>46078</v>
      </c>
      <c r="B1144" s="2">
        <v>95.62</v>
      </c>
      <c r="C1144" s="2">
        <v>105.69</v>
      </c>
      <c r="D1144" s="9">
        <f>B1144-B1143</f>
        <v>0.71000000000000796</v>
      </c>
      <c r="E1144" s="9">
        <f>C1144-C1143</f>
        <v>0.78999999999999204</v>
      </c>
      <c r="F1144" s="3">
        <f>F$1/B1144</f>
        <v>1045.8063166701527</v>
      </c>
      <c r="G1144" s="3">
        <f>F$1/C1144</f>
        <v>946.16330778692407</v>
      </c>
      <c r="H1144" s="2">
        <f>D1144*F1143</f>
        <v>748.07712569803823</v>
      </c>
      <c r="I1144" s="2">
        <f>E1144*G1143</f>
        <v>753.09818875118401</v>
      </c>
      <c r="J1144" s="2">
        <f>I1144-H1144</f>
        <v>5.0210630531457809</v>
      </c>
      <c r="K1144" s="2">
        <f t="shared" si="145"/>
        <v>-5.0210630531457809</v>
      </c>
      <c r="L1144" s="14">
        <f>C1144/B1144</f>
        <v>1.1053126960886843</v>
      </c>
      <c r="M1144" s="14">
        <f t="shared" si="147"/>
        <v>1.1069412149388058</v>
      </c>
      <c r="N1144" s="14">
        <f t="shared" si="151"/>
        <v>1.1077213688387526</v>
      </c>
      <c r="O1144" s="14">
        <f t="shared" si="152"/>
        <v>1.1048969535836983</v>
      </c>
      <c r="P1144" s="14">
        <f t="shared" si="146"/>
        <v>1.0988413625483311</v>
      </c>
      <c r="Q1144" s="4" t="str">
        <f t="shared" si="150"/>
        <v>UNDER</v>
      </c>
      <c r="R1144" s="4" t="str">
        <f t="shared" si="150"/>
        <v>UNDER</v>
      </c>
      <c r="S1144" s="4" t="str">
        <f t="shared" si="148"/>
        <v>OVER</v>
      </c>
      <c r="T1144" s="4" t="str">
        <f t="shared" si="148"/>
        <v>OVER</v>
      </c>
      <c r="U1144" s="2">
        <f>IF(Q1144="OVER",$J1144,$K1144)</f>
        <v>-5.0210630531457809</v>
      </c>
      <c r="V1144" s="2">
        <f>IF(R1144="OVER",$J1144,$K1144)</f>
        <v>-5.0210630531457809</v>
      </c>
      <c r="W1144" s="2">
        <f>IF(S1144="OVER",$J1144,$K1144)</f>
        <v>5.0210630531457809</v>
      </c>
      <c r="X1144" s="2">
        <f>IF(T1144="OVER",$J1144,$K1144)</f>
        <v>5.0210630531457809</v>
      </c>
      <c r="Y1144" s="9">
        <f t="shared" si="149"/>
        <v>-44946.640753410866</v>
      </c>
      <c r="Z1144" s="9">
        <f t="shared" si="149"/>
        <v>-43877.677667450822</v>
      </c>
      <c r="AA1144" s="9">
        <f t="shared" si="149"/>
        <v>60751.230958370295</v>
      </c>
      <c r="AB1144" s="9">
        <f t="shared" si="149"/>
        <v>27833.058419777364</v>
      </c>
    </row>
    <row r="1145" spans="1:28" x14ac:dyDescent="0.3">
      <c r="A1145" s="1">
        <v>46079</v>
      </c>
      <c r="B1145" s="2">
        <v>95.07</v>
      </c>
      <c r="C1145" s="2">
        <v>105.39</v>
      </c>
      <c r="D1145" s="9">
        <f>B1145-B1144</f>
        <v>-0.55000000000001137</v>
      </c>
      <c r="E1145" s="9">
        <f>C1145-C1144</f>
        <v>-0.29999999999999716</v>
      </c>
      <c r="F1145" s="3">
        <f>F$1/B1145</f>
        <v>1051.8565267697486</v>
      </c>
      <c r="G1145" s="3">
        <f>F$1/C1145</f>
        <v>948.85662776354491</v>
      </c>
      <c r="H1145" s="2">
        <f>D1145*F1144</f>
        <v>-575.19347416859591</v>
      </c>
      <c r="I1145" s="2">
        <f>E1145*G1144</f>
        <v>-283.8489923360745</v>
      </c>
      <c r="J1145" s="2">
        <f>I1145-H1145</f>
        <v>291.34448183252141</v>
      </c>
      <c r="K1145" s="2">
        <f t="shared" si="145"/>
        <v>-291.34448183252141</v>
      </c>
      <c r="L1145" s="14">
        <f>C1145/B1145</f>
        <v>1.1085515935626382</v>
      </c>
      <c r="M1145" s="14">
        <f t="shared" si="147"/>
        <v>1.1073201838188793</v>
      </c>
      <c r="N1145" s="14">
        <f t="shared" si="151"/>
        <v>1.1078319110155785</v>
      </c>
      <c r="O1145" s="14">
        <f t="shared" si="152"/>
        <v>1.1050139194234867</v>
      </c>
      <c r="P1145" s="14">
        <f t="shared" si="146"/>
        <v>1.0989145982756172</v>
      </c>
      <c r="Q1145" s="4" t="str">
        <f t="shared" si="150"/>
        <v>UNDER</v>
      </c>
      <c r="R1145" s="4" t="str">
        <f t="shared" si="150"/>
        <v>UNDER</v>
      </c>
      <c r="S1145" s="4" t="str">
        <f t="shared" si="148"/>
        <v>OVER</v>
      </c>
      <c r="T1145" s="4" t="str">
        <f t="shared" si="148"/>
        <v>OVER</v>
      </c>
      <c r="U1145" s="2">
        <f>IF(Q1145="OVER",$J1145,$K1145)</f>
        <v>-291.34448183252141</v>
      </c>
      <c r="V1145" s="2">
        <f>IF(R1145="OVER",$J1145,$K1145)</f>
        <v>-291.34448183252141</v>
      </c>
      <c r="W1145" s="2">
        <f>IF(S1145="OVER",$J1145,$K1145)</f>
        <v>291.34448183252141</v>
      </c>
      <c r="X1145" s="2">
        <f>IF(T1145="OVER",$J1145,$K1145)</f>
        <v>291.34448183252141</v>
      </c>
      <c r="Y1145" s="9">
        <f t="shared" si="149"/>
        <v>-45237.985235243388</v>
      </c>
      <c r="Z1145" s="9">
        <f t="shared" si="149"/>
        <v>-44169.022149283344</v>
      </c>
      <c r="AA1145" s="9">
        <f t="shared" si="149"/>
        <v>61042.575440202818</v>
      </c>
      <c r="AB1145" s="9">
        <f t="shared" si="149"/>
        <v>28124.402901609887</v>
      </c>
    </row>
    <row r="1146" spans="1:28" x14ac:dyDescent="0.3">
      <c r="A1146" s="1">
        <v>46080</v>
      </c>
      <c r="B1146" s="2">
        <v>94.38</v>
      </c>
      <c r="C1146" s="2">
        <v>104.78</v>
      </c>
      <c r="D1146" s="9">
        <f>B1146-B1145</f>
        <v>-0.68999999999999773</v>
      </c>
      <c r="E1146" s="9">
        <f>C1146-C1145</f>
        <v>-0.60999999999999943</v>
      </c>
      <c r="F1146" s="3">
        <f>F$1/B1146</f>
        <v>1059.5465140919687</v>
      </c>
      <c r="G1146" s="3">
        <f>F$1/C1146</f>
        <v>954.38060698606603</v>
      </c>
      <c r="H1146" s="2">
        <f>D1146*F1145</f>
        <v>-725.78100347112411</v>
      </c>
      <c r="I1146" s="2">
        <f>E1146*G1145</f>
        <v>-578.80254293576183</v>
      </c>
      <c r="J1146" s="2">
        <f>I1146-H1146</f>
        <v>146.97846053536227</v>
      </c>
      <c r="K1146" s="2">
        <f t="shared" si="145"/>
        <v>-146.97846053536227</v>
      </c>
      <c r="L1146" s="14">
        <f>C1146/B1146</f>
        <v>1.1101928374655647</v>
      </c>
      <c r="M1146" s="14">
        <f t="shared" si="147"/>
        <v>1.1077655137798963</v>
      </c>
      <c r="N1146" s="14">
        <f t="shared" si="151"/>
        <v>1.1079313018869585</v>
      </c>
      <c r="O1146" s="14">
        <f t="shared" si="152"/>
        <v>1.1051338820498726</v>
      </c>
      <c r="P1146" s="14">
        <f t="shared" si="146"/>
        <v>1.0990115286918383</v>
      </c>
      <c r="Q1146" s="4" t="str">
        <f t="shared" si="150"/>
        <v>OVER</v>
      </c>
      <c r="R1146" s="4" t="str">
        <f t="shared" si="150"/>
        <v>OVER</v>
      </c>
      <c r="S1146" s="4" t="str">
        <f t="shared" si="148"/>
        <v>OVER</v>
      </c>
      <c r="T1146" s="4" t="str">
        <f t="shared" si="148"/>
        <v>OVER</v>
      </c>
      <c r="U1146" s="2">
        <f>IF(Q1146="OVER",$J1146,$K1146)</f>
        <v>146.97846053536227</v>
      </c>
      <c r="V1146" s="2">
        <f>IF(R1146="OVER",$J1146,$K1146)</f>
        <v>146.97846053536227</v>
      </c>
      <c r="W1146" s="2">
        <f>IF(S1146="OVER",$J1146,$K1146)</f>
        <v>146.97846053536227</v>
      </c>
      <c r="X1146" s="2">
        <f>IF(T1146="OVER",$J1146,$K1146)</f>
        <v>146.97846053536227</v>
      </c>
      <c r="Y1146" s="9">
        <f t="shared" si="149"/>
        <v>-45091.006774708025</v>
      </c>
      <c r="Z1146" s="9">
        <f t="shared" si="149"/>
        <v>-44022.043688747981</v>
      </c>
      <c r="AA1146" s="9">
        <f t="shared" si="149"/>
        <v>61189.553900738181</v>
      </c>
      <c r="AB1146" s="9">
        <f t="shared" si="149"/>
        <v>28271.38136214525</v>
      </c>
    </row>
    <row r="1147" spans="1:28" x14ac:dyDescent="0.3">
      <c r="A1147" s="1">
        <v>46083</v>
      </c>
      <c r="B1147" s="2">
        <v>94.74</v>
      </c>
      <c r="C1147" s="2">
        <v>105.61</v>
      </c>
      <c r="D1147" s="9">
        <f>B1147-B1146</f>
        <v>0.35999999999999943</v>
      </c>
      <c r="E1147" s="9">
        <f>C1147-C1146</f>
        <v>0.82999999999999829</v>
      </c>
      <c r="F1147" s="3">
        <f>F$1/B1147</f>
        <v>1055.5203715431708</v>
      </c>
      <c r="G1147" s="3">
        <f>F$1/C1147</f>
        <v>946.88003030016102</v>
      </c>
      <c r="H1147" s="2">
        <f>D1147*F1146</f>
        <v>381.43674507310811</v>
      </c>
      <c r="I1147" s="2">
        <f>E1147*G1146</f>
        <v>792.13590379843322</v>
      </c>
      <c r="J1147" s="2">
        <f>I1147-H1147</f>
        <v>410.69915872532511</v>
      </c>
      <c r="K1147" s="2">
        <f t="shared" si="145"/>
        <v>-410.69915872532511</v>
      </c>
      <c r="L1147" s="14">
        <f>C1147/B1147</f>
        <v>1.1147350643867426</v>
      </c>
      <c r="M1147" s="14">
        <f t="shared" si="147"/>
        <v>1.1084253497075136</v>
      </c>
      <c r="N1147" s="14">
        <f t="shared" si="151"/>
        <v>1.1082504962197861</v>
      </c>
      <c r="O1147" s="14">
        <f t="shared" si="152"/>
        <v>1.1053713121416504</v>
      </c>
      <c r="P1147" s="14">
        <f t="shared" si="146"/>
        <v>1.0991364780970534</v>
      </c>
      <c r="Q1147" s="4" t="str">
        <f t="shared" si="150"/>
        <v>OVER</v>
      </c>
      <c r="R1147" s="4" t="str">
        <f t="shared" si="150"/>
        <v>OVER</v>
      </c>
      <c r="S1147" s="4" t="str">
        <f t="shared" si="148"/>
        <v>OVER</v>
      </c>
      <c r="T1147" s="4" t="str">
        <f t="shared" si="148"/>
        <v>OVER</v>
      </c>
      <c r="U1147" s="2">
        <f>IF(Q1147="OVER",$J1147,$K1147)</f>
        <v>410.69915872532511</v>
      </c>
      <c r="V1147" s="2">
        <f>IF(R1147="OVER",$J1147,$K1147)</f>
        <v>410.69915872532511</v>
      </c>
      <c r="W1147" s="2">
        <f>IF(S1147="OVER",$J1147,$K1147)</f>
        <v>410.69915872532511</v>
      </c>
      <c r="X1147" s="2">
        <f>IF(T1147="OVER",$J1147,$K1147)</f>
        <v>410.69915872532511</v>
      </c>
      <c r="Y1147" s="9">
        <f t="shared" si="149"/>
        <v>-44680.307615982703</v>
      </c>
      <c r="Z1147" s="9">
        <f t="shared" si="149"/>
        <v>-43611.344530022659</v>
      </c>
      <c r="AA1147" s="9">
        <f t="shared" si="149"/>
        <v>61600.253059463503</v>
      </c>
      <c r="AB1147" s="9">
        <f t="shared" si="149"/>
        <v>28682.080520870575</v>
      </c>
    </row>
    <row r="1148" spans="1:28" x14ac:dyDescent="0.3">
      <c r="A1148" s="1">
        <v>46084</v>
      </c>
      <c r="B1148" s="2">
        <v>93.08</v>
      </c>
      <c r="C1148" s="2">
        <v>103.31</v>
      </c>
      <c r="D1148" s="9">
        <f>B1148-B1147</f>
        <v>-1.6599999999999966</v>
      </c>
      <c r="E1148" s="9">
        <f>C1148-C1147</f>
        <v>-2.2999999999999972</v>
      </c>
      <c r="F1148" s="3">
        <f>F$1/B1148</f>
        <v>1074.3446497636442</v>
      </c>
      <c r="G1148" s="3">
        <f>F$1/C1148</f>
        <v>967.96050721130575</v>
      </c>
      <c r="H1148" s="2">
        <f>D1148*F1147</f>
        <v>-1752.16381676166</v>
      </c>
      <c r="I1148" s="2">
        <f>E1148*G1147</f>
        <v>-2177.8240696903677</v>
      </c>
      <c r="J1148" s="2">
        <f>I1148-H1148</f>
        <v>-425.66025292870768</v>
      </c>
      <c r="K1148" s="2">
        <f t="shared" si="145"/>
        <v>425.66025292870768</v>
      </c>
      <c r="L1148" s="14">
        <f>C1148/B1148</f>
        <v>1.1099054576708209</v>
      </c>
      <c r="M1148" s="14">
        <f t="shared" si="147"/>
        <v>1.1088334941240998</v>
      </c>
      <c r="N1148" s="14">
        <f t="shared" si="151"/>
        <v>1.1083311453557254</v>
      </c>
      <c r="O1148" s="14">
        <f t="shared" si="152"/>
        <v>1.105498576608418</v>
      </c>
      <c r="P1148" s="14">
        <f t="shared" si="146"/>
        <v>1.0992432582418408</v>
      </c>
      <c r="Q1148" s="4" t="str">
        <f t="shared" si="150"/>
        <v>OVER</v>
      </c>
      <c r="R1148" s="4" t="str">
        <f t="shared" si="150"/>
        <v>OVER</v>
      </c>
      <c r="S1148" s="4" t="str">
        <f t="shared" si="148"/>
        <v>OVER</v>
      </c>
      <c r="T1148" s="4" t="str">
        <f t="shared" si="148"/>
        <v>OVER</v>
      </c>
      <c r="U1148" s="2">
        <f>IF(Q1148="OVER",$J1148,$K1148)</f>
        <v>-425.66025292870768</v>
      </c>
      <c r="V1148" s="2">
        <f>IF(R1148="OVER",$J1148,$K1148)</f>
        <v>-425.66025292870768</v>
      </c>
      <c r="W1148" s="2">
        <f>IF(S1148="OVER",$J1148,$K1148)</f>
        <v>-425.66025292870768</v>
      </c>
      <c r="X1148" s="2">
        <f>IF(T1148="OVER",$J1148,$K1148)</f>
        <v>-425.66025292870768</v>
      </c>
      <c r="Y1148" s="9">
        <f t="shared" si="149"/>
        <v>-45105.967868911408</v>
      </c>
      <c r="Z1148" s="9">
        <f t="shared" si="149"/>
        <v>-44037.004782951364</v>
      </c>
      <c r="AA1148" s="9">
        <f t="shared" si="149"/>
        <v>61174.592806534798</v>
      </c>
      <c r="AB1148" s="9">
        <f t="shared" si="149"/>
        <v>28256.420267941867</v>
      </c>
    </row>
    <row r="1149" spans="1:28" x14ac:dyDescent="0.3">
      <c r="A1149" s="1">
        <v>46085</v>
      </c>
      <c r="B1149" s="2">
        <v>93.99</v>
      </c>
      <c r="C1149" s="2">
        <v>104.42</v>
      </c>
      <c r="D1149" s="9">
        <f>B1149-B1148</f>
        <v>0.90999999999999659</v>
      </c>
      <c r="E1149" s="9">
        <f>C1149-C1148</f>
        <v>1.1099999999999994</v>
      </c>
      <c r="F1149" s="3">
        <f>F$1/B1149</f>
        <v>1063.9429726566657</v>
      </c>
      <c r="G1149" s="3">
        <f>F$1/C1149</f>
        <v>957.67094426355106</v>
      </c>
      <c r="H1149" s="2">
        <f>D1149*F1148</f>
        <v>977.65363128491254</v>
      </c>
      <c r="I1149" s="2">
        <f>E1149*G1148</f>
        <v>1074.4361630045489</v>
      </c>
      <c r="J1149" s="2">
        <f>I1149-H1149</f>
        <v>96.782531719636381</v>
      </c>
      <c r="K1149" s="2">
        <f t="shared" si="145"/>
        <v>-96.782531719636381</v>
      </c>
      <c r="L1149" s="14">
        <f>C1149/B1149</f>
        <v>1.1109692520480903</v>
      </c>
      <c r="M1149" s="14">
        <f t="shared" si="147"/>
        <v>1.1091939321305104</v>
      </c>
      <c r="N1149" s="14">
        <f t="shared" si="151"/>
        <v>1.1083068855287213</v>
      </c>
      <c r="O1149" s="14">
        <f t="shared" si="152"/>
        <v>1.1055924122297924</v>
      </c>
      <c r="P1149" s="14">
        <f t="shared" si="146"/>
        <v>1.0993624843181389</v>
      </c>
      <c r="Q1149" s="4" t="str">
        <f t="shared" si="150"/>
        <v>OVER</v>
      </c>
      <c r="R1149" s="4" t="str">
        <f t="shared" si="150"/>
        <v>OVER</v>
      </c>
      <c r="S1149" s="4" t="str">
        <f t="shared" si="148"/>
        <v>OVER</v>
      </c>
      <c r="T1149" s="4" t="str">
        <f t="shared" si="148"/>
        <v>OVER</v>
      </c>
      <c r="U1149" s="2">
        <f>IF(Q1149="OVER",$J1149,$K1149)</f>
        <v>96.782531719636381</v>
      </c>
      <c r="V1149" s="2">
        <f>IF(R1149="OVER",$J1149,$K1149)</f>
        <v>96.782531719636381</v>
      </c>
      <c r="W1149" s="2">
        <f>IF(S1149="OVER",$J1149,$K1149)</f>
        <v>96.782531719636381</v>
      </c>
      <c r="X1149" s="2">
        <f>IF(T1149="OVER",$J1149,$K1149)</f>
        <v>96.782531719636381</v>
      </c>
      <c r="Y1149" s="9">
        <f t="shared" si="149"/>
        <v>-45009.185337191775</v>
      </c>
      <c r="Z1149" s="9">
        <f t="shared" si="149"/>
        <v>-43940.222251231731</v>
      </c>
      <c r="AA1149" s="9">
        <f t="shared" si="149"/>
        <v>61271.375338254431</v>
      </c>
      <c r="AB1149" s="9">
        <f t="shared" si="149"/>
        <v>28353.202799661503</v>
      </c>
    </row>
    <row r="1150" spans="1:28" x14ac:dyDescent="0.3">
      <c r="A1150" s="1">
        <v>46086</v>
      </c>
      <c r="B1150" s="2">
        <v>93.04</v>
      </c>
      <c r="C1150" s="2">
        <v>103.31</v>
      </c>
      <c r="D1150" s="9">
        <f>B1150-B1149</f>
        <v>-0.94999999999998863</v>
      </c>
      <c r="E1150" s="9">
        <f>C1150-C1149</f>
        <v>-1.1099999999999994</v>
      </c>
      <c r="F1150" s="3">
        <f>F$1/B1150</f>
        <v>1074.8065348237317</v>
      </c>
      <c r="G1150" s="3">
        <f>F$1/C1150</f>
        <v>967.96050721130575</v>
      </c>
      <c r="H1150" s="2">
        <f>D1150*F1149</f>
        <v>-1010.7458240238203</v>
      </c>
      <c r="I1150" s="2">
        <f>E1150*G1149</f>
        <v>-1063.0147481325412</v>
      </c>
      <c r="J1150" s="2">
        <f>I1150-H1150</f>
        <v>-52.268924108720853</v>
      </c>
      <c r="K1150" s="2">
        <f t="shared" si="145"/>
        <v>52.268924108720853</v>
      </c>
      <c r="L1150" s="14">
        <f>C1150/B1150</f>
        <v>1.1103826311263971</v>
      </c>
      <c r="M1150" s="14">
        <f t="shared" si="147"/>
        <v>1.1094088640155231</v>
      </c>
      <c r="N1150" s="14">
        <f t="shared" si="151"/>
        <v>1.1084440539345186</v>
      </c>
      <c r="O1150" s="14">
        <f t="shared" si="152"/>
        <v>1.1057608317812799</v>
      </c>
      <c r="P1150" s="14">
        <f t="shared" si="146"/>
        <v>1.0994766578917254</v>
      </c>
      <c r="Q1150" s="4" t="str">
        <f t="shared" si="150"/>
        <v>OVER</v>
      </c>
      <c r="R1150" s="4" t="str">
        <f t="shared" si="150"/>
        <v>OVER</v>
      </c>
      <c r="S1150" s="4" t="str">
        <f t="shared" si="148"/>
        <v>OVER</v>
      </c>
      <c r="T1150" s="4" t="str">
        <f t="shared" si="148"/>
        <v>OVER</v>
      </c>
      <c r="U1150" s="2">
        <f>IF(Q1150="OVER",$J1150,$K1150)</f>
        <v>-52.268924108720853</v>
      </c>
      <c r="V1150" s="2">
        <f>IF(R1150="OVER",$J1150,$K1150)</f>
        <v>-52.268924108720853</v>
      </c>
      <c r="W1150" s="2">
        <f>IF(S1150="OVER",$J1150,$K1150)</f>
        <v>-52.268924108720853</v>
      </c>
      <c r="X1150" s="2">
        <f>IF(T1150="OVER",$J1150,$K1150)</f>
        <v>-52.268924108720853</v>
      </c>
      <c r="Y1150" s="9">
        <f t="shared" si="149"/>
        <v>-45061.454261300496</v>
      </c>
      <c r="Z1150" s="9">
        <f t="shared" si="149"/>
        <v>-43992.491175340452</v>
      </c>
      <c r="AA1150" s="9">
        <f t="shared" si="149"/>
        <v>61219.10641414571</v>
      </c>
      <c r="AB1150" s="9">
        <f t="shared" si="149"/>
        <v>28300.933875552782</v>
      </c>
    </row>
    <row r="1151" spans="1:28" x14ac:dyDescent="0.3">
      <c r="A1151" s="1">
        <v>46087</v>
      </c>
      <c r="B1151" s="2">
        <v>91.34</v>
      </c>
      <c r="C1151" s="2">
        <v>101.28</v>
      </c>
      <c r="D1151" s="9">
        <f>B1151-B1150</f>
        <v>-1.7000000000000028</v>
      </c>
      <c r="E1151" s="9">
        <f>C1151-C1150</f>
        <v>-2.0300000000000011</v>
      </c>
      <c r="F1151" s="3">
        <f>F$1/B1151</f>
        <v>1094.8105977665864</v>
      </c>
      <c r="G1151" s="3">
        <f>F$1/C1151</f>
        <v>987.36176935229071</v>
      </c>
      <c r="H1151" s="2">
        <f>D1151*F1150</f>
        <v>-1827.171109200347</v>
      </c>
      <c r="I1151" s="2">
        <f>E1151*G1150</f>
        <v>-1964.9598296389518</v>
      </c>
      <c r="J1151" s="2">
        <f>I1151-H1151</f>
        <v>-137.78872043860474</v>
      </c>
      <c r="K1151" s="2">
        <f t="shared" si="145"/>
        <v>137.78872043860474</v>
      </c>
      <c r="L1151" s="14">
        <f>C1151/B1151</f>
        <v>1.1088241734179987</v>
      </c>
      <c r="M1151" s="14">
        <f t="shared" si="147"/>
        <v>1.1092917040115917</v>
      </c>
      <c r="N1151" s="14">
        <f t="shared" si="151"/>
        <v>1.1083899744178227</v>
      </c>
      <c r="O1151" s="14">
        <f t="shared" si="152"/>
        <v>1.1059060995978482</v>
      </c>
      <c r="P1151" s="14">
        <f t="shared" si="146"/>
        <v>1.0995806204996661</v>
      </c>
      <c r="Q1151" s="4" t="str">
        <f t="shared" si="150"/>
        <v>OVER</v>
      </c>
      <c r="R1151" s="4" t="str">
        <f t="shared" si="150"/>
        <v>OVER</v>
      </c>
      <c r="S1151" s="4" t="str">
        <f t="shared" si="148"/>
        <v>OVER</v>
      </c>
      <c r="T1151" s="4" t="str">
        <f t="shared" si="148"/>
        <v>OVER</v>
      </c>
      <c r="U1151" s="2">
        <f>IF(Q1151="OVER",$J1151,$K1151)</f>
        <v>-137.78872043860474</v>
      </c>
      <c r="V1151" s="2">
        <f>IF(R1151="OVER",$J1151,$K1151)</f>
        <v>-137.78872043860474</v>
      </c>
      <c r="W1151" s="2">
        <f>IF(S1151="OVER",$J1151,$K1151)</f>
        <v>-137.78872043860474</v>
      </c>
      <c r="X1151" s="2">
        <f>IF(T1151="OVER",$J1151,$K1151)</f>
        <v>-137.78872043860474</v>
      </c>
      <c r="Y1151" s="9">
        <f t="shared" si="149"/>
        <v>-45199.242981739102</v>
      </c>
      <c r="Z1151" s="9">
        <f t="shared" si="149"/>
        <v>-44130.279895779058</v>
      </c>
      <c r="AA1151" s="9">
        <f t="shared" si="149"/>
        <v>61081.317693707104</v>
      </c>
      <c r="AB1151" s="9">
        <f t="shared" si="149"/>
        <v>28163.145155114176</v>
      </c>
    </row>
    <row r="1152" spans="1:28" x14ac:dyDescent="0.3">
      <c r="A1152" s="1">
        <v>46090</v>
      </c>
      <c r="B1152" s="2">
        <v>92.87</v>
      </c>
      <c r="C1152" s="2">
        <v>103.18</v>
      </c>
      <c r="D1152" s="9">
        <f>B1152-B1151</f>
        <v>1.5300000000000011</v>
      </c>
      <c r="E1152" s="9">
        <f>C1152-C1151</f>
        <v>1.9000000000000057</v>
      </c>
      <c r="F1152" s="3">
        <f>F$1/B1152</f>
        <v>1076.773985140519</v>
      </c>
      <c r="G1152" s="3">
        <f>F$1/C1152</f>
        <v>969.18007365768551</v>
      </c>
      <c r="H1152" s="2">
        <f>D1152*F1151</f>
        <v>1675.0602145828784</v>
      </c>
      <c r="I1152" s="2">
        <f>E1152*G1151</f>
        <v>1875.9873617693579</v>
      </c>
      <c r="J1152" s="2">
        <f>I1152-H1152</f>
        <v>200.92714718647949</v>
      </c>
      <c r="K1152" s="2">
        <f t="shared" si="145"/>
        <v>-200.92714718647949</v>
      </c>
      <c r="L1152" s="14">
        <f>C1152/B1152</f>
        <v>1.1110153978679875</v>
      </c>
      <c r="M1152" s="14">
        <f t="shared" si="147"/>
        <v>1.10951467161099</v>
      </c>
      <c r="N1152" s="14">
        <f t="shared" si="151"/>
        <v>1.1083739534650272</v>
      </c>
      <c r="O1152" s="14">
        <f t="shared" si="152"/>
        <v>1.1060778424337951</v>
      </c>
      <c r="P1152" s="14">
        <f t="shared" si="146"/>
        <v>1.0997045241523686</v>
      </c>
      <c r="Q1152" s="4" t="str">
        <f t="shared" si="150"/>
        <v>UNDER</v>
      </c>
      <c r="R1152" s="4" t="str">
        <f t="shared" si="150"/>
        <v>OVER</v>
      </c>
      <c r="S1152" s="4" t="str">
        <f t="shared" si="148"/>
        <v>OVER</v>
      </c>
      <c r="T1152" s="4" t="str">
        <f t="shared" si="148"/>
        <v>OVER</v>
      </c>
      <c r="U1152" s="2">
        <f>IF(Q1152="OVER",$J1152,$K1152)</f>
        <v>-200.92714718647949</v>
      </c>
      <c r="V1152" s="2">
        <f>IF(R1152="OVER",$J1152,$K1152)</f>
        <v>200.92714718647949</v>
      </c>
      <c r="W1152" s="2">
        <f>IF(S1152="OVER",$J1152,$K1152)</f>
        <v>200.92714718647949</v>
      </c>
      <c r="X1152" s="2">
        <f>IF(T1152="OVER",$J1152,$K1152)</f>
        <v>200.92714718647949</v>
      </c>
      <c r="Y1152" s="9">
        <f t="shared" si="149"/>
        <v>-45400.17012892558</v>
      </c>
      <c r="Z1152" s="9">
        <f t="shared" si="149"/>
        <v>-43929.352748592581</v>
      </c>
      <c r="AA1152" s="9">
        <f t="shared" si="149"/>
        <v>61282.244840893582</v>
      </c>
      <c r="AB1152" s="9">
        <f t="shared" si="149"/>
        <v>28364.072302300658</v>
      </c>
    </row>
    <row r="1153" spans="1:28" x14ac:dyDescent="0.3">
      <c r="A1153" s="1">
        <v>46091</v>
      </c>
      <c r="B1153" s="2">
        <v>93.01</v>
      </c>
      <c r="C1153" s="2">
        <v>103.5</v>
      </c>
      <c r="D1153" s="9">
        <f>B1153-B1152</f>
        <v>0.14000000000000057</v>
      </c>
      <c r="E1153" s="9">
        <f>C1153-C1152</f>
        <v>0.31999999999999318</v>
      </c>
      <c r="F1153" s="3">
        <f>F$1/B1153</f>
        <v>1075.1532093323299</v>
      </c>
      <c r="G1153" s="3">
        <f>F$1/C1153</f>
        <v>966.18357487922708</v>
      </c>
      <c r="H1153" s="2">
        <f>D1153*F1152</f>
        <v>150.74835791967328</v>
      </c>
      <c r="I1153" s="2">
        <f>E1153*G1152</f>
        <v>310.13762357045277</v>
      </c>
      <c r="J1153" s="2">
        <f>I1153-H1153</f>
        <v>159.38926565077949</v>
      </c>
      <c r="K1153" s="2">
        <f t="shared" si="145"/>
        <v>-159.38926565077949</v>
      </c>
      <c r="L1153" s="14">
        <f>C1153/B1153</f>
        <v>1.1127835716589614</v>
      </c>
      <c r="M1153" s="14">
        <f t="shared" si="147"/>
        <v>1.1102672675293885</v>
      </c>
      <c r="N1153" s="14">
        <f t="shared" si="151"/>
        <v>1.1086721512018376</v>
      </c>
      <c r="O1153" s="14">
        <f t="shared" si="152"/>
        <v>1.1063211709090728</v>
      </c>
      <c r="P1153" s="14">
        <f t="shared" si="146"/>
        <v>1.099820915020957</v>
      </c>
      <c r="Q1153" s="4" t="str">
        <f t="shared" si="150"/>
        <v>OVER</v>
      </c>
      <c r="R1153" s="4" t="str">
        <f t="shared" si="150"/>
        <v>OVER</v>
      </c>
      <c r="S1153" s="4" t="str">
        <f t="shared" si="148"/>
        <v>OVER</v>
      </c>
      <c r="T1153" s="4" t="str">
        <f t="shared" si="148"/>
        <v>OVER</v>
      </c>
      <c r="U1153" s="2">
        <f>IF(Q1153="OVER",$J1153,$K1153)</f>
        <v>159.38926565077949</v>
      </c>
      <c r="V1153" s="2">
        <f>IF(R1153="OVER",$J1153,$K1153)</f>
        <v>159.38926565077949</v>
      </c>
      <c r="W1153" s="2">
        <f>IF(S1153="OVER",$J1153,$K1153)</f>
        <v>159.38926565077949</v>
      </c>
      <c r="X1153" s="2">
        <f>IF(T1153="OVER",$J1153,$K1153)</f>
        <v>159.38926565077949</v>
      </c>
      <c r="Y1153" s="9">
        <f t="shared" si="149"/>
        <v>-45240.780863274798</v>
      </c>
      <c r="Z1153" s="9">
        <f t="shared" si="149"/>
        <v>-43769.963482941799</v>
      </c>
      <c r="AA1153" s="9">
        <f t="shared" si="149"/>
        <v>61441.634106544363</v>
      </c>
      <c r="AB1153" s="9">
        <f t="shared" si="149"/>
        <v>28523.461567951435</v>
      </c>
    </row>
    <row r="1154" spans="1:28" x14ac:dyDescent="0.3">
      <c r="A1154" s="1">
        <v>46092</v>
      </c>
      <c r="B1154" s="2">
        <v>93.45</v>
      </c>
      <c r="C1154" s="2">
        <v>104.1</v>
      </c>
      <c r="D1154" s="9">
        <f>B1154-B1153</f>
        <v>0.43999999999999773</v>
      </c>
      <c r="E1154" s="9">
        <f>C1154-C1153</f>
        <v>0.59999999999999432</v>
      </c>
      <c r="F1154" s="3">
        <f>F$1/B1154</f>
        <v>1070.0909577314071</v>
      </c>
      <c r="G1154" s="3">
        <f>F$1/C1154</f>
        <v>960.61479346781948</v>
      </c>
      <c r="H1154" s="2">
        <f>D1154*F1153</f>
        <v>473.06741210622272</v>
      </c>
      <c r="I1154" s="2">
        <f>E1154*G1153</f>
        <v>579.71014492753079</v>
      </c>
      <c r="J1154" s="2">
        <f>I1154-H1154</f>
        <v>106.64273282130807</v>
      </c>
      <c r="K1154" s="2">
        <f t="shared" si="145"/>
        <v>-106.64273282130807</v>
      </c>
      <c r="L1154" s="14">
        <f>C1154/B1154</f>
        <v>1.1139646869983948</v>
      </c>
      <c r="M1154" s="14">
        <f t="shared" si="147"/>
        <v>1.1111324666203595</v>
      </c>
      <c r="N1154" s="14">
        <f t="shared" si="151"/>
        <v>1.109036840779583</v>
      </c>
      <c r="O1154" s="14">
        <f t="shared" si="152"/>
        <v>1.1065588809286246</v>
      </c>
      <c r="P1154" s="14">
        <f t="shared" si="146"/>
        <v>1.0999446907771535</v>
      </c>
      <c r="Q1154" s="4" t="str">
        <f t="shared" si="150"/>
        <v>OVER</v>
      </c>
      <c r="R1154" s="4" t="str">
        <f t="shared" si="150"/>
        <v>OVER</v>
      </c>
      <c r="S1154" s="4" t="str">
        <f t="shared" si="148"/>
        <v>OVER</v>
      </c>
      <c r="T1154" s="4" t="str">
        <f t="shared" si="148"/>
        <v>OVER</v>
      </c>
      <c r="U1154" s="2">
        <f>IF(Q1154="OVER",$J1154,$K1154)</f>
        <v>106.64273282130807</v>
      </c>
      <c r="V1154" s="2">
        <f>IF(R1154="OVER",$J1154,$K1154)</f>
        <v>106.64273282130807</v>
      </c>
      <c r="W1154" s="2">
        <f>IF(S1154="OVER",$J1154,$K1154)</f>
        <v>106.64273282130807</v>
      </c>
      <c r="X1154" s="2">
        <f>IF(T1154="OVER",$J1154,$K1154)</f>
        <v>106.64273282130807</v>
      </c>
      <c r="Y1154" s="9">
        <f t="shared" si="149"/>
        <v>-45134.138130453488</v>
      </c>
      <c r="Z1154" s="9">
        <f t="shared" si="149"/>
        <v>-43663.320750120489</v>
      </c>
      <c r="AA1154" s="9">
        <f t="shared" si="149"/>
        <v>61548.276839365673</v>
      </c>
      <c r="AB1154" s="9">
        <f t="shared" si="149"/>
        <v>28630.104300772742</v>
      </c>
    </row>
    <row r="1155" spans="1:28" x14ac:dyDescent="0.3">
      <c r="A1155" s="1">
        <v>46093</v>
      </c>
      <c r="B1155" s="2">
        <v>92.03</v>
      </c>
      <c r="C1155" s="2">
        <v>102.03</v>
      </c>
      <c r="D1155" s="9">
        <f>B1155-B1154</f>
        <v>-1.4200000000000017</v>
      </c>
      <c r="E1155" s="9">
        <f>C1155-C1154</f>
        <v>-2.0699999999999932</v>
      </c>
      <c r="F1155" s="3">
        <f>F$1/B1155</f>
        <v>1086.6021949364338</v>
      </c>
      <c r="G1155" s="3">
        <f>F$1/C1155</f>
        <v>980.10389101244732</v>
      </c>
      <c r="H1155" s="2">
        <f>D1155*F1154</f>
        <v>-1519.5291599785999</v>
      </c>
      <c r="I1155" s="2">
        <f>E1155*G1154</f>
        <v>-1988.4726224783797</v>
      </c>
      <c r="J1155" s="2">
        <f>I1155-H1155</f>
        <v>-468.9434624997798</v>
      </c>
      <c r="K1155" s="2">
        <f t="shared" si="145"/>
        <v>468.9434624997798</v>
      </c>
      <c r="L1155" s="14">
        <f>C1155/B1155</f>
        <v>1.1086602194936435</v>
      </c>
      <c r="M1155" s="14">
        <f t="shared" si="147"/>
        <v>1.11114332921346</v>
      </c>
      <c r="N1155" s="14">
        <f t="shared" si="151"/>
        <v>1.1092317565161698</v>
      </c>
      <c r="O1155" s="14">
        <f t="shared" si="152"/>
        <v>1.1066871864520826</v>
      </c>
      <c r="P1155" s="14">
        <f t="shared" si="146"/>
        <v>1.1000452083047185</v>
      </c>
      <c r="Q1155" s="4" t="str">
        <f t="shared" si="150"/>
        <v>OVER</v>
      </c>
      <c r="R1155" s="4" t="str">
        <f t="shared" si="150"/>
        <v>OVER</v>
      </c>
      <c r="S1155" s="4" t="str">
        <f t="shared" si="148"/>
        <v>OVER</v>
      </c>
      <c r="T1155" s="4" t="str">
        <f t="shared" si="148"/>
        <v>OVER</v>
      </c>
      <c r="U1155" s="2">
        <f>IF(Q1155="OVER",$J1155,$K1155)</f>
        <v>-468.9434624997798</v>
      </c>
      <c r="V1155" s="2">
        <f>IF(R1155="OVER",$J1155,$K1155)</f>
        <v>-468.9434624997798</v>
      </c>
      <c r="W1155" s="2">
        <f>IF(S1155="OVER",$J1155,$K1155)</f>
        <v>-468.9434624997798</v>
      </c>
      <c r="X1155" s="2">
        <f>IF(T1155="OVER",$J1155,$K1155)</f>
        <v>-468.9434624997798</v>
      </c>
      <c r="Y1155" s="9">
        <f t="shared" si="149"/>
        <v>-45603.081592953269</v>
      </c>
      <c r="Z1155" s="9">
        <f t="shared" si="149"/>
        <v>-44132.26421262027</v>
      </c>
      <c r="AA1155" s="9">
        <f t="shared" si="149"/>
        <v>61079.333376865892</v>
      </c>
      <c r="AB1155" s="9">
        <f t="shared" si="149"/>
        <v>28161.160838272961</v>
      </c>
    </row>
    <row r="1156" spans="1:28" x14ac:dyDescent="0.3">
      <c r="A1156" s="1">
        <v>46094</v>
      </c>
      <c r="B1156" s="2">
        <v>92.05</v>
      </c>
      <c r="C1156" s="2">
        <v>102.4</v>
      </c>
      <c r="D1156" s="9">
        <f>B1156-B1155</f>
        <v>1.9999999999996021E-2</v>
      </c>
      <c r="E1156" s="9">
        <f>C1156-C1155</f>
        <v>0.37000000000000455</v>
      </c>
      <c r="F1156" s="3">
        <f>F$1/B1156</f>
        <v>1086.3661053775122</v>
      </c>
      <c r="G1156" s="3">
        <f>F$1/C1156</f>
        <v>976.5625</v>
      </c>
      <c r="H1156" s="2">
        <f>D1156*F1155</f>
        <v>21.732043898724353</v>
      </c>
      <c r="I1156" s="2">
        <f>E1156*G1155</f>
        <v>362.63843967460997</v>
      </c>
      <c r="J1156" s="2">
        <f>I1156-H1156</f>
        <v>340.90639577588564</v>
      </c>
      <c r="K1156" s="2">
        <f t="shared" si="145"/>
        <v>-340.90639577588564</v>
      </c>
      <c r="L1156" s="14">
        <f>C1156/B1156</f>
        <v>1.1124388919065726</v>
      </c>
      <c r="M1156" s="14">
        <f t="shared" si="147"/>
        <v>1.1113679346575609</v>
      </c>
      <c r="N1156" s="14">
        <f t="shared" si="151"/>
        <v>1.1095667242187286</v>
      </c>
      <c r="O1156" s="14">
        <f t="shared" si="152"/>
        <v>1.106878846931892</v>
      </c>
      <c r="P1156" s="14">
        <f t="shared" si="146"/>
        <v>1.1001598372211803</v>
      </c>
      <c r="Q1156" s="4" t="str">
        <f t="shared" si="150"/>
        <v>UNDER</v>
      </c>
      <c r="R1156" s="4" t="str">
        <f t="shared" si="150"/>
        <v>UNDER</v>
      </c>
      <c r="S1156" s="4" t="str">
        <f t="shared" si="148"/>
        <v>OVER</v>
      </c>
      <c r="T1156" s="4" t="str">
        <f t="shared" si="148"/>
        <v>OVER</v>
      </c>
      <c r="U1156" s="2">
        <f>IF(Q1156="OVER",$J1156,$K1156)</f>
        <v>-340.90639577588564</v>
      </c>
      <c r="V1156" s="2">
        <f>IF(R1156="OVER",$J1156,$K1156)</f>
        <v>-340.90639577588564</v>
      </c>
      <c r="W1156" s="2">
        <f>IF(S1156="OVER",$J1156,$K1156)</f>
        <v>340.90639577588564</v>
      </c>
      <c r="X1156" s="2">
        <f>IF(T1156="OVER",$J1156,$K1156)</f>
        <v>340.90639577588564</v>
      </c>
      <c r="Y1156" s="9">
        <f t="shared" si="149"/>
        <v>-45943.987988729154</v>
      </c>
      <c r="Z1156" s="9">
        <f t="shared" si="149"/>
        <v>-44473.170608396154</v>
      </c>
      <c r="AA1156" s="9">
        <f t="shared" si="149"/>
        <v>61420.239772641777</v>
      </c>
      <c r="AB1156" s="9">
        <f t="shared" si="149"/>
        <v>28502.067234048845</v>
      </c>
    </row>
    <row r="1157" spans="1:28" x14ac:dyDescent="0.3">
      <c r="A1157" s="1">
        <v>46097</v>
      </c>
      <c r="B1157" s="2">
        <v>93.22</v>
      </c>
      <c r="C1157" s="2">
        <v>103.76</v>
      </c>
      <c r="D1157" s="9">
        <f>B1157-B1156</f>
        <v>1.1700000000000017</v>
      </c>
      <c r="E1157" s="9">
        <f>C1157-C1156</f>
        <v>1.3599999999999994</v>
      </c>
      <c r="F1157" s="3">
        <f>F$1/B1157</f>
        <v>1072.7311735679039</v>
      </c>
      <c r="G1157" s="3">
        <f>F$1/C1157</f>
        <v>963.76252891287584</v>
      </c>
      <c r="H1157" s="2">
        <f>D1157*F1156</f>
        <v>1271.0483432916913</v>
      </c>
      <c r="I1157" s="2">
        <f>E1157*G1156</f>
        <v>1328.1249999999995</v>
      </c>
      <c r="J1157" s="2">
        <f>I1157-H1157</f>
        <v>57.076656708308292</v>
      </c>
      <c r="K1157" s="2">
        <f t="shared" ref="K1157:K1220" si="153">H1157-I1157</f>
        <v>-57.076656708308292</v>
      </c>
      <c r="L1157" s="14">
        <f>C1157/B1157</f>
        <v>1.1130658656940571</v>
      </c>
      <c r="M1157" s="14">
        <f t="shared" si="147"/>
        <v>1.1112010147882923</v>
      </c>
      <c r="N1157" s="14">
        <f t="shared" si="151"/>
        <v>1.1098131822479032</v>
      </c>
      <c r="O1157" s="14">
        <f t="shared" si="152"/>
        <v>1.1070549624520509</v>
      </c>
      <c r="P1157" s="14">
        <f t="shared" si="146"/>
        <v>1.1002810422700215</v>
      </c>
      <c r="Q1157" s="4" t="str">
        <f t="shared" si="150"/>
        <v>OVER</v>
      </c>
      <c r="R1157" s="4" t="str">
        <f t="shared" si="150"/>
        <v>OVER</v>
      </c>
      <c r="S1157" s="4" t="str">
        <f t="shared" si="148"/>
        <v>OVER</v>
      </c>
      <c r="T1157" s="4" t="str">
        <f t="shared" si="148"/>
        <v>OVER</v>
      </c>
      <c r="U1157" s="2">
        <f>IF(Q1157="OVER",$J1157,$K1157)</f>
        <v>57.076656708308292</v>
      </c>
      <c r="V1157" s="2">
        <f>IF(R1157="OVER",$J1157,$K1157)</f>
        <v>57.076656708308292</v>
      </c>
      <c r="W1157" s="2">
        <f>IF(S1157="OVER",$J1157,$K1157)</f>
        <v>57.076656708308292</v>
      </c>
      <c r="X1157" s="2">
        <f>IF(T1157="OVER",$J1157,$K1157)</f>
        <v>57.076656708308292</v>
      </c>
      <c r="Y1157" s="9">
        <f t="shared" si="149"/>
        <v>-45886.911332020842</v>
      </c>
      <c r="Z1157" s="9">
        <f t="shared" si="149"/>
        <v>-44416.093951687842</v>
      </c>
      <c r="AA1157" s="9">
        <f t="shared" si="149"/>
        <v>61477.316429350089</v>
      </c>
      <c r="AB1157" s="9">
        <f t="shared" si="149"/>
        <v>28559.143890757154</v>
      </c>
    </row>
    <row r="1158" spans="1:28" x14ac:dyDescent="0.3">
      <c r="A1158" s="1">
        <v>46098</v>
      </c>
      <c r="B1158" s="2">
        <v>93.91</v>
      </c>
      <c r="C1158" s="2">
        <v>104.42</v>
      </c>
      <c r="D1158" s="9">
        <f>B1158-B1157</f>
        <v>0.68999999999999773</v>
      </c>
      <c r="E1158" s="9">
        <f>C1158-C1157</f>
        <v>0.65999999999999659</v>
      </c>
      <c r="F1158" s="3">
        <f>F$1/B1158</f>
        <v>1064.8493238206795</v>
      </c>
      <c r="G1158" s="3">
        <f>F$1/C1158</f>
        <v>957.67094426355106</v>
      </c>
      <c r="H1158" s="2">
        <f>D1158*F1157</f>
        <v>740.18450976185125</v>
      </c>
      <c r="I1158" s="2">
        <f>E1158*G1157</f>
        <v>636.08326908249478</v>
      </c>
      <c r="J1158" s="2">
        <f>I1158-H1158</f>
        <v>-104.10124067935647</v>
      </c>
      <c r="K1158" s="2">
        <f t="shared" si="153"/>
        <v>104.10124067935647</v>
      </c>
      <c r="L1158" s="14">
        <f>C1158/B1158</f>
        <v>1.1119156639335535</v>
      </c>
      <c r="M1158" s="14">
        <f t="shared" si="147"/>
        <v>1.1114020354145657</v>
      </c>
      <c r="N1158" s="14">
        <f t="shared" si="151"/>
        <v>1.1101177647693325</v>
      </c>
      <c r="O1158" s="14">
        <f t="shared" si="152"/>
        <v>1.1071994049411031</v>
      </c>
      <c r="P1158" s="14">
        <f t="shared" si="146"/>
        <v>1.1003922885104318</v>
      </c>
      <c r="Q1158" s="4" t="str">
        <f t="shared" si="150"/>
        <v>OVER</v>
      </c>
      <c r="R1158" s="4" t="str">
        <f t="shared" si="150"/>
        <v>OVER</v>
      </c>
      <c r="S1158" s="4" t="str">
        <f t="shared" si="148"/>
        <v>OVER</v>
      </c>
      <c r="T1158" s="4" t="str">
        <f t="shared" si="148"/>
        <v>OVER</v>
      </c>
      <c r="U1158" s="2">
        <f>IF(Q1158="OVER",$J1158,$K1158)</f>
        <v>-104.10124067935647</v>
      </c>
      <c r="V1158" s="2">
        <f>IF(R1158="OVER",$J1158,$K1158)</f>
        <v>-104.10124067935647</v>
      </c>
      <c r="W1158" s="2">
        <f>IF(S1158="OVER",$J1158,$K1158)</f>
        <v>-104.10124067935647</v>
      </c>
      <c r="X1158" s="2">
        <f>IF(T1158="OVER",$J1158,$K1158)</f>
        <v>-104.10124067935647</v>
      </c>
      <c r="Y1158" s="9">
        <f t="shared" si="149"/>
        <v>-45991.012572700201</v>
      </c>
      <c r="Z1158" s="9">
        <f t="shared" si="149"/>
        <v>-44520.195192367202</v>
      </c>
      <c r="AA1158" s="9">
        <f t="shared" si="149"/>
        <v>61373.215188670729</v>
      </c>
      <c r="AB1158" s="9">
        <f t="shared" si="149"/>
        <v>28455.042650077798</v>
      </c>
    </row>
    <row r="1159" spans="1:28" x14ac:dyDescent="0.3">
      <c r="A1159" s="1">
        <v>46099</v>
      </c>
      <c r="B1159" s="2">
        <v>93.63</v>
      </c>
      <c r="C1159" s="2">
        <v>104.23</v>
      </c>
      <c r="D1159" s="9">
        <f>B1159-B1158</f>
        <v>-0.28000000000000114</v>
      </c>
      <c r="E1159" s="9">
        <f>C1159-C1158</f>
        <v>-0.18999999999999773</v>
      </c>
      <c r="F1159" s="3">
        <f>F$1/B1159</f>
        <v>1068.0337498664958</v>
      </c>
      <c r="G1159" s="3">
        <f>F$1/C1159</f>
        <v>959.41667466180559</v>
      </c>
      <c r="H1159" s="2">
        <f>D1159*F1158</f>
        <v>-298.15781066979144</v>
      </c>
      <c r="I1159" s="2">
        <f>E1159*G1158</f>
        <v>-181.95747941007252</v>
      </c>
      <c r="J1159" s="2">
        <f>I1159-H1159</f>
        <v>116.20033125971892</v>
      </c>
      <c r="K1159" s="2">
        <f t="shared" si="153"/>
        <v>-116.20033125971892</v>
      </c>
      <c r="L1159" s="14">
        <f>C1159/B1159</f>
        <v>1.1132115774858486</v>
      </c>
      <c r="M1159" s="14">
        <f t="shared" si="147"/>
        <v>1.1116262679583415</v>
      </c>
      <c r="N1159" s="14">
        <f t="shared" si="151"/>
        <v>1.110410100044426</v>
      </c>
      <c r="O1159" s="14">
        <f t="shared" si="152"/>
        <v>1.1074096651153147</v>
      </c>
      <c r="P1159" s="14">
        <f t="shared" si="146"/>
        <v>1.1005026613032138</v>
      </c>
      <c r="Q1159" s="4" t="str">
        <f t="shared" si="150"/>
        <v>OVER</v>
      </c>
      <c r="R1159" s="4" t="str">
        <f t="shared" si="150"/>
        <v>OVER</v>
      </c>
      <c r="S1159" s="4" t="str">
        <f t="shared" si="148"/>
        <v>OVER</v>
      </c>
      <c r="T1159" s="4" t="str">
        <f t="shared" si="148"/>
        <v>OVER</v>
      </c>
      <c r="U1159" s="2">
        <f>IF(Q1159="OVER",$J1159,$K1159)</f>
        <v>116.20033125971892</v>
      </c>
      <c r="V1159" s="2">
        <f>IF(R1159="OVER",$J1159,$K1159)</f>
        <v>116.20033125971892</v>
      </c>
      <c r="W1159" s="2">
        <f>IF(S1159="OVER",$J1159,$K1159)</f>
        <v>116.20033125971892</v>
      </c>
      <c r="X1159" s="2">
        <f>IF(T1159="OVER",$J1159,$K1159)</f>
        <v>116.20033125971892</v>
      </c>
      <c r="Y1159" s="9">
        <f t="shared" si="149"/>
        <v>-45874.812241440486</v>
      </c>
      <c r="Z1159" s="9">
        <f t="shared" si="149"/>
        <v>-44403.994861107487</v>
      </c>
      <c r="AA1159" s="9">
        <f t="shared" si="149"/>
        <v>61489.415519930444</v>
      </c>
      <c r="AB1159" s="9">
        <f t="shared" si="149"/>
        <v>28571.242981337517</v>
      </c>
    </row>
    <row r="1160" spans="1:28" x14ac:dyDescent="0.3">
      <c r="A1160" s="1">
        <v>46100</v>
      </c>
      <c r="B1160" s="2">
        <v>94.11</v>
      </c>
      <c r="C1160" s="2">
        <v>104.79</v>
      </c>
      <c r="D1160" s="9">
        <f>B1160-B1159</f>
        <v>0.48000000000000398</v>
      </c>
      <c r="E1160" s="9">
        <f>C1160-C1159</f>
        <v>0.56000000000000227</v>
      </c>
      <c r="F1160" s="3">
        <f>F$1/B1160</f>
        <v>1062.5863351397302</v>
      </c>
      <c r="G1160" s="3">
        <f>F$1/C1160</f>
        <v>954.28953144384002</v>
      </c>
      <c r="H1160" s="2">
        <f>D1160*F1159</f>
        <v>512.65619993592225</v>
      </c>
      <c r="I1160" s="2">
        <f>E1160*G1159</f>
        <v>537.27333781061327</v>
      </c>
      <c r="J1160" s="2">
        <f>I1160-H1160</f>
        <v>24.617137874691025</v>
      </c>
      <c r="K1160" s="2">
        <f t="shared" si="153"/>
        <v>-24.617137874691025</v>
      </c>
      <c r="L1160" s="14">
        <f>C1160/B1160</f>
        <v>1.1134842205929232</v>
      </c>
      <c r="M1160" s="14">
        <f t="shared" si="147"/>
        <v>1.1119364269049941</v>
      </c>
      <c r="N1160" s="14">
        <f t="shared" si="151"/>
        <v>1.1106726454602587</v>
      </c>
      <c r="O1160" s="14">
        <f t="shared" si="152"/>
        <v>1.1076316636926711</v>
      </c>
      <c r="P1160" s="14">
        <f t="shared" si="146"/>
        <v>1.1006086982537213</v>
      </c>
      <c r="Q1160" s="4" t="str">
        <f t="shared" si="150"/>
        <v>OVER</v>
      </c>
      <c r="R1160" s="4" t="str">
        <f t="shared" si="150"/>
        <v>OVER</v>
      </c>
      <c r="S1160" s="4" t="str">
        <f t="shared" si="148"/>
        <v>OVER</v>
      </c>
      <c r="T1160" s="4" t="str">
        <f t="shared" si="148"/>
        <v>OVER</v>
      </c>
      <c r="U1160" s="2">
        <f>IF(Q1160="OVER",$J1160,$K1160)</f>
        <v>24.617137874691025</v>
      </c>
      <c r="V1160" s="2">
        <f>IF(R1160="OVER",$J1160,$K1160)</f>
        <v>24.617137874691025</v>
      </c>
      <c r="W1160" s="2">
        <f>IF(S1160="OVER",$J1160,$K1160)</f>
        <v>24.617137874691025</v>
      </c>
      <c r="X1160" s="2">
        <f>IF(T1160="OVER",$J1160,$K1160)</f>
        <v>24.617137874691025</v>
      </c>
      <c r="Y1160" s="9">
        <f t="shared" si="149"/>
        <v>-45850.195103565798</v>
      </c>
      <c r="Z1160" s="9">
        <f t="shared" si="149"/>
        <v>-44379.377723232799</v>
      </c>
      <c r="AA1160" s="9">
        <f t="shared" si="149"/>
        <v>61514.032657805132</v>
      </c>
      <c r="AB1160" s="9">
        <f t="shared" si="149"/>
        <v>28595.860119212208</v>
      </c>
    </row>
    <row r="1161" spans="1:28" x14ac:dyDescent="0.3">
      <c r="A1161" s="1">
        <v>46101</v>
      </c>
      <c r="B1161" s="2">
        <v>91.98</v>
      </c>
      <c r="C1161" s="2">
        <v>102.46</v>
      </c>
      <c r="D1161" s="9">
        <f>B1161-B1160</f>
        <v>-2.1299999999999955</v>
      </c>
      <c r="E1161" s="9">
        <f>C1161-C1160</f>
        <v>-2.3300000000000125</v>
      </c>
      <c r="F1161" s="3">
        <f>F$1/B1161</f>
        <v>1087.1928680147857</v>
      </c>
      <c r="G1161" s="3">
        <f>F$1/C1161</f>
        <v>975.99063048994731</v>
      </c>
      <c r="H1161" s="2">
        <f>D1161*F1160</f>
        <v>-2263.3088938476203</v>
      </c>
      <c r="I1161" s="2">
        <f>E1161*G1160</f>
        <v>-2223.4946082641591</v>
      </c>
      <c r="J1161" s="2">
        <f>I1161-H1161</f>
        <v>39.814285583461242</v>
      </c>
      <c r="K1161" s="2">
        <f t="shared" si="153"/>
        <v>-39.814285583461242</v>
      </c>
      <c r="L1161" s="14">
        <f>C1161/B1161</f>
        <v>1.1139378125679495</v>
      </c>
      <c r="M1161" s="14">
        <f t="shared" si="147"/>
        <v>1.112447790819989</v>
      </c>
      <c r="N1161" s="14">
        <f t="shared" si="151"/>
        <v>1.1108697474157907</v>
      </c>
      <c r="O1161" s="14">
        <f t="shared" si="152"/>
        <v>1.1078431018115653</v>
      </c>
      <c r="P1161" s="14">
        <f t="shared" si="146"/>
        <v>1.1007227667513921</v>
      </c>
      <c r="Q1161" s="4" t="str">
        <f t="shared" si="150"/>
        <v>OVER</v>
      </c>
      <c r="R1161" s="4" t="str">
        <f t="shared" si="150"/>
        <v>OVER</v>
      </c>
      <c r="S1161" s="4" t="str">
        <f t="shared" si="148"/>
        <v>OVER</v>
      </c>
      <c r="T1161" s="4" t="str">
        <f t="shared" si="148"/>
        <v>OVER</v>
      </c>
      <c r="U1161" s="2">
        <f>IF(Q1161="OVER",$J1161,$K1161)</f>
        <v>39.814285583461242</v>
      </c>
      <c r="V1161" s="2">
        <f>IF(R1161="OVER",$J1161,$K1161)</f>
        <v>39.814285583461242</v>
      </c>
      <c r="W1161" s="2">
        <f>IF(S1161="OVER",$J1161,$K1161)</f>
        <v>39.814285583461242</v>
      </c>
      <c r="X1161" s="2">
        <f>IF(T1161="OVER",$J1161,$K1161)</f>
        <v>39.814285583461242</v>
      </c>
      <c r="Y1161" s="9">
        <f t="shared" si="149"/>
        <v>-45810.380817982339</v>
      </c>
      <c r="Z1161" s="9">
        <f t="shared" si="149"/>
        <v>-44339.56343764934</v>
      </c>
      <c r="AA1161" s="9">
        <f t="shared" si="149"/>
        <v>61553.846943388591</v>
      </c>
      <c r="AB1161" s="9">
        <f t="shared" si="149"/>
        <v>28635.674404795667</v>
      </c>
    </row>
    <row r="1162" spans="1:28" x14ac:dyDescent="0.3">
      <c r="A1162" s="1">
        <v>46104</v>
      </c>
      <c r="B1162" s="2">
        <v>92.72</v>
      </c>
      <c r="C1162" s="2">
        <v>103.16</v>
      </c>
      <c r="D1162" s="9">
        <f>B1162-B1161</f>
        <v>0.73999999999999488</v>
      </c>
      <c r="E1162" s="9">
        <f>C1162-C1161</f>
        <v>0.70000000000000284</v>
      </c>
      <c r="F1162" s="3">
        <f>F$1/B1162</f>
        <v>1078.5159620362381</v>
      </c>
      <c r="G1162" s="3">
        <f>F$1/C1162</f>
        <v>969.36797208220241</v>
      </c>
      <c r="H1162" s="2">
        <f>D1162*F1161</f>
        <v>804.52272233093584</v>
      </c>
      <c r="I1162" s="2">
        <f>E1162*G1161</f>
        <v>683.19344134296591</v>
      </c>
      <c r="J1162" s="2">
        <f>I1162-H1162</f>
        <v>-121.32928098796992</v>
      </c>
      <c r="K1162" s="2">
        <f t="shared" si="153"/>
        <v>121.32928098796992</v>
      </c>
      <c r="L1162" s="14">
        <f>C1162/B1162</f>
        <v>1.1125970664365832</v>
      </c>
      <c r="M1162" s="14">
        <f t="shared" si="147"/>
        <v>1.1126059576768488</v>
      </c>
      <c r="N1162" s="14">
        <f t="shared" si="151"/>
        <v>1.1110603146439195</v>
      </c>
      <c r="O1162" s="14">
        <f t="shared" si="152"/>
        <v>1.1080543157091745</v>
      </c>
      <c r="P1162" s="14">
        <f t="shared" si="146"/>
        <v>1.1008209388776671</v>
      </c>
      <c r="Q1162" s="4" t="str">
        <f t="shared" si="150"/>
        <v>OVER</v>
      </c>
      <c r="R1162" s="4" t="str">
        <f t="shared" si="150"/>
        <v>OVER</v>
      </c>
      <c r="S1162" s="4" t="str">
        <f t="shared" si="148"/>
        <v>OVER</v>
      </c>
      <c r="T1162" s="4" t="str">
        <f t="shared" si="148"/>
        <v>OVER</v>
      </c>
      <c r="U1162" s="2">
        <f>IF(Q1162="OVER",$J1162,$K1162)</f>
        <v>-121.32928098796992</v>
      </c>
      <c r="V1162" s="2">
        <f>IF(R1162="OVER",$J1162,$K1162)</f>
        <v>-121.32928098796992</v>
      </c>
      <c r="W1162" s="2">
        <f>IF(S1162="OVER",$J1162,$K1162)</f>
        <v>-121.32928098796992</v>
      </c>
      <c r="X1162" s="2">
        <f>IF(T1162="OVER",$J1162,$K1162)</f>
        <v>-121.32928098796992</v>
      </c>
      <c r="Y1162" s="9">
        <f t="shared" si="149"/>
        <v>-45931.71009897031</v>
      </c>
      <c r="Z1162" s="9">
        <f t="shared" si="149"/>
        <v>-44460.892718637311</v>
      </c>
      <c r="AA1162" s="9">
        <f t="shared" si="149"/>
        <v>61432.51766240062</v>
      </c>
      <c r="AB1162" s="9">
        <f t="shared" si="149"/>
        <v>28514.345123807696</v>
      </c>
    </row>
    <row r="1163" spans="1:28" x14ac:dyDescent="0.3">
      <c r="A1163" s="1">
        <v>46105</v>
      </c>
      <c r="B1163" s="2">
        <v>92.97</v>
      </c>
      <c r="C1163" s="2">
        <v>103.66</v>
      </c>
      <c r="D1163" s="9">
        <f>B1163-B1162</f>
        <v>0.25</v>
      </c>
      <c r="E1163" s="9">
        <f>C1163-C1162</f>
        <v>0.5</v>
      </c>
      <c r="F1163" s="3">
        <f>F$1/B1163</f>
        <v>1075.6157900397977</v>
      </c>
      <c r="G1163" s="3">
        <f>F$1/C1163</f>
        <v>964.69226316804941</v>
      </c>
      <c r="H1163" s="2">
        <f>D1163*F1162</f>
        <v>269.62899050905952</v>
      </c>
      <c r="I1163" s="2">
        <f>E1163*G1162</f>
        <v>484.68398604110121</v>
      </c>
      <c r="J1163" s="2">
        <f>I1163-H1163</f>
        <v>215.05499553204169</v>
      </c>
      <c r="K1163" s="2">
        <f t="shared" si="153"/>
        <v>-215.05499553204169</v>
      </c>
      <c r="L1163" s="14">
        <f>C1163/B1163</f>
        <v>1.1149833279552543</v>
      </c>
      <c r="M1163" s="14">
        <f t="shared" si="147"/>
        <v>1.1128259333064781</v>
      </c>
      <c r="N1163" s="14">
        <f t="shared" si="151"/>
        <v>1.1115466004179333</v>
      </c>
      <c r="O1163" s="14">
        <f t="shared" si="152"/>
        <v>1.1083279801014321</v>
      </c>
      <c r="P1163" s="14">
        <f t="shared" ref="P1163:P1226" si="154">AVERAGE(L964:L1163)</f>
        <v>1.1009362281882511</v>
      </c>
      <c r="Q1163" s="4" t="str">
        <f t="shared" si="150"/>
        <v>UNDER</v>
      </c>
      <c r="R1163" s="4" t="str">
        <f t="shared" si="150"/>
        <v>OVER</v>
      </c>
      <c r="S1163" s="4" t="str">
        <f t="shared" si="148"/>
        <v>OVER</v>
      </c>
      <c r="T1163" s="4" t="str">
        <f t="shared" si="148"/>
        <v>OVER</v>
      </c>
      <c r="U1163" s="2">
        <f>IF(Q1163="OVER",$J1163,$K1163)</f>
        <v>-215.05499553204169</v>
      </c>
      <c r="V1163" s="2">
        <f>IF(R1163="OVER",$J1163,$K1163)</f>
        <v>215.05499553204169</v>
      </c>
      <c r="W1163" s="2">
        <f>IF(S1163="OVER",$J1163,$K1163)</f>
        <v>215.05499553204169</v>
      </c>
      <c r="X1163" s="2">
        <f>IF(T1163="OVER",$J1163,$K1163)</f>
        <v>215.05499553204169</v>
      </c>
      <c r="Y1163" s="9">
        <f t="shared" si="149"/>
        <v>-46146.765094502349</v>
      </c>
      <c r="Z1163" s="9">
        <f t="shared" si="149"/>
        <v>-44245.837723105273</v>
      </c>
      <c r="AA1163" s="9">
        <f t="shared" si="149"/>
        <v>61647.572657932658</v>
      </c>
      <c r="AB1163" s="9">
        <f t="shared" si="149"/>
        <v>28729.400119339738</v>
      </c>
    </row>
    <row r="1164" spans="1:28" x14ac:dyDescent="0.3">
      <c r="A1164" s="1">
        <v>46106</v>
      </c>
      <c r="B1164" s="2">
        <v>93.49</v>
      </c>
      <c r="C1164" s="2">
        <v>104.32</v>
      </c>
      <c r="D1164" s="9">
        <f>B1164-B1163</f>
        <v>0.51999999999999602</v>
      </c>
      <c r="E1164" s="9">
        <f>C1164-C1163</f>
        <v>0.65999999999999659</v>
      </c>
      <c r="F1164" s="3">
        <f>F$1/B1164</f>
        <v>1069.6331158412665</v>
      </c>
      <c r="G1164" s="3">
        <f>F$1/C1164</f>
        <v>958.58895705521479</v>
      </c>
      <c r="H1164" s="2">
        <f>D1164*F1163</f>
        <v>559.32021082069059</v>
      </c>
      <c r="I1164" s="2">
        <f>E1164*G1163</f>
        <v>636.69689369090929</v>
      </c>
      <c r="J1164" s="2">
        <f>I1164-H1164</f>
        <v>77.376682870218701</v>
      </c>
      <c r="K1164" s="2">
        <f t="shared" si="153"/>
        <v>-77.376682870218701</v>
      </c>
      <c r="L1164" s="14">
        <f>C1164/B1164</f>
        <v>1.1158412664456092</v>
      </c>
      <c r="M1164" s="14">
        <f t="shared" si="147"/>
        <v>1.1130135912511996</v>
      </c>
      <c r="N1164" s="14">
        <f t="shared" si="151"/>
        <v>1.1120730289357794</v>
      </c>
      <c r="O1164" s="14">
        <f t="shared" si="152"/>
        <v>1.108604646512702</v>
      </c>
      <c r="P1164" s="14">
        <f t="shared" si="154"/>
        <v>1.1010778112463173</v>
      </c>
      <c r="Q1164" s="4" t="str">
        <f t="shared" si="150"/>
        <v>OVER</v>
      </c>
      <c r="R1164" s="4" t="str">
        <f t="shared" si="150"/>
        <v>OVER</v>
      </c>
      <c r="S1164" s="4" t="str">
        <f t="shared" si="148"/>
        <v>OVER</v>
      </c>
      <c r="T1164" s="4" t="str">
        <f t="shared" si="148"/>
        <v>OVER</v>
      </c>
      <c r="U1164" s="2">
        <f>IF(Q1164="OVER",$J1164,$K1164)</f>
        <v>77.376682870218701</v>
      </c>
      <c r="V1164" s="2">
        <f>IF(R1164="OVER",$J1164,$K1164)</f>
        <v>77.376682870218701</v>
      </c>
      <c r="W1164" s="2">
        <f>IF(S1164="OVER",$J1164,$K1164)</f>
        <v>77.376682870218701</v>
      </c>
      <c r="X1164" s="2">
        <f>IF(T1164="OVER",$J1164,$K1164)</f>
        <v>77.376682870218701</v>
      </c>
      <c r="Y1164" s="9">
        <f t="shared" si="149"/>
        <v>-46069.388411632128</v>
      </c>
      <c r="Z1164" s="9">
        <f t="shared" si="149"/>
        <v>-44168.461040235052</v>
      </c>
      <c r="AA1164" s="9">
        <f t="shared" si="149"/>
        <v>61724.949340802879</v>
      </c>
      <c r="AB1164" s="9">
        <f t="shared" ref="AB1164:AB1227" si="155">AB1163+X1164</f>
        <v>28806.776802209955</v>
      </c>
    </row>
    <row r="1165" spans="1:28" x14ac:dyDescent="0.3">
      <c r="A1165" s="1">
        <v>46107</v>
      </c>
      <c r="B1165" s="2">
        <v>91.43</v>
      </c>
      <c r="C1165" s="2">
        <v>102</v>
      </c>
      <c r="D1165" s="9">
        <f>B1165-B1164</f>
        <v>-2.0599999999999881</v>
      </c>
      <c r="E1165" s="9">
        <f>C1165-C1164</f>
        <v>-2.3199999999999932</v>
      </c>
      <c r="F1165" s="3">
        <f>F$1/B1165</f>
        <v>1093.7329104232745</v>
      </c>
      <c r="G1165" s="3">
        <f>F$1/C1165</f>
        <v>980.39215686274508</v>
      </c>
      <c r="H1165" s="2">
        <f>D1165*F1164</f>
        <v>-2203.4442186329961</v>
      </c>
      <c r="I1165" s="2">
        <f>E1165*G1164</f>
        <v>-2223.9263803680919</v>
      </c>
      <c r="J1165" s="2">
        <f>I1165-H1165</f>
        <v>-20.482161735095815</v>
      </c>
      <c r="K1165" s="2">
        <f t="shared" si="153"/>
        <v>20.482161735095815</v>
      </c>
      <c r="L1165" s="14">
        <f>C1165/B1165</f>
        <v>1.1156075686317402</v>
      </c>
      <c r="M1165" s="14">
        <f t="shared" ref="M1165:M1228" si="156">AVERAGE(L1156:L1165)</f>
        <v>1.1137083261650091</v>
      </c>
      <c r="N1165" s="14">
        <f t="shared" si="151"/>
        <v>1.1124258276892347</v>
      </c>
      <c r="O1165" s="14">
        <f t="shared" si="152"/>
        <v>1.10887265818103</v>
      </c>
      <c r="P1165" s="14">
        <f t="shared" si="154"/>
        <v>1.1012054429856122</v>
      </c>
      <c r="Q1165" s="4" t="str">
        <f t="shared" si="150"/>
        <v>OVER</v>
      </c>
      <c r="R1165" s="4" t="str">
        <f t="shared" si="150"/>
        <v>OVER</v>
      </c>
      <c r="S1165" s="4" t="str">
        <f t="shared" ref="S1165:T1228" si="157">IF($L1165&gt;O1165,"OVER","UNDER")</f>
        <v>OVER</v>
      </c>
      <c r="T1165" s="4" t="str">
        <f t="shared" si="157"/>
        <v>OVER</v>
      </c>
      <c r="U1165" s="2">
        <f>IF(Q1165="OVER",$J1165,$K1165)</f>
        <v>-20.482161735095815</v>
      </c>
      <c r="V1165" s="2">
        <f>IF(R1165="OVER",$J1165,$K1165)</f>
        <v>-20.482161735095815</v>
      </c>
      <c r="W1165" s="2">
        <f>IF(S1165="OVER",$J1165,$K1165)</f>
        <v>-20.482161735095815</v>
      </c>
      <c r="X1165" s="2">
        <f>IF(T1165="OVER",$J1165,$K1165)</f>
        <v>-20.482161735095815</v>
      </c>
      <c r="Y1165" s="9">
        <f t="shared" ref="Y1165:AB1228" si="158">Y1164+U1165</f>
        <v>-46089.870573367225</v>
      </c>
      <c r="Z1165" s="9">
        <f t="shared" si="158"/>
        <v>-44188.943201970149</v>
      </c>
      <c r="AA1165" s="9">
        <f t="shared" si="158"/>
        <v>61704.467179067782</v>
      </c>
      <c r="AB1165" s="9">
        <f t="shared" si="155"/>
        <v>28786.294640474858</v>
      </c>
    </row>
    <row r="1166" spans="1:28" x14ac:dyDescent="0.3">
      <c r="A1166" s="1">
        <v>46108</v>
      </c>
      <c r="B1166" s="2">
        <v>89.81</v>
      </c>
      <c r="C1166" s="2">
        <v>100.84</v>
      </c>
      <c r="D1166" s="9">
        <f>B1166-B1165</f>
        <v>-1.6200000000000045</v>
      </c>
      <c r="E1166" s="9">
        <f>C1166-C1165</f>
        <v>-1.1599999999999966</v>
      </c>
      <c r="F1166" s="3">
        <f>F$1/B1166</f>
        <v>1113.4617525887986</v>
      </c>
      <c r="G1166" s="3">
        <f>F$1/C1166</f>
        <v>991.66997223324074</v>
      </c>
      <c r="H1166" s="2">
        <f>D1166*F1165</f>
        <v>-1771.8473148857097</v>
      </c>
      <c r="I1166" s="2">
        <f>E1166*G1165</f>
        <v>-1137.2549019607809</v>
      </c>
      <c r="J1166" s="2">
        <f>I1166-H1166</f>
        <v>634.59241292492879</v>
      </c>
      <c r="K1166" s="2">
        <f t="shared" si="153"/>
        <v>-634.59241292492879</v>
      </c>
      <c r="L1166" s="14">
        <f>C1166/B1166</f>
        <v>1.1228148313105446</v>
      </c>
      <c r="M1166" s="14">
        <f t="shared" si="156"/>
        <v>1.1147459201054064</v>
      </c>
      <c r="N1166" s="14">
        <f t="shared" si="151"/>
        <v>1.1130569273814837</v>
      </c>
      <c r="O1166" s="14">
        <f t="shared" si="152"/>
        <v>1.1093358055886582</v>
      </c>
      <c r="P1166" s="14">
        <f t="shared" si="154"/>
        <v>1.1013740883246428</v>
      </c>
      <c r="Q1166" s="4" t="str">
        <f t="shared" ref="Q1166:R1229" si="159">IF($L1165&gt;M1165,"OVER","UNDER")</f>
        <v>OVER</v>
      </c>
      <c r="R1166" s="4" t="str">
        <f t="shared" si="159"/>
        <v>OVER</v>
      </c>
      <c r="S1166" s="4" t="str">
        <f t="shared" si="157"/>
        <v>OVER</v>
      </c>
      <c r="T1166" s="4" t="str">
        <f t="shared" si="157"/>
        <v>OVER</v>
      </c>
      <c r="U1166" s="2">
        <f>IF(Q1166="OVER",$J1166,$K1166)</f>
        <v>634.59241292492879</v>
      </c>
      <c r="V1166" s="2">
        <f>IF(R1166="OVER",$J1166,$K1166)</f>
        <v>634.59241292492879</v>
      </c>
      <c r="W1166" s="2">
        <f>IF(S1166="OVER",$J1166,$K1166)</f>
        <v>634.59241292492879</v>
      </c>
      <c r="X1166" s="2">
        <f>IF(T1166="OVER",$J1166,$K1166)</f>
        <v>634.59241292492879</v>
      </c>
      <c r="Y1166" s="9">
        <f t="shared" si="158"/>
        <v>-45455.278160442293</v>
      </c>
      <c r="Z1166" s="9">
        <f t="shared" si="158"/>
        <v>-43554.350789045217</v>
      </c>
      <c r="AA1166" s="9">
        <f t="shared" si="158"/>
        <v>62339.059591992715</v>
      </c>
      <c r="AB1166" s="9">
        <f t="shared" si="155"/>
        <v>29420.887053399787</v>
      </c>
    </row>
    <row r="1167" spans="1:28" x14ac:dyDescent="0.3">
      <c r="A1167" s="1">
        <v>46111</v>
      </c>
      <c r="B1167" s="2">
        <v>89.04</v>
      </c>
      <c r="C1167" s="2">
        <v>99.15</v>
      </c>
      <c r="D1167" s="9">
        <f>B1167-B1166</f>
        <v>-0.76999999999999602</v>
      </c>
      <c r="E1167" s="9">
        <f>C1167-C1166</f>
        <v>-1.6899999999999977</v>
      </c>
      <c r="F1167" s="3">
        <f>F$1/B1167</f>
        <v>1123.0907457322551</v>
      </c>
      <c r="G1167" s="3">
        <f>F$1/C1167</f>
        <v>1008.5728693898134</v>
      </c>
      <c r="H1167" s="2">
        <f>D1167*F1166</f>
        <v>-857.36554949337051</v>
      </c>
      <c r="I1167" s="2">
        <f>E1167*G1166</f>
        <v>-1675.9222530741747</v>
      </c>
      <c r="J1167" s="2">
        <f>I1167-H1167</f>
        <v>-818.5567035808042</v>
      </c>
      <c r="K1167" s="2">
        <f t="shared" si="153"/>
        <v>818.5567035808042</v>
      </c>
      <c r="L1167" s="14">
        <f>C1167/B1167</f>
        <v>1.113544474393531</v>
      </c>
      <c r="M1167" s="14">
        <f t="shared" si="156"/>
        <v>1.1147937809753539</v>
      </c>
      <c r="N1167" s="14">
        <f t="shared" si="151"/>
        <v>1.1129973978818231</v>
      </c>
      <c r="O1167" s="14">
        <f t="shared" si="152"/>
        <v>1.1095772141963749</v>
      </c>
      <c r="P1167" s="14">
        <f t="shared" si="154"/>
        <v>1.1014978998481928</v>
      </c>
      <c r="Q1167" s="4" t="str">
        <f t="shared" si="159"/>
        <v>OVER</v>
      </c>
      <c r="R1167" s="4" t="str">
        <f t="shared" si="159"/>
        <v>OVER</v>
      </c>
      <c r="S1167" s="4" t="str">
        <f t="shared" si="157"/>
        <v>OVER</v>
      </c>
      <c r="T1167" s="4" t="str">
        <f t="shared" si="157"/>
        <v>OVER</v>
      </c>
      <c r="U1167" s="2">
        <f>IF(Q1167="OVER",$J1167,$K1167)</f>
        <v>-818.5567035808042</v>
      </c>
      <c r="V1167" s="2">
        <f>IF(R1167="OVER",$J1167,$K1167)</f>
        <v>-818.5567035808042</v>
      </c>
      <c r="W1167" s="2">
        <f>IF(S1167="OVER",$J1167,$K1167)</f>
        <v>-818.5567035808042</v>
      </c>
      <c r="X1167" s="2">
        <f>IF(T1167="OVER",$J1167,$K1167)</f>
        <v>-818.5567035808042</v>
      </c>
      <c r="Y1167" s="9">
        <f t="shared" si="158"/>
        <v>-46273.834864023098</v>
      </c>
      <c r="Z1167" s="9">
        <f t="shared" si="158"/>
        <v>-44372.907492626022</v>
      </c>
      <c r="AA1167" s="9">
        <f t="shared" si="158"/>
        <v>61520.502888411909</v>
      </c>
      <c r="AB1167" s="9">
        <f t="shared" si="155"/>
        <v>28602.330349818982</v>
      </c>
    </row>
    <row r="1168" spans="1:28" x14ac:dyDescent="0.3">
      <c r="A1168" s="1">
        <v>46112</v>
      </c>
      <c r="B1168" s="2">
        <v>91.52</v>
      </c>
      <c r="C1168" s="2">
        <v>101.79</v>
      </c>
      <c r="D1168" s="9">
        <f>B1168-B1167</f>
        <v>2.4799999999999898</v>
      </c>
      <c r="E1168" s="9">
        <f>C1168-C1167</f>
        <v>2.6400000000000006</v>
      </c>
      <c r="F1168" s="3">
        <f>F$1/B1168</f>
        <v>1092.6573426573427</v>
      </c>
      <c r="G1168" s="3">
        <f>F$1/C1168</f>
        <v>982.41477551822368</v>
      </c>
      <c r="H1168" s="2">
        <f>D1168*F1167</f>
        <v>2785.2650494159811</v>
      </c>
      <c r="I1168" s="2">
        <f>E1168*G1167</f>
        <v>2662.6323751891077</v>
      </c>
      <c r="J1168" s="2">
        <f>I1168-H1168</f>
        <v>-122.63267422687341</v>
      </c>
      <c r="K1168" s="2">
        <f t="shared" si="153"/>
        <v>122.63267422687341</v>
      </c>
      <c r="L1168" s="14">
        <f>C1168/B1168</f>
        <v>1.1122159090909092</v>
      </c>
      <c r="M1168" s="14">
        <f t="shared" si="156"/>
        <v>1.1148238054910895</v>
      </c>
      <c r="N1168" s="14">
        <f t="shared" si="151"/>
        <v>1.1131129204528276</v>
      </c>
      <c r="O1168" s="14">
        <f t="shared" si="152"/>
        <v>1.1097701957076211</v>
      </c>
      <c r="P1168" s="14">
        <f t="shared" si="154"/>
        <v>1.1016087072511438</v>
      </c>
      <c r="Q1168" s="4" t="str">
        <f t="shared" si="159"/>
        <v>UNDER</v>
      </c>
      <c r="R1168" s="4" t="str">
        <f t="shared" si="159"/>
        <v>OVER</v>
      </c>
      <c r="S1168" s="4" t="str">
        <f t="shared" si="157"/>
        <v>OVER</v>
      </c>
      <c r="T1168" s="4" t="str">
        <f t="shared" si="157"/>
        <v>OVER</v>
      </c>
      <c r="U1168" s="2">
        <f>IF(Q1168="OVER",$J1168,$K1168)</f>
        <v>122.63267422687341</v>
      </c>
      <c r="V1168" s="2">
        <f>IF(R1168="OVER",$J1168,$K1168)</f>
        <v>-122.63267422687341</v>
      </c>
      <c r="W1168" s="2">
        <f>IF(S1168="OVER",$J1168,$K1168)</f>
        <v>-122.63267422687341</v>
      </c>
      <c r="X1168" s="2">
        <f>IF(T1168="OVER",$J1168,$K1168)</f>
        <v>-122.63267422687341</v>
      </c>
      <c r="Y1168" s="9">
        <f t="shared" si="158"/>
        <v>-46151.202189796226</v>
      </c>
      <c r="Z1168" s="9">
        <f t="shared" si="158"/>
        <v>-44495.540166852894</v>
      </c>
      <c r="AA1168" s="9">
        <f t="shared" si="158"/>
        <v>61397.870214185037</v>
      </c>
      <c r="AB1168" s="9">
        <f t="shared" si="155"/>
        <v>28479.69767559211</v>
      </c>
    </row>
    <row r="1169" spans="1:28" x14ac:dyDescent="0.3">
      <c r="A1169" s="1">
        <v>46113</v>
      </c>
      <c r="B1169" s="2">
        <v>92.47</v>
      </c>
      <c r="C1169" s="2">
        <v>102.82</v>
      </c>
      <c r="D1169" s="9">
        <f>B1169-B1168</f>
        <v>0.95000000000000284</v>
      </c>
      <c r="E1169" s="9">
        <f>C1169-C1168</f>
        <v>1.0299999999999869</v>
      </c>
      <c r="F1169" s="3">
        <f>F$1/B1169</f>
        <v>1081.4318157240186</v>
      </c>
      <c r="G1169" s="3">
        <f>F$1/C1169</f>
        <v>972.57342929391177</v>
      </c>
      <c r="H1169" s="2">
        <f>D1169*F1168</f>
        <v>1038.0244755244787</v>
      </c>
      <c r="I1169" s="2">
        <f>E1169*G1168</f>
        <v>1011.8872187837576</v>
      </c>
      <c r="J1169" s="2">
        <f>I1169-H1169</f>
        <v>-26.137256740721114</v>
      </c>
      <c r="K1169" s="2">
        <f t="shared" si="153"/>
        <v>26.137256740721114</v>
      </c>
      <c r="L1169" s="14">
        <f>C1169/B1169</f>
        <v>1.1119281929274358</v>
      </c>
      <c r="M1169" s="14">
        <f t="shared" si="156"/>
        <v>1.1146954670352482</v>
      </c>
      <c r="N1169" s="14">
        <f t="shared" si="151"/>
        <v>1.113160867496795</v>
      </c>
      <c r="O1169" s="14">
        <f t="shared" si="152"/>
        <v>1.1099252024831499</v>
      </c>
      <c r="P1169" s="14">
        <f t="shared" si="154"/>
        <v>1.1017111412891583</v>
      </c>
      <c r="Q1169" s="4" t="str">
        <f t="shared" si="159"/>
        <v>UNDER</v>
      </c>
      <c r="R1169" s="4" t="str">
        <f t="shared" si="159"/>
        <v>UNDER</v>
      </c>
      <c r="S1169" s="4" t="str">
        <f t="shared" si="157"/>
        <v>OVER</v>
      </c>
      <c r="T1169" s="4" t="str">
        <f t="shared" si="157"/>
        <v>OVER</v>
      </c>
      <c r="U1169" s="2">
        <f>IF(Q1169="OVER",$J1169,$K1169)</f>
        <v>26.137256740721114</v>
      </c>
      <c r="V1169" s="2">
        <f>IF(R1169="OVER",$J1169,$K1169)</f>
        <v>26.137256740721114</v>
      </c>
      <c r="W1169" s="2">
        <f>IF(S1169="OVER",$J1169,$K1169)</f>
        <v>-26.137256740721114</v>
      </c>
      <c r="X1169" s="2">
        <f>IF(T1169="OVER",$J1169,$K1169)</f>
        <v>-26.137256740721114</v>
      </c>
      <c r="Y1169" s="9">
        <f t="shared" si="158"/>
        <v>-46125.064933055502</v>
      </c>
      <c r="Z1169" s="9">
        <f t="shared" si="158"/>
        <v>-44469.402910112171</v>
      </c>
      <c r="AA1169" s="9">
        <f t="shared" si="158"/>
        <v>61371.732957444314</v>
      </c>
      <c r="AB1169" s="9">
        <f t="shared" si="155"/>
        <v>28453.56041885139</v>
      </c>
    </row>
    <row r="1170" spans="1:28" x14ac:dyDescent="0.3">
      <c r="A1170" s="1">
        <v>46114</v>
      </c>
      <c r="B1170" s="2">
        <v>93.3</v>
      </c>
      <c r="C1170" s="2">
        <v>103.89</v>
      </c>
      <c r="D1170" s="9">
        <f>B1170-B1169</f>
        <v>0.82999999999999829</v>
      </c>
      <c r="E1170" s="9">
        <f>C1170-C1169</f>
        <v>1.0700000000000074</v>
      </c>
      <c r="F1170" s="3">
        <f>F$1/B1170</f>
        <v>1071.8113612004288</v>
      </c>
      <c r="G1170" s="3">
        <f>F$1/C1170</f>
        <v>962.5565501973241</v>
      </c>
      <c r="H1170" s="2">
        <f>D1170*F1169</f>
        <v>897.5884070509336</v>
      </c>
      <c r="I1170" s="2">
        <f>E1170*G1169</f>
        <v>1040.6535693444928</v>
      </c>
      <c r="J1170" s="2">
        <f>I1170-H1170</f>
        <v>143.06516229355918</v>
      </c>
      <c r="K1170" s="2">
        <f t="shared" si="153"/>
        <v>-143.06516229355918</v>
      </c>
      <c r="L1170" s="14">
        <f>C1170/B1170</f>
        <v>1.1135048231511255</v>
      </c>
      <c r="M1170" s="14">
        <f t="shared" si="156"/>
        <v>1.1146975272910684</v>
      </c>
      <c r="N1170" s="14">
        <f t="shared" si="151"/>
        <v>1.1133169770980313</v>
      </c>
      <c r="O1170" s="14">
        <f t="shared" si="152"/>
        <v>1.110125818980273</v>
      </c>
      <c r="P1170" s="14">
        <f t="shared" si="154"/>
        <v>1.1018255249499189</v>
      </c>
      <c r="Q1170" s="4" t="str">
        <f t="shared" si="159"/>
        <v>UNDER</v>
      </c>
      <c r="R1170" s="4" t="str">
        <f t="shared" si="159"/>
        <v>UNDER</v>
      </c>
      <c r="S1170" s="4" t="str">
        <f t="shared" si="157"/>
        <v>OVER</v>
      </c>
      <c r="T1170" s="4" t="str">
        <f t="shared" si="157"/>
        <v>OVER</v>
      </c>
      <c r="U1170" s="2">
        <f>IF(Q1170="OVER",$J1170,$K1170)</f>
        <v>-143.06516229355918</v>
      </c>
      <c r="V1170" s="2">
        <f>IF(R1170="OVER",$J1170,$K1170)</f>
        <v>-143.06516229355918</v>
      </c>
      <c r="W1170" s="2">
        <f>IF(S1170="OVER",$J1170,$K1170)</f>
        <v>143.06516229355918</v>
      </c>
      <c r="X1170" s="2">
        <f>IF(T1170="OVER",$J1170,$K1170)</f>
        <v>143.06516229355918</v>
      </c>
      <c r="Y1170" s="9">
        <f t="shared" si="158"/>
        <v>-46268.130095349065</v>
      </c>
      <c r="Z1170" s="9">
        <f t="shared" si="158"/>
        <v>-44612.468072405733</v>
      </c>
      <c r="AA1170" s="9">
        <f t="shared" si="158"/>
        <v>61514.798119737876</v>
      </c>
      <c r="AB1170" s="9">
        <f t="shared" si="155"/>
        <v>28596.625581144948</v>
      </c>
    </row>
    <row r="1171" spans="1:28" x14ac:dyDescent="0.3">
      <c r="A1171" s="1">
        <v>46118</v>
      </c>
      <c r="B1171" s="2">
        <v>93.22</v>
      </c>
      <c r="C1171" s="2">
        <v>103.94</v>
      </c>
      <c r="D1171" s="9">
        <f>B1171-B1170</f>
        <v>-7.9999999999998295E-2</v>
      </c>
      <c r="E1171" s="9">
        <f>C1171-C1170</f>
        <v>4.9999999999997158E-2</v>
      </c>
      <c r="F1171" s="3">
        <f>F$1/B1171</f>
        <v>1072.7311735679039</v>
      </c>
      <c r="G1171" s="3">
        <f>F$1/C1171</f>
        <v>962.09351548970562</v>
      </c>
      <c r="H1171" s="2">
        <f>D1171*F1170</f>
        <v>-85.74490889603247</v>
      </c>
      <c r="I1171" s="2">
        <f>E1171*G1170</f>
        <v>48.127827509863472</v>
      </c>
      <c r="J1171" s="2">
        <f>I1171-H1171</f>
        <v>133.87273640589595</v>
      </c>
      <c r="K1171" s="2">
        <f t="shared" si="153"/>
        <v>-133.87273640589595</v>
      </c>
      <c r="L1171" s="14">
        <f>C1171/B1171</f>
        <v>1.1149967818064792</v>
      </c>
      <c r="M1171" s="14">
        <f t="shared" si="156"/>
        <v>1.1148034242149212</v>
      </c>
      <c r="N1171" s="14">
        <f t="shared" si="151"/>
        <v>1.1136256075174553</v>
      </c>
      <c r="O1171" s="14">
        <f t="shared" si="152"/>
        <v>1.1103646210991025</v>
      </c>
      <c r="P1171" s="14">
        <f t="shared" si="154"/>
        <v>1.1019399171135509</v>
      </c>
      <c r="Q1171" s="4" t="str">
        <f t="shared" si="159"/>
        <v>UNDER</v>
      </c>
      <c r="R1171" s="4" t="str">
        <f t="shared" si="159"/>
        <v>OVER</v>
      </c>
      <c r="S1171" s="4" t="str">
        <f t="shared" si="157"/>
        <v>OVER</v>
      </c>
      <c r="T1171" s="4" t="str">
        <f t="shared" si="157"/>
        <v>OVER</v>
      </c>
      <c r="U1171" s="2">
        <f>IF(Q1171="OVER",$J1171,$K1171)</f>
        <v>-133.87273640589595</v>
      </c>
      <c r="V1171" s="2">
        <f>IF(R1171="OVER",$J1171,$K1171)</f>
        <v>133.87273640589595</v>
      </c>
      <c r="W1171" s="2">
        <f>IF(S1171="OVER",$J1171,$K1171)</f>
        <v>133.87273640589595</v>
      </c>
      <c r="X1171" s="2">
        <f>IF(T1171="OVER",$J1171,$K1171)</f>
        <v>133.87273640589595</v>
      </c>
      <c r="Y1171" s="9">
        <f t="shared" si="158"/>
        <v>-46402.002831754959</v>
      </c>
      <c r="Z1171" s="9">
        <f t="shared" si="158"/>
        <v>-44478.595335999838</v>
      </c>
      <c r="AA1171" s="9">
        <f t="shared" si="158"/>
        <v>61648.67085614377</v>
      </c>
      <c r="AB1171" s="9">
        <f t="shared" si="155"/>
        <v>28730.498317550846</v>
      </c>
    </row>
    <row r="1172" spans="1:28" x14ac:dyDescent="0.3">
      <c r="A1172" s="1">
        <v>46119</v>
      </c>
      <c r="B1172" s="2">
        <v>93.84</v>
      </c>
      <c r="C1172" s="2">
        <v>104.53</v>
      </c>
      <c r="D1172" s="9">
        <f>B1172-B1171</f>
        <v>0.62000000000000455</v>
      </c>
      <c r="E1172" s="9">
        <f>C1172-C1171</f>
        <v>0.59000000000000341</v>
      </c>
      <c r="F1172" s="3">
        <f>F$1/B1172</f>
        <v>1065.6436487638534</v>
      </c>
      <c r="G1172" s="3">
        <f>F$1/C1172</f>
        <v>956.66315890175065</v>
      </c>
      <c r="H1172" s="2">
        <f>D1172*F1171</f>
        <v>665.09332761210521</v>
      </c>
      <c r="I1172" s="2">
        <f>E1172*G1171</f>
        <v>567.63517413892964</v>
      </c>
      <c r="J1172" s="2">
        <f>I1172-H1172</f>
        <v>-97.458153473175571</v>
      </c>
      <c r="K1172" s="2">
        <f t="shared" si="153"/>
        <v>97.458153473175571</v>
      </c>
      <c r="L1172" s="14">
        <f>C1172/B1172</f>
        <v>1.113917306052856</v>
      </c>
      <c r="M1172" s="14">
        <f t="shared" si="156"/>
        <v>1.1149354481765485</v>
      </c>
      <c r="N1172" s="14">
        <f t="shared" si="151"/>
        <v>1.1137707029266986</v>
      </c>
      <c r="O1172" s="14">
        <f t="shared" si="152"/>
        <v>1.1105362465896347</v>
      </c>
      <c r="P1172" s="14">
        <f t="shared" si="154"/>
        <v>1.1020495408877629</v>
      </c>
      <c r="Q1172" s="4" t="str">
        <f t="shared" si="159"/>
        <v>OVER</v>
      </c>
      <c r="R1172" s="4" t="str">
        <f t="shared" si="159"/>
        <v>OVER</v>
      </c>
      <c r="S1172" s="4" t="str">
        <f t="shared" si="157"/>
        <v>OVER</v>
      </c>
      <c r="T1172" s="4" t="str">
        <f t="shared" si="157"/>
        <v>OVER</v>
      </c>
      <c r="U1172" s="2">
        <f>IF(Q1172="OVER",$J1172,$K1172)</f>
        <v>-97.458153473175571</v>
      </c>
      <c r="V1172" s="2">
        <f>IF(R1172="OVER",$J1172,$K1172)</f>
        <v>-97.458153473175571</v>
      </c>
      <c r="W1172" s="2">
        <f>IF(S1172="OVER",$J1172,$K1172)</f>
        <v>-97.458153473175571</v>
      </c>
      <c r="X1172" s="2">
        <f>IF(T1172="OVER",$J1172,$K1172)</f>
        <v>-97.458153473175571</v>
      </c>
      <c r="Y1172" s="9">
        <f t="shared" si="158"/>
        <v>-46499.460985228136</v>
      </c>
      <c r="Z1172" s="9">
        <f t="shared" si="158"/>
        <v>-44576.053489473015</v>
      </c>
      <c r="AA1172" s="9">
        <f t="shared" si="158"/>
        <v>61551.212702670593</v>
      </c>
      <c r="AB1172" s="9">
        <f t="shared" si="155"/>
        <v>28633.040164077669</v>
      </c>
    </row>
    <row r="1173" spans="1:28" x14ac:dyDescent="0.3">
      <c r="A1173" s="1">
        <v>46120</v>
      </c>
      <c r="B1173" s="2">
        <v>96.39</v>
      </c>
      <c r="C1173" s="2">
        <v>107.39</v>
      </c>
      <c r="D1173" s="9">
        <f>B1173-B1172</f>
        <v>2.5499999999999972</v>
      </c>
      <c r="E1173" s="9">
        <f>C1173-C1172</f>
        <v>2.8599999999999994</v>
      </c>
      <c r="F1173" s="3">
        <f>F$1/B1173</f>
        <v>1037.4520178441746</v>
      </c>
      <c r="G1173" s="3">
        <f>F$1/C1173</f>
        <v>931.18539901294344</v>
      </c>
      <c r="H1173" s="2">
        <f>D1173*F1172</f>
        <v>2717.3913043478233</v>
      </c>
      <c r="I1173" s="2">
        <f>E1173*G1172</f>
        <v>2736.0566344590061</v>
      </c>
      <c r="J1173" s="2">
        <f>I1173-H1173</f>
        <v>18.665330111182811</v>
      </c>
      <c r="K1173" s="2">
        <f t="shared" si="153"/>
        <v>-18.665330111182811</v>
      </c>
      <c r="L1173" s="14">
        <f>C1173/B1173</f>
        <v>1.1141197219628591</v>
      </c>
      <c r="M1173" s="14">
        <f t="shared" si="156"/>
        <v>1.1148490875773089</v>
      </c>
      <c r="N1173" s="14">
        <f t="shared" si="151"/>
        <v>1.1138375104418934</v>
      </c>
      <c r="O1173" s="14">
        <f t="shared" si="152"/>
        <v>1.1106969761409515</v>
      </c>
      <c r="P1173" s="14">
        <f t="shared" si="154"/>
        <v>1.1021592785622094</v>
      </c>
      <c r="Q1173" s="4" t="str">
        <f t="shared" si="159"/>
        <v>UNDER</v>
      </c>
      <c r="R1173" s="4" t="str">
        <f t="shared" si="159"/>
        <v>OVER</v>
      </c>
      <c r="S1173" s="4" t="str">
        <f t="shared" si="157"/>
        <v>OVER</v>
      </c>
      <c r="T1173" s="4" t="str">
        <f t="shared" si="157"/>
        <v>OVER</v>
      </c>
      <c r="U1173" s="2">
        <f>IF(Q1173="OVER",$J1173,$K1173)</f>
        <v>-18.665330111182811</v>
      </c>
      <c r="V1173" s="2">
        <f>IF(R1173="OVER",$J1173,$K1173)</f>
        <v>18.665330111182811</v>
      </c>
      <c r="W1173" s="2">
        <f>IF(S1173="OVER",$J1173,$K1173)</f>
        <v>18.665330111182811</v>
      </c>
      <c r="X1173" s="2">
        <f>IF(T1173="OVER",$J1173,$K1173)</f>
        <v>18.665330111182811</v>
      </c>
      <c r="Y1173" s="9">
        <f t="shared" si="158"/>
        <v>-46518.126315339316</v>
      </c>
      <c r="Z1173" s="9">
        <f t="shared" si="158"/>
        <v>-44557.388159361835</v>
      </c>
      <c r="AA1173" s="9">
        <f t="shared" si="158"/>
        <v>61569.878032781773</v>
      </c>
      <c r="AB1173" s="9">
        <f t="shared" si="155"/>
        <v>28651.705494188853</v>
      </c>
    </row>
    <row r="1174" spans="1:28" x14ac:dyDescent="0.3">
      <c r="A1174" s="1">
        <v>46121</v>
      </c>
      <c r="B1174" s="2">
        <v>96.51</v>
      </c>
      <c r="C1174" s="2">
        <v>107.56</v>
      </c>
      <c r="D1174" s="9">
        <f>B1174-B1173</f>
        <v>0.12000000000000455</v>
      </c>
      <c r="E1174" s="9">
        <f>C1174-C1173</f>
        <v>0.17000000000000171</v>
      </c>
      <c r="F1174" s="3">
        <f>F$1/B1174</f>
        <v>1036.1620557455185</v>
      </c>
      <c r="G1174" s="3">
        <f>F$1/C1174</f>
        <v>929.71364819635551</v>
      </c>
      <c r="H1174" s="2">
        <f>D1174*F1173</f>
        <v>124.49424214130568</v>
      </c>
      <c r="I1174" s="2">
        <f>E1174*G1173</f>
        <v>158.30151783220197</v>
      </c>
      <c r="J1174" s="2">
        <f>I1174-H1174</f>
        <v>33.80727569089629</v>
      </c>
      <c r="K1174" s="2">
        <f t="shared" si="153"/>
        <v>-33.80727569089629</v>
      </c>
      <c r="L1174" s="14">
        <f>C1174/B1174</f>
        <v>1.1144959071598797</v>
      </c>
      <c r="M1174" s="14">
        <f t="shared" si="156"/>
        <v>1.1147145516487362</v>
      </c>
      <c r="N1174" s="14">
        <f t="shared" si="151"/>
        <v>1.1138640714499677</v>
      </c>
      <c r="O1174" s="14">
        <f t="shared" si="152"/>
        <v>1.1108606694395595</v>
      </c>
      <c r="P1174" s="14">
        <f t="shared" si="154"/>
        <v>1.1022724356449918</v>
      </c>
      <c r="Q1174" s="4" t="str">
        <f t="shared" si="159"/>
        <v>UNDER</v>
      </c>
      <c r="R1174" s="4" t="str">
        <f t="shared" si="159"/>
        <v>OVER</v>
      </c>
      <c r="S1174" s="4" t="str">
        <f t="shared" si="157"/>
        <v>OVER</v>
      </c>
      <c r="T1174" s="4" t="str">
        <f t="shared" si="157"/>
        <v>OVER</v>
      </c>
      <c r="U1174" s="2">
        <f>IF(Q1174="OVER",$J1174,$K1174)</f>
        <v>-33.80727569089629</v>
      </c>
      <c r="V1174" s="2">
        <f>IF(R1174="OVER",$J1174,$K1174)</f>
        <v>33.80727569089629</v>
      </c>
      <c r="W1174" s="2">
        <f>IF(S1174="OVER",$J1174,$K1174)</f>
        <v>33.80727569089629</v>
      </c>
      <c r="X1174" s="2">
        <f>IF(T1174="OVER",$J1174,$K1174)</f>
        <v>33.80727569089629</v>
      </c>
      <c r="Y1174" s="9">
        <f t="shared" si="158"/>
        <v>-46551.933591030211</v>
      </c>
      <c r="Z1174" s="9">
        <f t="shared" si="158"/>
        <v>-44523.58088367094</v>
      </c>
      <c r="AA1174" s="9">
        <f t="shared" si="158"/>
        <v>61603.685308472668</v>
      </c>
      <c r="AB1174" s="9">
        <f t="shared" si="155"/>
        <v>28685.512769879748</v>
      </c>
    </row>
    <row r="1175" spans="1:28" x14ac:dyDescent="0.3">
      <c r="A1175" s="1">
        <v>46122</v>
      </c>
      <c r="B1175" s="2">
        <v>96.5</v>
      </c>
      <c r="C1175" s="2">
        <v>107.64</v>
      </c>
      <c r="D1175" s="9">
        <f>B1175-B1174</f>
        <v>-1.0000000000005116E-2</v>
      </c>
      <c r="E1175" s="9">
        <f>C1175-C1174</f>
        <v>7.9999999999998295E-2</v>
      </c>
      <c r="F1175" s="3">
        <f>F$1/B1175</f>
        <v>1036.2694300518135</v>
      </c>
      <c r="G1175" s="3">
        <f>F$1/C1175</f>
        <v>929.02266815310293</v>
      </c>
      <c r="H1175" s="2">
        <f>D1175*F1174</f>
        <v>-10.361620557460485</v>
      </c>
      <c r="I1175" s="2">
        <f>E1175*G1174</f>
        <v>74.377091855706851</v>
      </c>
      <c r="J1175" s="2">
        <f>I1175-H1175</f>
        <v>84.738712413167335</v>
      </c>
      <c r="K1175" s="2">
        <f t="shared" si="153"/>
        <v>-84.738712413167335</v>
      </c>
      <c r="L1175" s="14">
        <f>C1175/B1175</f>
        <v>1.1154404145077721</v>
      </c>
      <c r="M1175" s="14">
        <f t="shared" si="156"/>
        <v>1.1146978362363391</v>
      </c>
      <c r="N1175" s="14">
        <f t="shared" ref="N1175:N1238" si="160">AVERAGE(L1156:L1175)</f>
        <v>1.1142030812006742</v>
      </c>
      <c r="O1175" s="14">
        <f t="shared" si="152"/>
        <v>1.1110426627291927</v>
      </c>
      <c r="P1175" s="14">
        <f t="shared" si="154"/>
        <v>1.1023872984646219</v>
      </c>
      <c r="Q1175" s="4" t="str">
        <f t="shared" si="159"/>
        <v>UNDER</v>
      </c>
      <c r="R1175" s="4" t="str">
        <f t="shared" si="159"/>
        <v>OVER</v>
      </c>
      <c r="S1175" s="4" t="str">
        <f t="shared" si="157"/>
        <v>OVER</v>
      </c>
      <c r="T1175" s="4" t="str">
        <f t="shared" si="157"/>
        <v>OVER</v>
      </c>
      <c r="U1175" s="2">
        <f>IF(Q1175="OVER",$J1175,$K1175)</f>
        <v>-84.738712413167335</v>
      </c>
      <c r="V1175" s="2">
        <f>IF(R1175="OVER",$J1175,$K1175)</f>
        <v>84.738712413167335</v>
      </c>
      <c r="W1175" s="2">
        <f>IF(S1175="OVER",$J1175,$K1175)</f>
        <v>84.738712413167335</v>
      </c>
      <c r="X1175" s="2">
        <f>IF(T1175="OVER",$J1175,$K1175)</f>
        <v>84.738712413167335</v>
      </c>
      <c r="Y1175" s="9">
        <f t="shared" si="158"/>
        <v>-46636.672303443374</v>
      </c>
      <c r="Z1175" s="9">
        <f t="shared" si="158"/>
        <v>-44438.842171257776</v>
      </c>
      <c r="AA1175" s="9">
        <f t="shared" si="158"/>
        <v>61688.424020885832</v>
      </c>
      <c r="AB1175" s="9">
        <f t="shared" si="155"/>
        <v>28770.251482292915</v>
      </c>
    </row>
    <row r="1176" spans="1:28" x14ac:dyDescent="0.3">
      <c r="A1176" s="1">
        <v>46125</v>
      </c>
      <c r="B1176" s="2">
        <v>97.88</v>
      </c>
      <c r="C1176" s="2">
        <v>108.59</v>
      </c>
      <c r="D1176" s="9">
        <f>B1176-B1175</f>
        <v>1.3799999999999955</v>
      </c>
      <c r="E1176" s="9">
        <f>C1176-C1175</f>
        <v>0.95000000000000284</v>
      </c>
      <c r="F1176" s="3">
        <f>F$1/B1176</f>
        <v>1021.6591744993871</v>
      </c>
      <c r="G1176" s="3">
        <f>F$1/C1176</f>
        <v>920.89511004696567</v>
      </c>
      <c r="H1176" s="2">
        <f>D1176*F1175</f>
        <v>1430.051813471498</v>
      </c>
      <c r="I1176" s="2">
        <f>E1176*G1175</f>
        <v>882.57153474545044</v>
      </c>
      <c r="J1176" s="2">
        <f>I1176-H1176</f>
        <v>-547.48027872604757</v>
      </c>
      <c r="K1176" s="2">
        <f t="shared" si="153"/>
        <v>547.48027872604757</v>
      </c>
      <c r="L1176" s="14">
        <f>C1176/B1176</f>
        <v>1.1094196975888844</v>
      </c>
      <c r="M1176" s="14">
        <f t="shared" si="156"/>
        <v>1.113358322864173</v>
      </c>
      <c r="N1176" s="14">
        <f t="shared" si="160"/>
        <v>1.1140521214847898</v>
      </c>
      <c r="O1176" s="14">
        <f t="shared" si="152"/>
        <v>1.1110669562802111</v>
      </c>
      <c r="P1176" s="14">
        <f t="shared" si="154"/>
        <v>1.1024669122899897</v>
      </c>
      <c r="Q1176" s="4" t="str">
        <f t="shared" si="159"/>
        <v>OVER</v>
      </c>
      <c r="R1176" s="4" t="str">
        <f t="shared" si="159"/>
        <v>OVER</v>
      </c>
      <c r="S1176" s="4" t="str">
        <f t="shared" si="157"/>
        <v>UNDER</v>
      </c>
      <c r="T1176" s="4" t="str">
        <f t="shared" si="157"/>
        <v>OVER</v>
      </c>
      <c r="U1176" s="2">
        <f>IF(Q1176="OVER",$J1176,$K1176)</f>
        <v>-547.48027872604757</v>
      </c>
      <c r="V1176" s="2">
        <f>IF(R1176="OVER",$J1176,$K1176)</f>
        <v>-547.48027872604757</v>
      </c>
      <c r="W1176" s="2">
        <f>IF(S1176="OVER",$J1176,$K1176)</f>
        <v>547.48027872604757</v>
      </c>
      <c r="X1176" s="2">
        <f>IF(T1176="OVER",$J1176,$K1176)</f>
        <v>-547.48027872604757</v>
      </c>
      <c r="Y1176" s="9">
        <f t="shared" si="158"/>
        <v>-47184.152582169423</v>
      </c>
      <c r="Z1176" s="9">
        <f t="shared" si="158"/>
        <v>-44986.322449983825</v>
      </c>
      <c r="AA1176" s="9">
        <f t="shared" si="158"/>
        <v>62235.904299611881</v>
      </c>
      <c r="AB1176" s="9">
        <f t="shared" si="155"/>
        <v>28222.771203566866</v>
      </c>
    </row>
    <row r="1177" spans="1:28" x14ac:dyDescent="0.3">
      <c r="A1177" s="1">
        <v>46126</v>
      </c>
      <c r="B1177" s="2">
        <v>98.84</v>
      </c>
      <c r="C1177" s="2">
        <v>109.8</v>
      </c>
      <c r="D1177" s="9">
        <f>B1177-B1176</f>
        <v>0.96000000000000796</v>
      </c>
      <c r="E1177" s="9">
        <f>C1177-C1176</f>
        <v>1.2099999999999937</v>
      </c>
      <c r="F1177" s="3">
        <f>F$1/B1177</f>
        <v>1011.7361392148928</v>
      </c>
      <c r="G1177" s="3">
        <f>F$1/C1177</f>
        <v>910.74681238615665</v>
      </c>
      <c r="H1177" s="2">
        <f>D1177*F1176</f>
        <v>980.79280751941974</v>
      </c>
      <c r="I1177" s="2">
        <f>E1177*G1176</f>
        <v>1114.2830831568226</v>
      </c>
      <c r="J1177" s="2">
        <f>I1177-H1177</f>
        <v>133.49027563740287</v>
      </c>
      <c r="K1177" s="2">
        <f t="shared" si="153"/>
        <v>-133.49027563740287</v>
      </c>
      <c r="L1177" s="14">
        <f>C1177/B1177</f>
        <v>1.1108862808579523</v>
      </c>
      <c r="M1177" s="14">
        <f t="shared" si="156"/>
        <v>1.1130925035106154</v>
      </c>
      <c r="N1177" s="14">
        <f t="shared" si="160"/>
        <v>1.1139431422429844</v>
      </c>
      <c r="O1177" s="14">
        <f t="shared" si="152"/>
        <v>1.1111176583427664</v>
      </c>
      <c r="P1177" s="14">
        <f t="shared" si="154"/>
        <v>1.1025589898931099</v>
      </c>
      <c r="Q1177" s="4" t="str">
        <f t="shared" si="159"/>
        <v>UNDER</v>
      </c>
      <c r="R1177" s="4" t="str">
        <f t="shared" si="159"/>
        <v>UNDER</v>
      </c>
      <c r="S1177" s="4" t="str">
        <f t="shared" si="157"/>
        <v>UNDER</v>
      </c>
      <c r="T1177" s="4" t="str">
        <f t="shared" si="157"/>
        <v>OVER</v>
      </c>
      <c r="U1177" s="2">
        <f>IF(Q1177="OVER",$J1177,$K1177)</f>
        <v>-133.49027563740287</v>
      </c>
      <c r="V1177" s="2">
        <f>IF(R1177="OVER",$J1177,$K1177)</f>
        <v>-133.49027563740287</v>
      </c>
      <c r="W1177" s="2">
        <f>IF(S1177="OVER",$J1177,$K1177)</f>
        <v>-133.49027563740287</v>
      </c>
      <c r="X1177" s="2">
        <f>IF(T1177="OVER",$J1177,$K1177)</f>
        <v>133.49027563740287</v>
      </c>
      <c r="Y1177" s="9">
        <f t="shared" si="158"/>
        <v>-47317.642857806823</v>
      </c>
      <c r="Z1177" s="9">
        <f t="shared" si="158"/>
        <v>-45119.812725621225</v>
      </c>
      <c r="AA1177" s="9">
        <f t="shared" si="158"/>
        <v>62102.414023974481</v>
      </c>
      <c r="AB1177" s="9">
        <f t="shared" si="155"/>
        <v>28356.26147920427</v>
      </c>
    </row>
    <row r="1178" spans="1:28" x14ac:dyDescent="0.3">
      <c r="A1178" s="1">
        <v>46127</v>
      </c>
      <c r="B1178" s="2">
        <v>99.03</v>
      </c>
      <c r="C1178" s="2">
        <v>110.31</v>
      </c>
      <c r="D1178" s="9">
        <f>B1178-B1177</f>
        <v>0.18999999999999773</v>
      </c>
      <c r="E1178" s="9">
        <f>C1178-C1177</f>
        <v>0.51000000000000512</v>
      </c>
      <c r="F1178" s="3">
        <f>F$1/B1178</f>
        <v>1009.7950116126426</v>
      </c>
      <c r="G1178" s="3">
        <f>F$1/C1178</f>
        <v>906.53612546459976</v>
      </c>
      <c r="H1178" s="2">
        <f>D1178*F1177</f>
        <v>192.22986645082733</v>
      </c>
      <c r="I1178" s="2">
        <f>E1178*G1177</f>
        <v>464.48087431694455</v>
      </c>
      <c r="J1178" s="2">
        <f>I1178-H1178</f>
        <v>272.25100786611722</v>
      </c>
      <c r="K1178" s="2">
        <f t="shared" si="153"/>
        <v>-272.25100786611722</v>
      </c>
      <c r="L1178" s="14">
        <f>C1178/B1178</f>
        <v>1.1139048773099061</v>
      </c>
      <c r="M1178" s="14">
        <f t="shared" si="156"/>
        <v>1.113261400332515</v>
      </c>
      <c r="N1178" s="14">
        <f t="shared" si="160"/>
        <v>1.1140426029118022</v>
      </c>
      <c r="O1178" s="14">
        <f t="shared" si="152"/>
        <v>1.1112299063899238</v>
      </c>
      <c r="P1178" s="14">
        <f t="shared" si="154"/>
        <v>1.1026774504498722</v>
      </c>
      <c r="Q1178" s="4" t="str">
        <f t="shared" si="159"/>
        <v>UNDER</v>
      </c>
      <c r="R1178" s="4" t="str">
        <f t="shared" si="159"/>
        <v>UNDER</v>
      </c>
      <c r="S1178" s="4" t="str">
        <f t="shared" si="157"/>
        <v>OVER</v>
      </c>
      <c r="T1178" s="4" t="str">
        <f t="shared" si="157"/>
        <v>OVER</v>
      </c>
      <c r="U1178" s="2">
        <f>IF(Q1178="OVER",$J1178,$K1178)</f>
        <v>-272.25100786611722</v>
      </c>
      <c r="V1178" s="2">
        <f>IF(R1178="OVER",$J1178,$K1178)</f>
        <v>-272.25100786611722</v>
      </c>
      <c r="W1178" s="2">
        <f>IF(S1178="OVER",$J1178,$K1178)</f>
        <v>272.25100786611722</v>
      </c>
      <c r="X1178" s="2">
        <f>IF(T1178="OVER",$J1178,$K1178)</f>
        <v>272.25100786611722</v>
      </c>
      <c r="Y1178" s="9">
        <f t="shared" si="158"/>
        <v>-47589.893865672937</v>
      </c>
      <c r="Z1178" s="9">
        <f t="shared" si="158"/>
        <v>-45392.063733487339</v>
      </c>
      <c r="AA1178" s="9">
        <f t="shared" si="158"/>
        <v>62374.665031840595</v>
      </c>
      <c r="AB1178" s="9">
        <f t="shared" si="155"/>
        <v>28628.512487070388</v>
      </c>
    </row>
    <row r="1179" spans="1:28" x14ac:dyDescent="0.3">
      <c r="A1179" s="1">
        <v>46128</v>
      </c>
      <c r="B1179" s="2">
        <v>100.14</v>
      </c>
      <c r="C1179" s="2">
        <v>111.2</v>
      </c>
      <c r="D1179" s="9">
        <f>B1179-B1178</f>
        <v>1.1099999999999994</v>
      </c>
      <c r="E1179" s="9">
        <f>C1179-C1178</f>
        <v>0.89000000000000057</v>
      </c>
      <c r="F1179" s="3">
        <f>F$1/B1179</f>
        <v>998.60195725983624</v>
      </c>
      <c r="G1179" s="3">
        <f>F$1/C1179</f>
        <v>899.2805755395683</v>
      </c>
      <c r="H1179" s="2">
        <f>D1179*F1178</f>
        <v>1120.8724628900327</v>
      </c>
      <c r="I1179" s="2">
        <f>E1179*G1178</f>
        <v>806.81715166349431</v>
      </c>
      <c r="J1179" s="2">
        <f>I1179-H1179</f>
        <v>-314.05531122653838</v>
      </c>
      <c r="K1179" s="2">
        <f t="shared" si="153"/>
        <v>314.05531122653838</v>
      </c>
      <c r="L1179" s="14">
        <f>C1179/B1179</f>
        <v>1.1104453764729378</v>
      </c>
      <c r="M1179" s="14">
        <f t="shared" si="156"/>
        <v>1.1131131186870653</v>
      </c>
      <c r="N1179" s="14">
        <f t="shared" si="160"/>
        <v>1.1139042928611569</v>
      </c>
      <c r="O1179" s="14">
        <f t="shared" si="152"/>
        <v>1.1112097249476194</v>
      </c>
      <c r="P1179" s="14">
        <f t="shared" si="154"/>
        <v>1.1027796410389874</v>
      </c>
      <c r="Q1179" s="4" t="str">
        <f t="shared" si="159"/>
        <v>OVER</v>
      </c>
      <c r="R1179" s="4" t="str">
        <f t="shared" si="159"/>
        <v>UNDER</v>
      </c>
      <c r="S1179" s="4" t="str">
        <f t="shared" si="157"/>
        <v>UNDER</v>
      </c>
      <c r="T1179" s="4" t="str">
        <f t="shared" si="157"/>
        <v>OVER</v>
      </c>
      <c r="U1179" s="2">
        <f>IF(Q1179="OVER",$J1179,$K1179)</f>
        <v>-314.05531122653838</v>
      </c>
      <c r="V1179" s="2">
        <f>IF(R1179="OVER",$J1179,$K1179)</f>
        <v>314.05531122653838</v>
      </c>
      <c r="W1179" s="2">
        <f>IF(S1179="OVER",$J1179,$K1179)</f>
        <v>314.05531122653838</v>
      </c>
      <c r="X1179" s="2">
        <f>IF(T1179="OVER",$J1179,$K1179)</f>
        <v>-314.05531122653838</v>
      </c>
      <c r="Y1179" s="9">
        <f t="shared" si="158"/>
        <v>-47903.949176899478</v>
      </c>
      <c r="Z1179" s="9">
        <f t="shared" si="158"/>
        <v>-45078.008422260798</v>
      </c>
      <c r="AA1179" s="9">
        <f t="shared" si="158"/>
        <v>62688.720343067136</v>
      </c>
      <c r="AB1179" s="9">
        <f t="shared" si="155"/>
        <v>28314.457175843851</v>
      </c>
    </row>
    <row r="1180" spans="1:28" x14ac:dyDescent="0.3">
      <c r="A1180" s="1">
        <v>46129</v>
      </c>
      <c r="B1180" s="2">
        <v>100.51</v>
      </c>
      <c r="C1180" s="2">
        <v>112.06</v>
      </c>
      <c r="D1180" s="9">
        <f>B1180-B1179</f>
        <v>0.37000000000000455</v>
      </c>
      <c r="E1180" s="9">
        <f>C1180-C1179</f>
        <v>0.85999999999999943</v>
      </c>
      <c r="F1180" s="3">
        <f>F$1/B1180</f>
        <v>994.92587802208732</v>
      </c>
      <c r="G1180" s="3">
        <f>F$1/C1180</f>
        <v>892.37908263430302</v>
      </c>
      <c r="H1180" s="2">
        <f>D1180*F1179</f>
        <v>369.48272418614397</v>
      </c>
      <c r="I1180" s="2">
        <f>E1180*G1179</f>
        <v>773.38129496402826</v>
      </c>
      <c r="J1180" s="2">
        <f>I1180-H1180</f>
        <v>403.89857077788429</v>
      </c>
      <c r="K1180" s="2">
        <f t="shared" si="153"/>
        <v>-403.89857077788429</v>
      </c>
      <c r="L1180" s="14">
        <f>C1180/B1180</f>
        <v>1.114913938911551</v>
      </c>
      <c r="M1180" s="14">
        <f t="shared" si="156"/>
        <v>1.1132540302631078</v>
      </c>
      <c r="N1180" s="14">
        <f t="shared" si="160"/>
        <v>1.1139757787770881</v>
      </c>
      <c r="O1180" s="14">
        <f t="shared" si="152"/>
        <v>1.1113552184656412</v>
      </c>
      <c r="P1180" s="14">
        <f t="shared" si="154"/>
        <v>1.1029288856636701</v>
      </c>
      <c r="Q1180" s="4" t="str">
        <f t="shared" si="159"/>
        <v>UNDER</v>
      </c>
      <c r="R1180" s="4" t="str">
        <f t="shared" si="159"/>
        <v>UNDER</v>
      </c>
      <c r="S1180" s="4" t="str">
        <f t="shared" si="157"/>
        <v>OVER</v>
      </c>
      <c r="T1180" s="4" t="str">
        <f t="shared" si="157"/>
        <v>OVER</v>
      </c>
      <c r="U1180" s="2">
        <f>IF(Q1180="OVER",$J1180,$K1180)</f>
        <v>-403.89857077788429</v>
      </c>
      <c r="V1180" s="2">
        <f>IF(R1180="OVER",$J1180,$K1180)</f>
        <v>-403.89857077788429</v>
      </c>
      <c r="W1180" s="2">
        <f>IF(S1180="OVER",$J1180,$K1180)</f>
        <v>403.89857077788429</v>
      </c>
      <c r="X1180" s="2">
        <f>IF(T1180="OVER",$J1180,$K1180)</f>
        <v>403.89857077788429</v>
      </c>
      <c r="Y1180" s="9">
        <f t="shared" si="158"/>
        <v>-48307.847747677362</v>
      </c>
      <c r="Z1180" s="9">
        <f t="shared" si="158"/>
        <v>-45481.906993038683</v>
      </c>
      <c r="AA1180" s="9">
        <f t="shared" si="158"/>
        <v>63092.618913845021</v>
      </c>
      <c r="AB1180" s="9">
        <f t="shared" si="155"/>
        <v>28718.355746621735</v>
      </c>
    </row>
    <row r="1181" spans="1:28" x14ac:dyDescent="0.3">
      <c r="A1181" s="1">
        <v>46132</v>
      </c>
      <c r="B1181" s="2">
        <v>100.89</v>
      </c>
      <c r="C1181" s="2">
        <v>112.35</v>
      </c>
      <c r="D1181" s="9">
        <f>B1181-B1180</f>
        <v>0.37999999999999545</v>
      </c>
      <c r="E1181" s="9">
        <f>C1181-C1180</f>
        <v>0.28999999999999204</v>
      </c>
      <c r="F1181" s="3">
        <f>F$1/B1181</f>
        <v>991.17851124987612</v>
      </c>
      <c r="G1181" s="3">
        <f>F$1/C1181</f>
        <v>890.0756564307967</v>
      </c>
      <c r="H1181" s="2">
        <f>D1181*F1180</f>
        <v>378.07183364838863</v>
      </c>
      <c r="I1181" s="2">
        <f>E1181*G1180</f>
        <v>258.78993396394077</v>
      </c>
      <c r="J1181" s="2">
        <f>I1181-H1181</f>
        <v>-119.28189968444786</v>
      </c>
      <c r="K1181" s="2">
        <f t="shared" si="153"/>
        <v>119.28189968444786</v>
      </c>
      <c r="L1181" s="14">
        <f>C1181/B1181</f>
        <v>1.1135890573892357</v>
      </c>
      <c r="M1181" s="14">
        <f t="shared" si="156"/>
        <v>1.1131132578213836</v>
      </c>
      <c r="N1181" s="14">
        <f t="shared" si="160"/>
        <v>1.1139583410181522</v>
      </c>
      <c r="O1181" s="14">
        <f t="shared" si="152"/>
        <v>1.1114288843383875</v>
      </c>
      <c r="P1181" s="14">
        <f t="shared" si="154"/>
        <v>1.1030683285935512</v>
      </c>
      <c r="Q1181" s="4" t="str">
        <f t="shared" si="159"/>
        <v>OVER</v>
      </c>
      <c r="R1181" s="4" t="str">
        <f t="shared" si="159"/>
        <v>OVER</v>
      </c>
      <c r="S1181" s="4" t="str">
        <f t="shared" si="157"/>
        <v>OVER</v>
      </c>
      <c r="T1181" s="4" t="str">
        <f t="shared" si="157"/>
        <v>OVER</v>
      </c>
      <c r="U1181" s="2">
        <f>IF(Q1181="OVER",$J1181,$K1181)</f>
        <v>-119.28189968444786</v>
      </c>
      <c r="V1181" s="2">
        <f>IF(R1181="OVER",$J1181,$K1181)</f>
        <v>-119.28189968444786</v>
      </c>
      <c r="W1181" s="2">
        <f>IF(S1181="OVER",$J1181,$K1181)</f>
        <v>-119.28189968444786</v>
      </c>
      <c r="X1181" s="2">
        <f>IF(T1181="OVER",$J1181,$K1181)</f>
        <v>-119.28189968444786</v>
      </c>
      <c r="Y1181" s="9">
        <f t="shared" si="158"/>
        <v>-48427.129647361813</v>
      </c>
      <c r="Z1181" s="9">
        <f t="shared" si="158"/>
        <v>-45601.188892723134</v>
      </c>
      <c r="AA1181" s="9">
        <f t="shared" si="158"/>
        <v>62973.33701416057</v>
      </c>
      <c r="AB1181" s="9">
        <f t="shared" si="155"/>
        <v>28599.073846937288</v>
      </c>
    </row>
    <row r="1182" spans="1:28" x14ac:dyDescent="0.3">
      <c r="A1182" s="1">
        <v>46133</v>
      </c>
      <c r="B1182" s="2">
        <v>99.9</v>
      </c>
      <c r="C1182" s="2">
        <v>111.32</v>
      </c>
      <c r="D1182" s="9">
        <f>B1182-B1181</f>
        <v>-0.98999999999999488</v>
      </c>
      <c r="E1182" s="9">
        <f>C1182-C1181</f>
        <v>-1.0300000000000011</v>
      </c>
      <c r="F1182" s="3">
        <f>F$1/B1182</f>
        <v>1001.001001001001</v>
      </c>
      <c r="G1182" s="3">
        <f>F$1/C1182</f>
        <v>898.31117499101697</v>
      </c>
      <c r="H1182" s="2">
        <f>D1182*F1181</f>
        <v>-981.2667261373723</v>
      </c>
      <c r="I1182" s="2">
        <f>E1182*G1181</f>
        <v>-916.77792612372161</v>
      </c>
      <c r="J1182" s="2">
        <f>I1182-H1182</f>
        <v>64.488800013650689</v>
      </c>
      <c r="K1182" s="2">
        <f t="shared" si="153"/>
        <v>-64.488800013650689</v>
      </c>
      <c r="L1182" s="14">
        <f>C1182/B1182</f>
        <v>1.1143143143143142</v>
      </c>
      <c r="M1182" s="14">
        <f t="shared" si="156"/>
        <v>1.1131529586475293</v>
      </c>
      <c r="N1182" s="14">
        <f t="shared" si="160"/>
        <v>1.114044203412039</v>
      </c>
      <c r="O1182" s="14">
        <f t="shared" si="152"/>
        <v>1.1114884542861958</v>
      </c>
      <c r="P1182" s="14">
        <f t="shared" si="154"/>
        <v>1.103209093907602</v>
      </c>
      <c r="Q1182" s="4" t="str">
        <f t="shared" si="159"/>
        <v>OVER</v>
      </c>
      <c r="R1182" s="4" t="str">
        <f t="shared" si="159"/>
        <v>UNDER</v>
      </c>
      <c r="S1182" s="4" t="str">
        <f t="shared" si="157"/>
        <v>OVER</v>
      </c>
      <c r="T1182" s="4" t="str">
        <f t="shared" si="157"/>
        <v>OVER</v>
      </c>
      <c r="U1182" s="2">
        <f>IF(Q1182="OVER",$J1182,$K1182)</f>
        <v>64.488800013650689</v>
      </c>
      <c r="V1182" s="2">
        <f>IF(R1182="OVER",$J1182,$K1182)</f>
        <v>-64.488800013650689</v>
      </c>
      <c r="W1182" s="2">
        <f>IF(S1182="OVER",$J1182,$K1182)</f>
        <v>64.488800013650689</v>
      </c>
      <c r="X1182" s="2">
        <f>IF(T1182="OVER",$J1182,$K1182)</f>
        <v>64.488800013650689</v>
      </c>
      <c r="Y1182" s="9">
        <f t="shared" si="158"/>
        <v>-48362.640847348164</v>
      </c>
      <c r="Z1182" s="9">
        <f t="shared" si="158"/>
        <v>-45665.677692736783</v>
      </c>
      <c r="AA1182" s="9">
        <f t="shared" si="158"/>
        <v>63037.825814174219</v>
      </c>
      <c r="AB1182" s="9">
        <f t="shared" si="155"/>
        <v>28663.562646950937</v>
      </c>
    </row>
    <row r="1183" spans="1:28" x14ac:dyDescent="0.3">
      <c r="A1183" s="1">
        <v>46134</v>
      </c>
      <c r="B1183" s="2">
        <v>101</v>
      </c>
      <c r="C1183" s="2">
        <v>112.33</v>
      </c>
      <c r="D1183" s="9">
        <f>B1183-B1182</f>
        <v>1.0999999999999943</v>
      </c>
      <c r="E1183" s="9">
        <f>C1183-C1182</f>
        <v>1.0100000000000051</v>
      </c>
      <c r="F1183" s="3">
        <f>F$1/B1183</f>
        <v>990.09900990099015</v>
      </c>
      <c r="G1183" s="3">
        <f>F$1/C1183</f>
        <v>890.23413157660468</v>
      </c>
      <c r="H1183" s="2">
        <f>D1183*F1182</f>
        <v>1101.1011011010953</v>
      </c>
      <c r="I1183" s="2">
        <f>E1183*G1182</f>
        <v>907.29428674093174</v>
      </c>
      <c r="J1183" s="2">
        <f>I1183-H1183</f>
        <v>-193.80681436016357</v>
      </c>
      <c r="K1183" s="2">
        <f t="shared" si="153"/>
        <v>193.80681436016357</v>
      </c>
      <c r="L1183" s="14">
        <f>C1183/B1183</f>
        <v>1.1121782178217821</v>
      </c>
      <c r="M1183" s="14">
        <f t="shared" si="156"/>
        <v>1.1129588082334216</v>
      </c>
      <c r="N1183" s="14">
        <f t="shared" si="160"/>
        <v>1.1139039479053652</v>
      </c>
      <c r="O1183" s="14">
        <f t="shared" si="152"/>
        <v>1.1115956263041764</v>
      </c>
      <c r="P1183" s="14">
        <f t="shared" si="154"/>
        <v>1.1033338122167884</v>
      </c>
      <c r="Q1183" s="4" t="str">
        <f t="shared" si="159"/>
        <v>OVER</v>
      </c>
      <c r="R1183" s="4" t="str">
        <f t="shared" si="159"/>
        <v>OVER</v>
      </c>
      <c r="S1183" s="4" t="str">
        <f t="shared" si="157"/>
        <v>OVER</v>
      </c>
      <c r="T1183" s="4" t="str">
        <f t="shared" si="157"/>
        <v>OVER</v>
      </c>
      <c r="U1183" s="2">
        <f>IF(Q1183="OVER",$J1183,$K1183)</f>
        <v>-193.80681436016357</v>
      </c>
      <c r="V1183" s="2">
        <f>IF(R1183="OVER",$J1183,$K1183)</f>
        <v>-193.80681436016357</v>
      </c>
      <c r="W1183" s="2">
        <f>IF(S1183="OVER",$J1183,$K1183)</f>
        <v>-193.80681436016357</v>
      </c>
      <c r="X1183" s="2">
        <f>IF(T1183="OVER",$J1183,$K1183)</f>
        <v>-193.80681436016357</v>
      </c>
      <c r="Y1183" s="9">
        <f t="shared" si="158"/>
        <v>-48556.447661708327</v>
      </c>
      <c r="Z1183" s="9">
        <f t="shared" si="158"/>
        <v>-45859.484507096946</v>
      </c>
      <c r="AA1183" s="9">
        <f t="shared" si="158"/>
        <v>62844.018999814056</v>
      </c>
      <c r="AB1183" s="9">
        <f t="shared" si="155"/>
        <v>28469.755832590774</v>
      </c>
    </row>
    <row r="1184" spans="1:28" x14ac:dyDescent="0.3">
      <c r="A1184" s="1">
        <v>46135</v>
      </c>
      <c r="B1184" s="2">
        <v>100.92</v>
      </c>
      <c r="C1184" s="2">
        <v>112.01</v>
      </c>
      <c r="D1184" s="9">
        <f>B1184-B1183</f>
        <v>-7.9999999999998295E-2</v>
      </c>
      <c r="E1184" s="9">
        <f>C1184-C1183</f>
        <v>-0.31999999999999318</v>
      </c>
      <c r="F1184" s="3">
        <f>F$1/B1184</f>
        <v>990.88386841062231</v>
      </c>
      <c r="G1184" s="3">
        <f>F$1/C1184</f>
        <v>892.77743058655471</v>
      </c>
      <c r="H1184" s="2">
        <f>D1184*F1183</f>
        <v>-79.20792079207753</v>
      </c>
      <c r="I1184" s="2">
        <f>E1184*G1183</f>
        <v>-284.87492210450745</v>
      </c>
      <c r="J1184" s="2">
        <f>I1184-H1184</f>
        <v>-205.66700131242993</v>
      </c>
      <c r="K1184" s="2">
        <f t="shared" si="153"/>
        <v>205.66700131242993</v>
      </c>
      <c r="L1184" s="14">
        <f>C1184/B1184</f>
        <v>1.109889021006738</v>
      </c>
      <c r="M1184" s="14">
        <f t="shared" si="156"/>
        <v>1.1124981196181074</v>
      </c>
      <c r="N1184" s="14">
        <f t="shared" si="160"/>
        <v>1.1136063356334218</v>
      </c>
      <c r="O1184" s="14">
        <f t="shared" si="152"/>
        <v>1.1116599888154415</v>
      </c>
      <c r="P1184" s="14">
        <f t="shared" si="154"/>
        <v>1.1034554080018077</v>
      </c>
      <c r="Q1184" s="4" t="str">
        <f t="shared" si="159"/>
        <v>UNDER</v>
      </c>
      <c r="R1184" s="4" t="str">
        <f t="shared" si="159"/>
        <v>UNDER</v>
      </c>
      <c r="S1184" s="4" t="str">
        <f t="shared" si="157"/>
        <v>UNDER</v>
      </c>
      <c r="T1184" s="4" t="str">
        <f t="shared" si="157"/>
        <v>OVER</v>
      </c>
      <c r="U1184" s="2">
        <f>IF(Q1184="OVER",$J1184,$K1184)</f>
        <v>205.66700131242993</v>
      </c>
      <c r="V1184" s="2">
        <f>IF(R1184="OVER",$J1184,$K1184)</f>
        <v>205.66700131242993</v>
      </c>
      <c r="W1184" s="2">
        <f>IF(S1184="OVER",$J1184,$K1184)</f>
        <v>205.66700131242993</v>
      </c>
      <c r="X1184" s="2">
        <f>IF(T1184="OVER",$J1184,$K1184)</f>
        <v>-205.66700131242993</v>
      </c>
      <c r="Y1184" s="9">
        <f t="shared" si="158"/>
        <v>-48350.780660395896</v>
      </c>
      <c r="Z1184" s="9">
        <f t="shared" si="158"/>
        <v>-45653.817505784515</v>
      </c>
      <c r="AA1184" s="9">
        <f t="shared" si="158"/>
        <v>63049.686001126487</v>
      </c>
      <c r="AB1184" s="9">
        <f t="shared" si="155"/>
        <v>28264.088831278343</v>
      </c>
    </row>
    <row r="1185" spans="1:28" x14ac:dyDescent="0.3">
      <c r="A1185" s="1">
        <v>46136</v>
      </c>
      <c r="B1185" s="2">
        <v>100.78</v>
      </c>
      <c r="C1185" s="2">
        <v>112.19</v>
      </c>
      <c r="D1185" s="9">
        <f>B1185-B1184</f>
        <v>-0.14000000000000057</v>
      </c>
      <c r="E1185" s="9">
        <f>C1185-C1184</f>
        <v>0.17999999999999261</v>
      </c>
      <c r="F1185" s="3">
        <f>F$1/B1185</f>
        <v>992.26036912085726</v>
      </c>
      <c r="G1185" s="3">
        <f>F$1/C1185</f>
        <v>891.34503966485431</v>
      </c>
      <c r="H1185" s="2">
        <f>D1185*F1184</f>
        <v>-138.72374157748769</v>
      </c>
      <c r="I1185" s="2">
        <f>E1185*G1184</f>
        <v>160.69993750557325</v>
      </c>
      <c r="J1185" s="2">
        <f>I1185-H1185</f>
        <v>299.42367908306096</v>
      </c>
      <c r="K1185" s="2">
        <f t="shared" si="153"/>
        <v>-299.42367908306096</v>
      </c>
      <c r="L1185" s="14">
        <f>C1185/B1185</f>
        <v>1.1132169081166898</v>
      </c>
      <c r="M1185" s="14">
        <f t="shared" si="156"/>
        <v>1.1122757689789993</v>
      </c>
      <c r="N1185" s="14">
        <f t="shared" si="160"/>
        <v>1.113486802607669</v>
      </c>
      <c r="O1185" s="14">
        <f t="shared" si="152"/>
        <v>1.1118290888825373</v>
      </c>
      <c r="P1185" s="14">
        <f t="shared" si="154"/>
        <v>1.103594341811502</v>
      </c>
      <c r="Q1185" s="4" t="str">
        <f t="shared" si="159"/>
        <v>UNDER</v>
      </c>
      <c r="R1185" s="4" t="str">
        <f t="shared" si="159"/>
        <v>UNDER</v>
      </c>
      <c r="S1185" s="4" t="str">
        <f t="shared" si="157"/>
        <v>OVER</v>
      </c>
      <c r="T1185" s="4" t="str">
        <f t="shared" si="157"/>
        <v>OVER</v>
      </c>
      <c r="U1185" s="2">
        <f>IF(Q1185="OVER",$J1185,$K1185)</f>
        <v>-299.42367908306096</v>
      </c>
      <c r="V1185" s="2">
        <f>IF(R1185="OVER",$J1185,$K1185)</f>
        <v>-299.42367908306096</v>
      </c>
      <c r="W1185" s="2">
        <f>IF(S1185="OVER",$J1185,$K1185)</f>
        <v>299.42367908306096</v>
      </c>
      <c r="X1185" s="2">
        <f>IF(T1185="OVER",$J1185,$K1185)</f>
        <v>299.42367908306096</v>
      </c>
      <c r="Y1185" s="9">
        <f t="shared" si="158"/>
        <v>-48650.204339478958</v>
      </c>
      <c r="Z1185" s="9">
        <f t="shared" si="158"/>
        <v>-45953.241184867577</v>
      </c>
      <c r="AA1185" s="9">
        <f t="shared" si="158"/>
        <v>63349.109680209549</v>
      </c>
      <c r="AB1185" s="9">
        <f t="shared" si="155"/>
        <v>28563.512510361405</v>
      </c>
    </row>
    <row r="1186" spans="1:28" x14ac:dyDescent="0.3">
      <c r="A1186" s="1">
        <v>46139</v>
      </c>
      <c r="B1186" s="2">
        <v>100.71</v>
      </c>
      <c r="C1186" s="2">
        <v>111.95</v>
      </c>
      <c r="D1186" s="9">
        <f>B1186-B1185</f>
        <v>-7.000000000000739E-2</v>
      </c>
      <c r="E1186" s="9">
        <f>C1186-C1185</f>
        <v>-0.23999999999999488</v>
      </c>
      <c r="F1186" s="3">
        <f>F$1/B1186</f>
        <v>992.9500546122531</v>
      </c>
      <c r="G1186" s="3">
        <f>F$1/C1186</f>
        <v>893.25591782045558</v>
      </c>
      <c r="H1186" s="2">
        <f>D1186*F1185</f>
        <v>-69.458225838467342</v>
      </c>
      <c r="I1186" s="2">
        <f>E1186*G1185</f>
        <v>-213.92280951956047</v>
      </c>
      <c r="J1186" s="2">
        <f>I1186-H1186</f>
        <v>-144.46458368109313</v>
      </c>
      <c r="K1186" s="2">
        <f t="shared" si="153"/>
        <v>144.46458368109313</v>
      </c>
      <c r="L1186" s="14">
        <f>C1186/B1186</f>
        <v>1.1116075861384174</v>
      </c>
      <c r="M1186" s="14">
        <f t="shared" si="156"/>
        <v>1.1124945578339522</v>
      </c>
      <c r="N1186" s="14">
        <f t="shared" si="160"/>
        <v>1.1129264403490629</v>
      </c>
      <c r="O1186" s="14">
        <f t="shared" si="152"/>
        <v>1.1119464498481977</v>
      </c>
      <c r="P1186" s="14">
        <f t="shared" si="154"/>
        <v>1.1037282566212205</v>
      </c>
      <c r="Q1186" s="4" t="str">
        <f t="shared" si="159"/>
        <v>OVER</v>
      </c>
      <c r="R1186" s="4" t="str">
        <f t="shared" si="159"/>
        <v>UNDER</v>
      </c>
      <c r="S1186" s="4" t="str">
        <f t="shared" si="157"/>
        <v>UNDER</v>
      </c>
      <c r="T1186" s="4" t="str">
        <f t="shared" si="157"/>
        <v>OVER</v>
      </c>
      <c r="U1186" s="2">
        <f>IF(Q1186="OVER",$J1186,$K1186)</f>
        <v>-144.46458368109313</v>
      </c>
      <c r="V1186" s="2">
        <f>IF(R1186="OVER",$J1186,$K1186)</f>
        <v>144.46458368109313</v>
      </c>
      <c r="W1186" s="2">
        <f>IF(S1186="OVER",$J1186,$K1186)</f>
        <v>144.46458368109313</v>
      </c>
      <c r="X1186" s="2">
        <f>IF(T1186="OVER",$J1186,$K1186)</f>
        <v>-144.46458368109313</v>
      </c>
      <c r="Y1186" s="9">
        <f t="shared" si="158"/>
        <v>-48794.668923160054</v>
      </c>
      <c r="Z1186" s="9">
        <f t="shared" si="158"/>
        <v>-45808.776601186481</v>
      </c>
      <c r="AA1186" s="9">
        <f t="shared" si="158"/>
        <v>63493.574263890645</v>
      </c>
      <c r="AB1186" s="9">
        <f t="shared" si="155"/>
        <v>28419.047926680312</v>
      </c>
    </row>
    <row r="1187" spans="1:28" x14ac:dyDescent="0.3">
      <c r="A1187" s="1">
        <v>46140</v>
      </c>
      <c r="B1187" s="2">
        <v>99.17</v>
      </c>
      <c r="C1187" s="2">
        <v>110.1</v>
      </c>
      <c r="D1187" s="9">
        <f>B1187-B1186</f>
        <v>-1.539999999999992</v>
      </c>
      <c r="E1187" s="9">
        <f>C1187-C1186</f>
        <v>-1.8500000000000085</v>
      </c>
      <c r="F1187" s="3">
        <f>F$1/B1187</f>
        <v>1008.3694665725521</v>
      </c>
      <c r="G1187" s="3">
        <f>F$1/C1187</f>
        <v>908.26521344232526</v>
      </c>
      <c r="H1187" s="2">
        <f>D1187*F1186</f>
        <v>-1529.1430841028618</v>
      </c>
      <c r="I1187" s="2">
        <f>E1187*G1186</f>
        <v>-1652.5234479678504</v>
      </c>
      <c r="J1187" s="2">
        <f>I1187-H1187</f>
        <v>-123.38036386498857</v>
      </c>
      <c r="K1187" s="2">
        <f t="shared" si="153"/>
        <v>123.38036386498857</v>
      </c>
      <c r="L1187" s="14">
        <f>C1187/B1187</f>
        <v>1.11021478269638</v>
      </c>
      <c r="M1187" s="14">
        <f t="shared" si="156"/>
        <v>1.1124274080177952</v>
      </c>
      <c r="N1187" s="14">
        <f t="shared" si="160"/>
        <v>1.1127599557642056</v>
      </c>
      <c r="O1187" s="14">
        <f t="shared" si="152"/>
        <v>1.1119880113999141</v>
      </c>
      <c r="P1187" s="14">
        <f t="shared" si="154"/>
        <v>1.1038487600287821</v>
      </c>
      <c r="Q1187" s="4" t="str">
        <f t="shared" si="159"/>
        <v>UNDER</v>
      </c>
      <c r="R1187" s="4" t="str">
        <f t="shared" si="159"/>
        <v>UNDER</v>
      </c>
      <c r="S1187" s="4" t="str">
        <f t="shared" si="157"/>
        <v>UNDER</v>
      </c>
      <c r="T1187" s="4" t="str">
        <f t="shared" si="157"/>
        <v>OVER</v>
      </c>
      <c r="U1187" s="2">
        <f>IF(Q1187="OVER",$J1187,$K1187)</f>
        <v>123.38036386498857</v>
      </c>
      <c r="V1187" s="2">
        <f>IF(R1187="OVER",$J1187,$K1187)</f>
        <v>123.38036386498857</v>
      </c>
      <c r="W1187" s="2">
        <f>IF(S1187="OVER",$J1187,$K1187)</f>
        <v>123.38036386498857</v>
      </c>
      <c r="X1187" s="2">
        <f>IF(T1187="OVER",$J1187,$K1187)</f>
        <v>-123.38036386498857</v>
      </c>
      <c r="Y1187" s="9">
        <f t="shared" si="158"/>
        <v>-48671.288559295062</v>
      </c>
      <c r="Z1187" s="9">
        <f t="shared" si="158"/>
        <v>-45685.396237321489</v>
      </c>
      <c r="AA1187" s="9">
        <f t="shared" si="158"/>
        <v>63616.954627755636</v>
      </c>
      <c r="AB1187" s="9">
        <f t="shared" si="155"/>
        <v>28295.667562815324</v>
      </c>
    </row>
    <row r="1188" spans="1:28" x14ac:dyDescent="0.3">
      <c r="A1188" s="1">
        <v>46141</v>
      </c>
      <c r="B1188" s="2">
        <v>99.75</v>
      </c>
      <c r="C1188" s="2">
        <v>111.18</v>
      </c>
      <c r="D1188" s="9">
        <f>B1188-B1187</f>
        <v>0.57999999999999829</v>
      </c>
      <c r="E1188" s="9">
        <f>C1188-C1187</f>
        <v>1.0800000000000125</v>
      </c>
      <c r="F1188" s="3">
        <f>F$1/B1188</f>
        <v>1002.5062656641604</v>
      </c>
      <c r="G1188" s="3">
        <f>F$1/C1188</f>
        <v>899.44234574563768</v>
      </c>
      <c r="H1188" s="2">
        <f>D1188*F1187</f>
        <v>584.85429061207856</v>
      </c>
      <c r="I1188" s="2">
        <f>E1188*G1187</f>
        <v>980.92643051772268</v>
      </c>
      <c r="J1188" s="2">
        <f>I1188-H1188</f>
        <v>396.07213990564412</v>
      </c>
      <c r="K1188" s="2">
        <f t="shared" si="153"/>
        <v>-396.07213990564412</v>
      </c>
      <c r="L1188" s="14">
        <f>C1188/B1188</f>
        <v>1.1145864661654137</v>
      </c>
      <c r="M1188" s="14">
        <f t="shared" si="156"/>
        <v>1.1124955669033461</v>
      </c>
      <c r="N1188" s="14">
        <f t="shared" si="160"/>
        <v>1.1128784836179306</v>
      </c>
      <c r="O1188" s="14">
        <f t="shared" si="152"/>
        <v>1.1121632604531231</v>
      </c>
      <c r="P1188" s="14">
        <f t="shared" si="154"/>
        <v>1.1039919167452197</v>
      </c>
      <c r="Q1188" s="4" t="str">
        <f t="shared" si="159"/>
        <v>UNDER</v>
      </c>
      <c r="R1188" s="4" t="str">
        <f t="shared" si="159"/>
        <v>UNDER</v>
      </c>
      <c r="S1188" s="4" t="str">
        <f t="shared" si="157"/>
        <v>OVER</v>
      </c>
      <c r="T1188" s="4" t="str">
        <f t="shared" si="157"/>
        <v>OVER</v>
      </c>
      <c r="U1188" s="2">
        <f>IF(Q1188="OVER",$J1188,$K1188)</f>
        <v>-396.07213990564412</v>
      </c>
      <c r="V1188" s="2">
        <f>IF(R1188="OVER",$J1188,$K1188)</f>
        <v>-396.07213990564412</v>
      </c>
      <c r="W1188" s="2">
        <f>IF(S1188="OVER",$J1188,$K1188)</f>
        <v>396.07213990564412</v>
      </c>
      <c r="X1188" s="2">
        <f>IF(T1188="OVER",$J1188,$K1188)</f>
        <v>396.07213990564412</v>
      </c>
      <c r="Y1188" s="9">
        <f t="shared" si="158"/>
        <v>-49067.360699200704</v>
      </c>
      <c r="Z1188" s="9">
        <f t="shared" si="158"/>
        <v>-46081.468377227131</v>
      </c>
      <c r="AA1188" s="9">
        <f t="shared" si="158"/>
        <v>64013.026767661278</v>
      </c>
      <c r="AB1188" s="9">
        <f t="shared" si="155"/>
        <v>28691.73970272097</v>
      </c>
    </row>
    <row r="1189" spans="1:28" x14ac:dyDescent="0.3">
      <c r="A1189" s="1">
        <v>46142</v>
      </c>
      <c r="B1189" s="2">
        <v>101.04</v>
      </c>
      <c r="C1189" s="2">
        <v>112.71</v>
      </c>
      <c r="D1189" s="9">
        <f>B1189-B1188</f>
        <v>1.2900000000000063</v>
      </c>
      <c r="E1189" s="9">
        <f>C1189-C1188</f>
        <v>1.5299999999999869</v>
      </c>
      <c r="F1189" s="3">
        <f>F$1/B1189</f>
        <v>989.70704671417252</v>
      </c>
      <c r="G1189" s="3">
        <f>F$1/C1189</f>
        <v>887.23272114275585</v>
      </c>
      <c r="H1189" s="2">
        <f>D1189*F1188</f>
        <v>1293.2330827067733</v>
      </c>
      <c r="I1189" s="2">
        <f>E1189*G1188</f>
        <v>1376.146788990814</v>
      </c>
      <c r="J1189" s="2">
        <f>I1189-H1189</f>
        <v>82.9137062840407</v>
      </c>
      <c r="K1189" s="2">
        <f t="shared" si="153"/>
        <v>-82.9137062840407</v>
      </c>
      <c r="L1189" s="14">
        <f>C1189/B1189</f>
        <v>1.1154988123515439</v>
      </c>
      <c r="M1189" s="14">
        <f t="shared" si="156"/>
        <v>1.1130009104912066</v>
      </c>
      <c r="N1189" s="14">
        <f t="shared" si="160"/>
        <v>1.1130570145891361</v>
      </c>
      <c r="O1189" s="14">
        <f t="shared" si="152"/>
        <v>1.1123259392604745</v>
      </c>
      <c r="P1189" s="14">
        <f t="shared" si="154"/>
        <v>1.1041367184992854</v>
      </c>
      <c r="Q1189" s="4" t="str">
        <f t="shared" si="159"/>
        <v>OVER</v>
      </c>
      <c r="R1189" s="4" t="str">
        <f t="shared" si="159"/>
        <v>OVER</v>
      </c>
      <c r="S1189" s="4" t="str">
        <f t="shared" si="157"/>
        <v>OVER</v>
      </c>
      <c r="T1189" s="4" t="str">
        <f t="shared" si="157"/>
        <v>OVER</v>
      </c>
      <c r="U1189" s="2">
        <f>IF(Q1189="OVER",$J1189,$K1189)</f>
        <v>82.9137062840407</v>
      </c>
      <c r="V1189" s="2">
        <f>IF(R1189="OVER",$J1189,$K1189)</f>
        <v>82.9137062840407</v>
      </c>
      <c r="W1189" s="2">
        <f>IF(S1189="OVER",$J1189,$K1189)</f>
        <v>82.9137062840407</v>
      </c>
      <c r="X1189" s="2">
        <f>IF(T1189="OVER",$J1189,$K1189)</f>
        <v>82.9137062840407</v>
      </c>
      <c r="Y1189" s="9">
        <f t="shared" si="158"/>
        <v>-48984.446992916666</v>
      </c>
      <c r="Z1189" s="9">
        <f t="shared" si="158"/>
        <v>-45998.554670943093</v>
      </c>
      <c r="AA1189" s="9">
        <f t="shared" si="158"/>
        <v>64095.940473945317</v>
      </c>
      <c r="AB1189" s="9">
        <f t="shared" si="155"/>
        <v>28774.653409005012</v>
      </c>
    </row>
    <row r="1190" spans="1:28" x14ac:dyDescent="0.3">
      <c r="A1190" s="1">
        <v>46143</v>
      </c>
      <c r="B1190" s="2">
        <v>101.87</v>
      </c>
      <c r="C1190" s="2">
        <v>113.59</v>
      </c>
      <c r="D1190" s="9">
        <f>B1190-B1189</f>
        <v>0.82999999999999829</v>
      </c>
      <c r="E1190" s="9">
        <f>C1190-C1189</f>
        <v>0.88000000000000966</v>
      </c>
      <c r="F1190" s="3">
        <f>F$1/B1190</f>
        <v>981.64327083537842</v>
      </c>
      <c r="G1190" s="3">
        <f>F$1/C1190</f>
        <v>880.35918654811155</v>
      </c>
      <c r="H1190" s="2">
        <f>D1190*F1189</f>
        <v>821.45684877276153</v>
      </c>
      <c r="I1190" s="2">
        <f>E1190*G1189</f>
        <v>780.76479460563371</v>
      </c>
      <c r="J1190" s="2">
        <f>I1190-H1190</f>
        <v>-40.692054167127822</v>
      </c>
      <c r="K1190" s="2">
        <f t="shared" si="153"/>
        <v>40.692054167127822</v>
      </c>
      <c r="L1190" s="14">
        <f>C1190/B1190</f>
        <v>1.1150485913419064</v>
      </c>
      <c r="M1190" s="14">
        <f t="shared" si="156"/>
        <v>1.1130143757342421</v>
      </c>
      <c r="N1190" s="14">
        <f t="shared" si="160"/>
        <v>1.113134202998675</v>
      </c>
      <c r="O1190" s="14">
        <f t="shared" si="152"/>
        <v>1.1124622448417871</v>
      </c>
      <c r="P1190" s="14">
        <f t="shared" si="154"/>
        <v>1.1042806213472733</v>
      </c>
      <c r="Q1190" s="4" t="str">
        <f t="shared" si="159"/>
        <v>OVER</v>
      </c>
      <c r="R1190" s="4" t="str">
        <f t="shared" si="159"/>
        <v>OVER</v>
      </c>
      <c r="S1190" s="4" t="str">
        <f t="shared" si="157"/>
        <v>OVER</v>
      </c>
      <c r="T1190" s="4" t="str">
        <f t="shared" si="157"/>
        <v>OVER</v>
      </c>
      <c r="U1190" s="2">
        <f>IF(Q1190="OVER",$J1190,$K1190)</f>
        <v>-40.692054167127822</v>
      </c>
      <c r="V1190" s="2">
        <f>IF(R1190="OVER",$J1190,$K1190)</f>
        <v>-40.692054167127822</v>
      </c>
      <c r="W1190" s="2">
        <f>IF(S1190="OVER",$J1190,$K1190)</f>
        <v>-40.692054167127822</v>
      </c>
      <c r="X1190" s="2">
        <f>IF(T1190="OVER",$J1190,$K1190)</f>
        <v>-40.692054167127822</v>
      </c>
      <c r="Y1190" s="9">
        <f t="shared" si="158"/>
        <v>-49025.139047083794</v>
      </c>
      <c r="Z1190" s="9">
        <f t="shared" si="158"/>
        <v>-46039.246725110221</v>
      </c>
      <c r="AA1190" s="9">
        <f t="shared" si="158"/>
        <v>64055.248419778189</v>
      </c>
      <c r="AB1190" s="9">
        <f t="shared" si="155"/>
        <v>28733.961354837884</v>
      </c>
    </row>
    <row r="1191" spans="1:28" x14ac:dyDescent="0.3">
      <c r="A1191" s="1">
        <v>46146</v>
      </c>
      <c r="B1191" s="2">
        <v>102.42</v>
      </c>
      <c r="C1191" s="2">
        <v>114.62</v>
      </c>
      <c r="D1191" s="9">
        <f>B1191-B1190</f>
        <v>0.54999999999999716</v>
      </c>
      <c r="E1191" s="9">
        <f>C1191-C1190</f>
        <v>1.0300000000000011</v>
      </c>
      <c r="F1191" s="3">
        <f>F$1/B1191</f>
        <v>976.37180238234714</v>
      </c>
      <c r="G1191" s="3">
        <f>F$1/C1191</f>
        <v>872.44808933868433</v>
      </c>
      <c r="H1191" s="2">
        <f>D1191*F1190</f>
        <v>539.90379895945534</v>
      </c>
      <c r="I1191" s="2">
        <f>E1191*G1190</f>
        <v>906.76996214455585</v>
      </c>
      <c r="J1191" s="2">
        <f>I1191-H1191</f>
        <v>366.8661631851005</v>
      </c>
      <c r="K1191" s="2">
        <f t="shared" si="153"/>
        <v>-366.8661631851005</v>
      </c>
      <c r="L1191" s="14">
        <f>C1191/B1191</f>
        <v>1.1191173598906463</v>
      </c>
      <c r="M1191" s="14">
        <f t="shared" si="156"/>
        <v>1.1135672059843833</v>
      </c>
      <c r="N1191" s="14">
        <f t="shared" si="160"/>
        <v>1.1133402319028836</v>
      </c>
      <c r="O1191" s="14">
        <f t="shared" si="152"/>
        <v>1.1126446765704541</v>
      </c>
      <c r="P1191" s="14">
        <f t="shared" si="154"/>
        <v>1.1044133543731418</v>
      </c>
      <c r="Q1191" s="4" t="str">
        <f t="shared" si="159"/>
        <v>OVER</v>
      </c>
      <c r="R1191" s="4" t="str">
        <f t="shared" si="159"/>
        <v>OVER</v>
      </c>
      <c r="S1191" s="4" t="str">
        <f t="shared" si="157"/>
        <v>OVER</v>
      </c>
      <c r="T1191" s="4" t="str">
        <f t="shared" si="157"/>
        <v>OVER</v>
      </c>
      <c r="U1191" s="2">
        <f>IF(Q1191="OVER",$J1191,$K1191)</f>
        <v>366.8661631851005</v>
      </c>
      <c r="V1191" s="2">
        <f>IF(R1191="OVER",$J1191,$K1191)</f>
        <v>366.8661631851005</v>
      </c>
      <c r="W1191" s="2">
        <f>IF(S1191="OVER",$J1191,$K1191)</f>
        <v>366.8661631851005</v>
      </c>
      <c r="X1191" s="2">
        <f>IF(T1191="OVER",$J1191,$K1191)</f>
        <v>366.8661631851005</v>
      </c>
      <c r="Y1191" s="9">
        <f t="shared" si="158"/>
        <v>-48658.272883898695</v>
      </c>
      <c r="Z1191" s="9">
        <f t="shared" si="158"/>
        <v>-45672.380561925122</v>
      </c>
      <c r="AA1191" s="9">
        <f t="shared" si="158"/>
        <v>64422.114582963288</v>
      </c>
      <c r="AB1191" s="9">
        <f t="shared" si="155"/>
        <v>29100.827518022983</v>
      </c>
    </row>
    <row r="1192" spans="1:28" x14ac:dyDescent="0.3">
      <c r="A1192" s="1">
        <v>46147</v>
      </c>
      <c r="B1192" s="2">
        <v>103.9</v>
      </c>
      <c r="C1192" s="2">
        <v>115.91</v>
      </c>
      <c r="D1192" s="9">
        <f>B1192-B1191</f>
        <v>1.480000000000004</v>
      </c>
      <c r="E1192" s="9">
        <f>C1192-C1191</f>
        <v>1.289999999999992</v>
      </c>
      <c r="F1192" s="3">
        <f>F$1/B1192</f>
        <v>962.4639076034648</v>
      </c>
      <c r="G1192" s="3">
        <f>F$1/C1192</f>
        <v>862.73833146406696</v>
      </c>
      <c r="H1192" s="2">
        <f>D1192*F1191</f>
        <v>1445.0302675258777</v>
      </c>
      <c r="I1192" s="2">
        <f>E1192*G1191</f>
        <v>1125.4580352468959</v>
      </c>
      <c r="J1192" s="2">
        <f>I1192-H1192</f>
        <v>-319.5722322789818</v>
      </c>
      <c r="K1192" s="2">
        <f t="shared" si="153"/>
        <v>319.5722322789818</v>
      </c>
      <c r="L1192" s="14">
        <f>C1192/B1192</f>
        <v>1.1155919153031761</v>
      </c>
      <c r="M1192" s="14">
        <f t="shared" si="156"/>
        <v>1.1136949660832693</v>
      </c>
      <c r="N1192" s="14">
        <f t="shared" si="160"/>
        <v>1.1134239623653994</v>
      </c>
      <c r="O1192" s="14">
        <f t="shared" si="152"/>
        <v>1.1127808004390374</v>
      </c>
      <c r="P1192" s="14">
        <f t="shared" si="154"/>
        <v>1.104553469132191</v>
      </c>
      <c r="Q1192" s="4" t="str">
        <f t="shared" si="159"/>
        <v>OVER</v>
      </c>
      <c r="R1192" s="4" t="str">
        <f t="shared" si="159"/>
        <v>OVER</v>
      </c>
      <c r="S1192" s="4" t="str">
        <f t="shared" si="157"/>
        <v>OVER</v>
      </c>
      <c r="T1192" s="4" t="str">
        <f t="shared" si="157"/>
        <v>OVER</v>
      </c>
      <c r="U1192" s="2">
        <f>IF(Q1192="OVER",$J1192,$K1192)</f>
        <v>-319.5722322789818</v>
      </c>
      <c r="V1192" s="2">
        <f>IF(R1192="OVER",$J1192,$K1192)</f>
        <v>-319.5722322789818</v>
      </c>
      <c r="W1192" s="2">
        <f>IF(S1192="OVER",$J1192,$K1192)</f>
        <v>-319.5722322789818</v>
      </c>
      <c r="X1192" s="2">
        <f>IF(T1192="OVER",$J1192,$K1192)</f>
        <v>-319.5722322789818</v>
      </c>
      <c r="Y1192" s="9">
        <f t="shared" si="158"/>
        <v>-48977.845116177676</v>
      </c>
      <c r="Z1192" s="9">
        <f t="shared" si="158"/>
        <v>-45991.952794204102</v>
      </c>
      <c r="AA1192" s="9">
        <f t="shared" si="158"/>
        <v>64102.542350684307</v>
      </c>
      <c r="AB1192" s="9">
        <f t="shared" si="155"/>
        <v>28781.255285744002</v>
      </c>
    </row>
    <row r="1193" spans="1:28" x14ac:dyDescent="0.3">
      <c r="A1193" s="1">
        <v>46148</v>
      </c>
      <c r="B1193" s="2">
        <v>105.65</v>
      </c>
      <c r="C1193" s="2">
        <v>118.29</v>
      </c>
      <c r="D1193" s="9">
        <f>B1193-B1192</f>
        <v>1.75</v>
      </c>
      <c r="E1193" s="9">
        <f>C1193-C1192</f>
        <v>2.3800000000000097</v>
      </c>
      <c r="F1193" s="3">
        <f>F$1/B1193</f>
        <v>946.52153336488402</v>
      </c>
      <c r="G1193" s="3">
        <f>F$1/C1193</f>
        <v>845.37999830923991</v>
      </c>
      <c r="H1193" s="2">
        <f>D1193*F1192</f>
        <v>1684.3118383060635</v>
      </c>
      <c r="I1193" s="2">
        <f>E1193*G1192</f>
        <v>2053.3172288844876</v>
      </c>
      <c r="J1193" s="2">
        <f>I1193-H1193</f>
        <v>369.00539057842411</v>
      </c>
      <c r="K1193" s="2">
        <f t="shared" si="153"/>
        <v>-369.00539057842411</v>
      </c>
      <c r="L1193" s="14">
        <f>C1193/B1193</f>
        <v>1.1196403218173214</v>
      </c>
      <c r="M1193" s="14">
        <f t="shared" si="156"/>
        <v>1.1144411764828233</v>
      </c>
      <c r="N1193" s="14">
        <f t="shared" si="160"/>
        <v>1.1136999923581226</v>
      </c>
      <c r="O1193" s="14">
        <f t="shared" si="152"/>
        <v>1.1130684546258842</v>
      </c>
      <c r="P1193" s="14">
        <f t="shared" si="154"/>
        <v>1.1046979278034244</v>
      </c>
      <c r="Q1193" s="4" t="str">
        <f t="shared" si="159"/>
        <v>OVER</v>
      </c>
      <c r="R1193" s="4" t="str">
        <f t="shared" si="159"/>
        <v>OVER</v>
      </c>
      <c r="S1193" s="4" t="str">
        <f t="shared" si="157"/>
        <v>OVER</v>
      </c>
      <c r="T1193" s="4" t="str">
        <f t="shared" si="157"/>
        <v>OVER</v>
      </c>
      <c r="U1193" s="2">
        <f>IF(Q1193="OVER",$J1193,$K1193)</f>
        <v>369.00539057842411</v>
      </c>
      <c r="V1193" s="2">
        <f>IF(R1193="OVER",$J1193,$K1193)</f>
        <v>369.00539057842411</v>
      </c>
      <c r="W1193" s="2">
        <f>IF(S1193="OVER",$J1193,$K1193)</f>
        <v>369.00539057842411</v>
      </c>
      <c r="X1193" s="2">
        <f>IF(T1193="OVER",$J1193,$K1193)</f>
        <v>369.00539057842411</v>
      </c>
      <c r="Y1193" s="9">
        <f t="shared" si="158"/>
        <v>-48608.839725599253</v>
      </c>
      <c r="Z1193" s="9">
        <f t="shared" si="158"/>
        <v>-45622.94740362568</v>
      </c>
      <c r="AA1193" s="9">
        <f t="shared" si="158"/>
        <v>64471.54774126273</v>
      </c>
      <c r="AB1193" s="9">
        <f t="shared" si="155"/>
        <v>29150.260676322425</v>
      </c>
    </row>
    <row r="1194" spans="1:28" x14ac:dyDescent="0.3">
      <c r="A1194" s="1">
        <v>46149</v>
      </c>
      <c r="B1194" s="2">
        <v>104.28</v>
      </c>
      <c r="C1194" s="2">
        <v>116.45</v>
      </c>
      <c r="D1194" s="9">
        <f>B1194-B1193</f>
        <v>-1.3700000000000045</v>
      </c>
      <c r="E1194" s="9">
        <f>C1194-C1193</f>
        <v>-1.8400000000000034</v>
      </c>
      <c r="F1194" s="3">
        <f>F$1/B1194</f>
        <v>958.95665515918677</v>
      </c>
      <c r="G1194" s="3">
        <f>F$1/C1194</f>
        <v>858.7376556462001</v>
      </c>
      <c r="H1194" s="2">
        <f>D1194*F1193</f>
        <v>-1296.7345007098954</v>
      </c>
      <c r="I1194" s="2">
        <f>E1194*G1193</f>
        <v>-1555.4991968890042</v>
      </c>
      <c r="J1194" s="2">
        <f>I1194-H1194</f>
        <v>-258.7646961791088</v>
      </c>
      <c r="K1194" s="2">
        <f t="shared" si="153"/>
        <v>258.7646961791088</v>
      </c>
      <c r="L1194" s="14">
        <f>C1194/B1194</f>
        <v>1.1167050249328732</v>
      </c>
      <c r="M1194" s="14">
        <f t="shared" si="156"/>
        <v>1.1151227768754368</v>
      </c>
      <c r="N1194" s="14">
        <f t="shared" si="160"/>
        <v>1.1138104482467719</v>
      </c>
      <c r="O1194" s="14">
        <f t="shared" si="152"/>
        <v>1.1132963012027679</v>
      </c>
      <c r="P1194" s="14">
        <f t="shared" si="154"/>
        <v>1.1048393797573572</v>
      </c>
      <c r="Q1194" s="4" t="str">
        <f t="shared" si="159"/>
        <v>OVER</v>
      </c>
      <c r="R1194" s="4" t="str">
        <f t="shared" si="159"/>
        <v>OVER</v>
      </c>
      <c r="S1194" s="4" t="str">
        <f t="shared" si="157"/>
        <v>OVER</v>
      </c>
      <c r="T1194" s="4" t="str">
        <f t="shared" si="157"/>
        <v>OVER</v>
      </c>
      <c r="U1194" s="2">
        <f>IF(Q1194="OVER",$J1194,$K1194)</f>
        <v>-258.7646961791088</v>
      </c>
      <c r="V1194" s="2">
        <f>IF(R1194="OVER",$J1194,$K1194)</f>
        <v>-258.7646961791088</v>
      </c>
      <c r="W1194" s="2">
        <f>IF(S1194="OVER",$J1194,$K1194)</f>
        <v>-258.7646961791088</v>
      </c>
      <c r="X1194" s="2">
        <f>IF(T1194="OVER",$J1194,$K1194)</f>
        <v>-258.7646961791088</v>
      </c>
      <c r="Y1194" s="9">
        <f t="shared" si="158"/>
        <v>-48867.604421778364</v>
      </c>
      <c r="Z1194" s="9">
        <f t="shared" si="158"/>
        <v>-45881.71209980479</v>
      </c>
      <c r="AA1194" s="9">
        <f t="shared" si="158"/>
        <v>64212.783045083619</v>
      </c>
      <c r="AB1194" s="9">
        <f t="shared" si="155"/>
        <v>28891.495980143314</v>
      </c>
    </row>
    <row r="1195" spans="1:28" x14ac:dyDescent="0.3">
      <c r="A1195" s="1">
        <v>46150</v>
      </c>
      <c r="B1195" s="2">
        <v>104.68</v>
      </c>
      <c r="C1195" s="2">
        <v>116.76</v>
      </c>
      <c r="D1195" s="9">
        <f>B1195-B1194</f>
        <v>0.40000000000000568</v>
      </c>
      <c r="E1195" s="9">
        <f>C1195-C1194</f>
        <v>0.31000000000000227</v>
      </c>
      <c r="F1195" s="3">
        <f>F$1/B1195</f>
        <v>955.29231944975152</v>
      </c>
      <c r="G1195" s="3">
        <f>F$1/C1195</f>
        <v>856.45769099006509</v>
      </c>
      <c r="H1195" s="2">
        <f>D1195*F1194</f>
        <v>383.58266206368017</v>
      </c>
      <c r="I1195" s="2">
        <f>E1195*G1194</f>
        <v>266.20867325032395</v>
      </c>
      <c r="J1195" s="2">
        <f>I1195-H1195</f>
        <v>-117.37398881335622</v>
      </c>
      <c r="K1195" s="2">
        <f t="shared" si="153"/>
        <v>117.37398881335622</v>
      </c>
      <c r="L1195" s="14">
        <f>C1195/B1195</f>
        <v>1.11539931218953</v>
      </c>
      <c r="M1195" s="14">
        <f t="shared" si="156"/>
        <v>1.1153410172827207</v>
      </c>
      <c r="N1195" s="14">
        <f t="shared" si="160"/>
        <v>1.1138083931308602</v>
      </c>
      <c r="O1195" s="14">
        <f t="shared" si="152"/>
        <v>1.1134332555753057</v>
      </c>
      <c r="P1195" s="14">
        <f t="shared" si="154"/>
        <v>1.1049713593373938</v>
      </c>
      <c r="Q1195" s="4" t="str">
        <f t="shared" si="159"/>
        <v>OVER</v>
      </c>
      <c r="R1195" s="4" t="str">
        <f t="shared" si="159"/>
        <v>OVER</v>
      </c>
      <c r="S1195" s="4" t="str">
        <f t="shared" si="157"/>
        <v>OVER</v>
      </c>
      <c r="T1195" s="4" t="str">
        <f t="shared" si="157"/>
        <v>OVER</v>
      </c>
      <c r="U1195" s="2">
        <f>IF(Q1195="OVER",$J1195,$K1195)</f>
        <v>-117.37398881335622</v>
      </c>
      <c r="V1195" s="2">
        <f>IF(R1195="OVER",$J1195,$K1195)</f>
        <v>-117.37398881335622</v>
      </c>
      <c r="W1195" s="2">
        <f>IF(S1195="OVER",$J1195,$K1195)</f>
        <v>-117.37398881335622</v>
      </c>
      <c r="X1195" s="2">
        <f>IF(T1195="OVER",$J1195,$K1195)</f>
        <v>-117.37398881335622</v>
      </c>
      <c r="Y1195" s="9">
        <f t="shared" si="158"/>
        <v>-48984.978410591721</v>
      </c>
      <c r="Z1195" s="9">
        <f t="shared" si="158"/>
        <v>-45999.086088618147</v>
      </c>
      <c r="AA1195" s="9">
        <f t="shared" si="158"/>
        <v>64095.409056270262</v>
      </c>
      <c r="AB1195" s="9">
        <f t="shared" si="155"/>
        <v>28774.121991329957</v>
      </c>
    </row>
    <row r="1196" spans="1:28" x14ac:dyDescent="0.3">
      <c r="A1196" s="1">
        <v>46153</v>
      </c>
      <c r="B1196" s="2">
        <v>106</v>
      </c>
      <c r="C1196" s="2">
        <v>118.47</v>
      </c>
      <c r="D1196" s="9">
        <f>B1196-B1195</f>
        <v>1.3199999999999932</v>
      </c>
      <c r="E1196" s="9">
        <f>C1196-C1195</f>
        <v>1.7099999999999937</v>
      </c>
      <c r="F1196" s="3">
        <f>F$1/B1196</f>
        <v>943.39622641509436</v>
      </c>
      <c r="G1196" s="3">
        <f>F$1/C1196</f>
        <v>844.095551616443</v>
      </c>
      <c r="H1196" s="2">
        <f>D1196*F1195</f>
        <v>1260.9858616736656</v>
      </c>
      <c r="I1196" s="2">
        <f>E1196*G1195</f>
        <v>1464.542651593006</v>
      </c>
      <c r="J1196" s="2">
        <f>I1196-H1196</f>
        <v>203.55678991934042</v>
      </c>
      <c r="K1196" s="2">
        <f t="shared" si="153"/>
        <v>-203.55678991934042</v>
      </c>
      <c r="L1196" s="14">
        <f>C1196/B1196</f>
        <v>1.1176415094339622</v>
      </c>
      <c r="M1196" s="14">
        <f t="shared" si="156"/>
        <v>1.1159444096122753</v>
      </c>
      <c r="N1196" s="14">
        <f t="shared" si="160"/>
        <v>1.1142194837231139</v>
      </c>
      <c r="O1196" s="14">
        <f t="shared" si="152"/>
        <v>1.1135822290146735</v>
      </c>
      <c r="P1196" s="14">
        <f t="shared" si="154"/>
        <v>1.1051169593104047</v>
      </c>
      <c r="Q1196" s="4" t="str">
        <f t="shared" si="159"/>
        <v>OVER</v>
      </c>
      <c r="R1196" s="4" t="str">
        <f t="shared" si="159"/>
        <v>OVER</v>
      </c>
      <c r="S1196" s="4" t="str">
        <f t="shared" si="157"/>
        <v>OVER</v>
      </c>
      <c r="T1196" s="4" t="str">
        <f t="shared" si="157"/>
        <v>OVER</v>
      </c>
      <c r="U1196" s="2">
        <f>IF(Q1196="OVER",$J1196,$K1196)</f>
        <v>203.55678991934042</v>
      </c>
      <c r="V1196" s="2">
        <f>IF(R1196="OVER",$J1196,$K1196)</f>
        <v>203.55678991934042</v>
      </c>
      <c r="W1196" s="2">
        <f>IF(S1196="OVER",$J1196,$K1196)</f>
        <v>203.55678991934042</v>
      </c>
      <c r="X1196" s="2">
        <f>IF(T1196="OVER",$J1196,$K1196)</f>
        <v>203.55678991934042</v>
      </c>
      <c r="Y1196" s="9">
        <f t="shared" si="158"/>
        <v>-48781.42162067238</v>
      </c>
      <c r="Z1196" s="9">
        <f t="shared" si="158"/>
        <v>-45795.529298698806</v>
      </c>
      <c r="AA1196" s="9">
        <f t="shared" si="158"/>
        <v>64298.965846189603</v>
      </c>
      <c r="AB1196" s="9">
        <f t="shared" si="155"/>
        <v>28977.678781249298</v>
      </c>
    </row>
    <row r="1197" spans="1:28" x14ac:dyDescent="0.3">
      <c r="A1197" s="1">
        <v>46154</v>
      </c>
      <c r="B1197" s="2">
        <v>104.81</v>
      </c>
      <c r="C1197" s="2">
        <v>116.96</v>
      </c>
      <c r="D1197" s="9">
        <f>B1197-B1196</f>
        <v>-1.1899999999999977</v>
      </c>
      <c r="E1197" s="9">
        <f>C1197-C1196</f>
        <v>-1.5100000000000051</v>
      </c>
      <c r="F1197" s="3">
        <f>F$1/B1197</f>
        <v>954.10743249689915</v>
      </c>
      <c r="G1197" s="3">
        <f>F$1/C1197</f>
        <v>854.99316005471962</v>
      </c>
      <c r="H1197" s="2">
        <f>D1197*F1196</f>
        <v>-1122.6415094339602</v>
      </c>
      <c r="I1197" s="2">
        <f>E1197*G1196</f>
        <v>-1274.5842829408332</v>
      </c>
      <c r="J1197" s="2">
        <f>I1197-H1197</f>
        <v>-151.94277350687298</v>
      </c>
      <c r="K1197" s="2">
        <f t="shared" si="153"/>
        <v>151.94277350687298</v>
      </c>
      <c r="L1197" s="14">
        <f>C1197/B1197</f>
        <v>1.1159240530483732</v>
      </c>
      <c r="M1197" s="14">
        <f t="shared" si="156"/>
        <v>1.1165153366474745</v>
      </c>
      <c r="N1197" s="14">
        <f t="shared" si="160"/>
        <v>1.1144713723326349</v>
      </c>
      <c r="O1197" s="14">
        <f t="shared" si="152"/>
        <v>1.1136060087879063</v>
      </c>
      <c r="P1197" s="14">
        <f t="shared" si="154"/>
        <v>1.1052548689722486</v>
      </c>
      <c r="Q1197" s="4" t="str">
        <f t="shared" si="159"/>
        <v>OVER</v>
      </c>
      <c r="R1197" s="4" t="str">
        <f t="shared" si="159"/>
        <v>OVER</v>
      </c>
      <c r="S1197" s="4" t="str">
        <f t="shared" si="157"/>
        <v>OVER</v>
      </c>
      <c r="T1197" s="4" t="str">
        <f t="shared" si="157"/>
        <v>OVER</v>
      </c>
      <c r="U1197" s="2">
        <f>IF(Q1197="OVER",$J1197,$K1197)</f>
        <v>-151.94277350687298</v>
      </c>
      <c r="V1197" s="2">
        <f>IF(R1197="OVER",$J1197,$K1197)</f>
        <v>-151.94277350687298</v>
      </c>
      <c r="W1197" s="2">
        <f>IF(S1197="OVER",$J1197,$K1197)</f>
        <v>-151.94277350687298</v>
      </c>
      <c r="X1197" s="2">
        <f>IF(T1197="OVER",$J1197,$K1197)</f>
        <v>-151.94277350687298</v>
      </c>
      <c r="Y1197" s="9">
        <f t="shared" si="158"/>
        <v>-48933.364394179254</v>
      </c>
      <c r="Z1197" s="9">
        <f t="shared" si="158"/>
        <v>-45947.472072205681</v>
      </c>
      <c r="AA1197" s="9">
        <f t="shared" si="158"/>
        <v>64147.023072682729</v>
      </c>
      <c r="AB1197" s="9">
        <f t="shared" si="155"/>
        <v>28825.736007742424</v>
      </c>
    </row>
    <row r="1198" spans="1:28" x14ac:dyDescent="0.3">
      <c r="A1198" s="1">
        <v>46155</v>
      </c>
      <c r="B1198" s="2">
        <v>106.04</v>
      </c>
      <c r="C1198" s="2">
        <v>118.62</v>
      </c>
      <c r="D1198" s="9">
        <f>B1198-B1197</f>
        <v>1.230000000000004</v>
      </c>
      <c r="E1198" s="9">
        <f>C1198-C1197</f>
        <v>1.6600000000000108</v>
      </c>
      <c r="F1198" s="3">
        <f>F$1/B1198</f>
        <v>943.04036212749895</v>
      </c>
      <c r="G1198" s="3">
        <f>F$1/C1198</f>
        <v>843.02815714044846</v>
      </c>
      <c r="H1198" s="2">
        <f>D1198*F1197</f>
        <v>1173.5521419711897</v>
      </c>
      <c r="I1198" s="2">
        <f>E1198*G1197</f>
        <v>1419.2886456908439</v>
      </c>
      <c r="J1198" s="2">
        <f>I1198-H1198</f>
        <v>245.73650371965414</v>
      </c>
      <c r="K1198" s="2">
        <f t="shared" si="153"/>
        <v>-245.73650371965414</v>
      </c>
      <c r="L1198" s="14">
        <f>C1198/B1198</f>
        <v>1.1186344775556394</v>
      </c>
      <c r="M1198" s="14">
        <f t="shared" si="156"/>
        <v>1.1169201377864972</v>
      </c>
      <c r="N1198" s="14">
        <f t="shared" si="160"/>
        <v>1.1147078523449216</v>
      </c>
      <c r="O1198" s="14">
        <f t="shared" si="152"/>
        <v>1.1137805891856025</v>
      </c>
      <c r="P1198" s="14">
        <f t="shared" si="154"/>
        <v>1.1053973950615548</v>
      </c>
      <c r="Q1198" s="4" t="str">
        <f t="shared" si="159"/>
        <v>UNDER</v>
      </c>
      <c r="R1198" s="4" t="str">
        <f t="shared" si="159"/>
        <v>OVER</v>
      </c>
      <c r="S1198" s="4" t="str">
        <f t="shared" si="157"/>
        <v>OVER</v>
      </c>
      <c r="T1198" s="4" t="str">
        <f t="shared" si="157"/>
        <v>OVER</v>
      </c>
      <c r="U1198" s="2">
        <f>IF(Q1198="OVER",$J1198,$K1198)</f>
        <v>-245.73650371965414</v>
      </c>
      <c r="V1198" s="2">
        <f>IF(R1198="OVER",$J1198,$K1198)</f>
        <v>245.73650371965414</v>
      </c>
      <c r="W1198" s="2">
        <f>IF(S1198="OVER",$J1198,$K1198)</f>
        <v>245.73650371965414</v>
      </c>
      <c r="X1198" s="2">
        <f>IF(T1198="OVER",$J1198,$K1198)</f>
        <v>245.73650371965414</v>
      </c>
      <c r="Y1198" s="9">
        <f t="shared" si="158"/>
        <v>-49179.100897898912</v>
      </c>
      <c r="Z1198" s="9">
        <f t="shared" si="158"/>
        <v>-45701.735568486023</v>
      </c>
      <c r="AA1198" s="9">
        <f t="shared" si="158"/>
        <v>64392.759576402386</v>
      </c>
      <c r="AB1198" s="9">
        <f t="shared" si="155"/>
        <v>29071.472511462078</v>
      </c>
    </row>
    <row r="1199" spans="1:28" x14ac:dyDescent="0.3">
      <c r="A1199" s="1">
        <v>46156</v>
      </c>
      <c r="B1199" s="2">
        <v>106.57</v>
      </c>
      <c r="C1199" s="2">
        <v>119.18</v>
      </c>
      <c r="D1199" s="9">
        <f>B1199-B1198</f>
        <v>0.52999999999998693</v>
      </c>
      <c r="E1199" s="9">
        <f>C1199-C1198</f>
        <v>0.56000000000000227</v>
      </c>
      <c r="F1199" s="3">
        <f>F$1/B1199</f>
        <v>938.35038003190402</v>
      </c>
      <c r="G1199" s="3">
        <f>F$1/C1199</f>
        <v>839.06695754321186</v>
      </c>
      <c r="H1199" s="2">
        <f>D1199*F1198</f>
        <v>499.81139192756211</v>
      </c>
      <c r="I1199" s="2">
        <f>E1199*G1198</f>
        <v>472.09576799865306</v>
      </c>
      <c r="J1199" s="2">
        <f>I1199-H1199</f>
        <v>-27.715623928909054</v>
      </c>
      <c r="K1199" s="2">
        <f t="shared" si="153"/>
        <v>27.715623928909054</v>
      </c>
      <c r="L1199" s="14">
        <f>C1199/B1199</f>
        <v>1.1183259829220231</v>
      </c>
      <c r="M1199" s="14">
        <f t="shared" si="156"/>
        <v>1.1172028548435453</v>
      </c>
      <c r="N1199" s="14">
        <f t="shared" si="160"/>
        <v>1.115101882667376</v>
      </c>
      <c r="O1199" s="14">
        <f t="shared" si="152"/>
        <v>1.1139277238030811</v>
      </c>
      <c r="P1199" s="14">
        <f t="shared" si="154"/>
        <v>1.1055325983473363</v>
      </c>
      <c r="Q1199" s="4" t="str">
        <f t="shared" si="159"/>
        <v>OVER</v>
      </c>
      <c r="R1199" s="4" t="str">
        <f t="shared" si="159"/>
        <v>OVER</v>
      </c>
      <c r="S1199" s="4" t="str">
        <f t="shared" si="157"/>
        <v>OVER</v>
      </c>
      <c r="T1199" s="4" t="str">
        <f t="shared" si="157"/>
        <v>OVER</v>
      </c>
      <c r="U1199" s="2">
        <f>IF(Q1199="OVER",$J1199,$K1199)</f>
        <v>-27.715623928909054</v>
      </c>
      <c r="V1199" s="2">
        <f>IF(R1199="OVER",$J1199,$K1199)</f>
        <v>-27.715623928909054</v>
      </c>
      <c r="W1199" s="2">
        <f>IF(S1199="OVER",$J1199,$K1199)</f>
        <v>-27.715623928909054</v>
      </c>
      <c r="X1199" s="2">
        <f>IF(T1199="OVER",$J1199,$K1199)</f>
        <v>-27.715623928909054</v>
      </c>
      <c r="Y1199" s="9">
        <f t="shared" si="158"/>
        <v>-49206.816521827823</v>
      </c>
      <c r="Z1199" s="9">
        <f t="shared" si="158"/>
        <v>-45729.451192414934</v>
      </c>
      <c r="AA1199" s="9">
        <f t="shared" si="158"/>
        <v>64365.043952473476</v>
      </c>
      <c r="AB1199" s="9">
        <f t="shared" si="155"/>
        <v>29043.756887533167</v>
      </c>
    </row>
    <row r="1200" spans="1:28" x14ac:dyDescent="0.3">
      <c r="A1200" s="1">
        <v>46157</v>
      </c>
      <c r="B1200" s="2">
        <v>104.5</v>
      </c>
      <c r="C1200" s="2">
        <v>117.19</v>
      </c>
      <c r="D1200" s="9">
        <f>B1200-B1199</f>
        <v>-2.0699999999999932</v>
      </c>
      <c r="E1200" s="9">
        <f>C1200-C1199</f>
        <v>-1.9900000000000091</v>
      </c>
      <c r="F1200" s="3">
        <f>F$1/B1200</f>
        <v>956.93779904306223</v>
      </c>
      <c r="G1200" s="3">
        <f>F$1/C1200</f>
        <v>853.31512927724214</v>
      </c>
      <c r="H1200" s="2">
        <f>D1200*F1199</f>
        <v>-1942.385286666035</v>
      </c>
      <c r="I1200" s="2">
        <f>E1200*G1199</f>
        <v>-1669.7432455109993</v>
      </c>
      <c r="J1200" s="2">
        <f>I1200-H1200</f>
        <v>272.64204115503571</v>
      </c>
      <c r="K1200" s="2">
        <f t="shared" si="153"/>
        <v>-272.64204115503571</v>
      </c>
      <c r="L1200" s="14">
        <f>C1200/B1200</f>
        <v>1.1214354066985646</v>
      </c>
      <c r="M1200" s="14">
        <f t="shared" si="156"/>
        <v>1.1178415363792111</v>
      </c>
      <c r="N1200" s="14">
        <f t="shared" si="160"/>
        <v>1.1154279560567264</v>
      </c>
      <c r="O1200" s="14">
        <f t="shared" si="152"/>
        <v>1.1141487793145246</v>
      </c>
      <c r="P1200" s="14">
        <f t="shared" si="154"/>
        <v>1.1056926735900658</v>
      </c>
      <c r="Q1200" s="4" t="str">
        <f t="shared" si="159"/>
        <v>OVER</v>
      </c>
      <c r="R1200" s="4" t="str">
        <f t="shared" si="159"/>
        <v>OVER</v>
      </c>
      <c r="S1200" s="4" t="str">
        <f t="shared" si="157"/>
        <v>OVER</v>
      </c>
      <c r="T1200" s="4" t="str">
        <f t="shared" si="157"/>
        <v>OVER</v>
      </c>
      <c r="U1200" s="2">
        <f>IF(Q1200="OVER",$J1200,$K1200)</f>
        <v>272.64204115503571</v>
      </c>
      <c r="V1200" s="2">
        <f>IF(R1200="OVER",$J1200,$K1200)</f>
        <v>272.64204115503571</v>
      </c>
      <c r="W1200" s="2">
        <f>IF(S1200="OVER",$J1200,$K1200)</f>
        <v>272.64204115503571</v>
      </c>
      <c r="X1200" s="2">
        <f>IF(T1200="OVER",$J1200,$K1200)</f>
        <v>272.64204115503571</v>
      </c>
      <c r="Y1200" s="9">
        <f t="shared" si="158"/>
        <v>-48934.174480672787</v>
      </c>
      <c r="Z1200" s="9">
        <f t="shared" si="158"/>
        <v>-45456.809151259898</v>
      </c>
      <c r="AA1200" s="9">
        <f t="shared" si="158"/>
        <v>64637.685993628511</v>
      </c>
      <c r="AB1200" s="9">
        <f t="shared" si="155"/>
        <v>29316.398928688202</v>
      </c>
    </row>
    <row r="1201" spans="1:28" x14ac:dyDescent="0.3">
      <c r="A1201" s="1">
        <v>46160</v>
      </c>
      <c r="B1201" s="2">
        <v>102.86</v>
      </c>
      <c r="C1201" s="2">
        <v>115.36</v>
      </c>
      <c r="D1201" s="9">
        <f>B1201-B1200</f>
        <v>-1.6400000000000006</v>
      </c>
      <c r="E1201" s="9">
        <f>C1201-C1200</f>
        <v>-1.8299999999999983</v>
      </c>
      <c r="F1201" s="3">
        <f>F$1/B1201</f>
        <v>972.19521679953334</v>
      </c>
      <c r="G1201" s="3">
        <f>F$1/C1201</f>
        <v>866.85159500693487</v>
      </c>
      <c r="H1201" s="2">
        <f>D1201*F1200</f>
        <v>-1569.3779904306225</v>
      </c>
      <c r="I1201" s="2">
        <f>E1201*G1200</f>
        <v>-1561.5666865773517</v>
      </c>
      <c r="J1201" s="2">
        <f>I1201-H1201</f>
        <v>7.8113038532708288</v>
      </c>
      <c r="K1201" s="2">
        <f t="shared" si="153"/>
        <v>-7.8113038532708288</v>
      </c>
      <c r="L1201" s="14">
        <f>C1201/B1201</f>
        <v>1.1215244020999418</v>
      </c>
      <c r="M1201" s="14">
        <f t="shared" si="156"/>
        <v>1.1180822406001405</v>
      </c>
      <c r="N1201" s="14">
        <f t="shared" si="160"/>
        <v>1.115824723292262</v>
      </c>
      <c r="O1201" s="14">
        <f t="shared" si="152"/>
        <v>1.1144027838881634</v>
      </c>
      <c r="P1201" s="14">
        <f t="shared" si="154"/>
        <v>1.1058475165143669</v>
      </c>
      <c r="Q1201" s="4" t="str">
        <f t="shared" si="159"/>
        <v>OVER</v>
      </c>
      <c r="R1201" s="4" t="str">
        <f t="shared" si="159"/>
        <v>OVER</v>
      </c>
      <c r="S1201" s="4" t="str">
        <f t="shared" si="157"/>
        <v>OVER</v>
      </c>
      <c r="T1201" s="4" t="str">
        <f t="shared" si="157"/>
        <v>OVER</v>
      </c>
      <c r="U1201" s="2">
        <f>IF(Q1201="OVER",$J1201,$K1201)</f>
        <v>7.8113038532708288</v>
      </c>
      <c r="V1201" s="2">
        <f>IF(R1201="OVER",$J1201,$K1201)</f>
        <v>7.8113038532708288</v>
      </c>
      <c r="W1201" s="2">
        <f>IF(S1201="OVER",$J1201,$K1201)</f>
        <v>7.8113038532708288</v>
      </c>
      <c r="X1201" s="2">
        <f>IF(T1201="OVER",$J1201,$K1201)</f>
        <v>7.8113038532708288</v>
      </c>
      <c r="Y1201" s="9">
        <f t="shared" si="158"/>
        <v>-48926.363176819519</v>
      </c>
      <c r="Z1201" s="9">
        <f t="shared" si="158"/>
        <v>-45448.99784740663</v>
      </c>
      <c r="AA1201" s="9">
        <f t="shared" si="158"/>
        <v>64645.497297481779</v>
      </c>
      <c r="AB1201" s="9">
        <f t="shared" si="155"/>
        <v>29324.210232541474</v>
      </c>
    </row>
    <row r="1202" spans="1:28" x14ac:dyDescent="0.3">
      <c r="A1202" s="1">
        <v>46161</v>
      </c>
      <c r="B1202" s="2">
        <v>102.44</v>
      </c>
      <c r="C1202" s="2">
        <v>114.64</v>
      </c>
      <c r="D1202" s="9">
        <f>B1202-B1201</f>
        <v>-0.42000000000000171</v>
      </c>
      <c r="E1202" s="9">
        <f>C1202-C1201</f>
        <v>-0.71999999999999886</v>
      </c>
      <c r="F1202" s="3">
        <f>F$1/B1202</f>
        <v>976.18117922686451</v>
      </c>
      <c r="G1202" s="3">
        <f>F$1/C1202</f>
        <v>872.29588276343338</v>
      </c>
      <c r="H1202" s="2">
        <f>D1202*F1201</f>
        <v>-408.32199105580565</v>
      </c>
      <c r="I1202" s="2">
        <f>E1202*G1201</f>
        <v>-624.13314840499208</v>
      </c>
      <c r="J1202" s="2">
        <f>I1202-H1202</f>
        <v>-215.81115734918643</v>
      </c>
      <c r="K1202" s="2">
        <f t="shared" si="153"/>
        <v>215.81115734918643</v>
      </c>
      <c r="L1202" s="14">
        <f>C1202/B1202</f>
        <v>1.1190941038656774</v>
      </c>
      <c r="M1202" s="14">
        <f t="shared" si="156"/>
        <v>1.1184324594563908</v>
      </c>
      <c r="N1202" s="14">
        <f t="shared" si="160"/>
        <v>1.1160637127698301</v>
      </c>
      <c r="O1202" s="14">
        <f t="shared" si="152"/>
        <v>1.1145643580081173</v>
      </c>
      <c r="P1202" s="14">
        <f t="shared" si="154"/>
        <v>1.1059932137099062</v>
      </c>
      <c r="Q1202" s="4" t="str">
        <f t="shared" si="159"/>
        <v>OVER</v>
      </c>
      <c r="R1202" s="4" t="str">
        <f t="shared" si="159"/>
        <v>OVER</v>
      </c>
      <c r="S1202" s="4" t="str">
        <f t="shared" si="157"/>
        <v>OVER</v>
      </c>
      <c r="T1202" s="4" t="str">
        <f t="shared" si="157"/>
        <v>OVER</v>
      </c>
      <c r="U1202" s="2">
        <f>IF(Q1202="OVER",$J1202,$K1202)</f>
        <v>-215.81115734918643</v>
      </c>
      <c r="V1202" s="2">
        <f>IF(R1202="OVER",$J1202,$K1202)</f>
        <v>-215.81115734918643</v>
      </c>
      <c r="W1202" s="2">
        <f>IF(S1202="OVER",$J1202,$K1202)</f>
        <v>-215.81115734918643</v>
      </c>
      <c r="X1202" s="2">
        <f>IF(T1202="OVER",$J1202,$K1202)</f>
        <v>-215.81115734918643</v>
      </c>
      <c r="Y1202" s="9">
        <f t="shared" si="158"/>
        <v>-49142.174334168703</v>
      </c>
      <c r="Z1202" s="9">
        <f t="shared" si="158"/>
        <v>-45664.809004755814</v>
      </c>
      <c r="AA1202" s="9">
        <f t="shared" si="158"/>
        <v>64429.686140132595</v>
      </c>
      <c r="AB1202" s="9">
        <f t="shared" si="155"/>
        <v>29108.399075192287</v>
      </c>
    </row>
    <row r="1203" spans="1:28" x14ac:dyDescent="0.3">
      <c r="A1203" s="1">
        <v>46162</v>
      </c>
      <c r="B1203" s="2">
        <v>103.11</v>
      </c>
      <c r="C1203" s="2">
        <v>115.57</v>
      </c>
      <c r="D1203" s="9">
        <f>B1203-B1202</f>
        <v>0.67000000000000171</v>
      </c>
      <c r="E1203" s="9">
        <f>C1203-C1202</f>
        <v>0.92999999999999261</v>
      </c>
      <c r="F1203" s="3">
        <f>F$1/B1203</f>
        <v>969.83803704781303</v>
      </c>
      <c r="G1203" s="3">
        <f>F$1/C1203</f>
        <v>865.27645582763694</v>
      </c>
      <c r="H1203" s="2">
        <f>D1203*F1202</f>
        <v>654.04139008200093</v>
      </c>
      <c r="I1203" s="2">
        <f>E1203*G1202</f>
        <v>811.2351709699866</v>
      </c>
      <c r="J1203" s="2">
        <f>I1203-H1203</f>
        <v>157.19378088798567</v>
      </c>
      <c r="K1203" s="2">
        <f t="shared" si="153"/>
        <v>-157.19378088798567</v>
      </c>
      <c r="L1203" s="14">
        <f>C1203/B1203</f>
        <v>1.1208418194161573</v>
      </c>
      <c r="M1203" s="14">
        <f t="shared" si="156"/>
        <v>1.1185526092162743</v>
      </c>
      <c r="N1203" s="14">
        <f t="shared" si="160"/>
        <v>1.1164968928495487</v>
      </c>
      <c r="O1203" s="14">
        <f t="shared" si="152"/>
        <v>1.1147255229632613</v>
      </c>
      <c r="P1203" s="14">
        <f t="shared" si="154"/>
        <v>1.1061362118325309</v>
      </c>
      <c r="Q1203" s="4" t="str">
        <f t="shared" si="159"/>
        <v>OVER</v>
      </c>
      <c r="R1203" s="4" t="str">
        <f t="shared" si="159"/>
        <v>OVER</v>
      </c>
      <c r="S1203" s="4" t="str">
        <f t="shared" si="157"/>
        <v>OVER</v>
      </c>
      <c r="T1203" s="4" t="str">
        <f t="shared" si="157"/>
        <v>OVER</v>
      </c>
      <c r="U1203" s="2">
        <f>IF(Q1203="OVER",$J1203,$K1203)</f>
        <v>157.19378088798567</v>
      </c>
      <c r="V1203" s="2">
        <f>IF(R1203="OVER",$J1203,$K1203)</f>
        <v>157.19378088798567</v>
      </c>
      <c r="W1203" s="2">
        <f>IF(S1203="OVER",$J1203,$K1203)</f>
        <v>157.19378088798567</v>
      </c>
      <c r="X1203" s="2">
        <f>IF(T1203="OVER",$J1203,$K1203)</f>
        <v>157.19378088798567</v>
      </c>
      <c r="Y1203" s="9">
        <f t="shared" si="158"/>
        <v>-48984.980553280715</v>
      </c>
      <c r="Z1203" s="9">
        <f t="shared" si="158"/>
        <v>-45507.615223867826</v>
      </c>
      <c r="AA1203" s="9">
        <f t="shared" si="158"/>
        <v>64586.879921020583</v>
      </c>
      <c r="AB1203" s="9">
        <f t="shared" si="155"/>
        <v>29265.592856080271</v>
      </c>
    </row>
    <row r="1204" spans="1:28" x14ac:dyDescent="0.3">
      <c r="A1204" s="1">
        <v>46163</v>
      </c>
      <c r="B1204" s="2">
        <v>105.37</v>
      </c>
      <c r="C1204" s="2">
        <v>117.99</v>
      </c>
      <c r="D1204" s="9">
        <f>B1204-B1203</f>
        <v>2.2600000000000051</v>
      </c>
      <c r="E1204" s="9">
        <f>C1204-C1203</f>
        <v>2.4200000000000017</v>
      </c>
      <c r="F1204" s="3">
        <f>F$1/B1204</f>
        <v>949.03672772136281</v>
      </c>
      <c r="G1204" s="3">
        <f>F$1/C1204</f>
        <v>847.52945164844482</v>
      </c>
      <c r="H1204" s="2">
        <f>D1204*F1203</f>
        <v>2191.8339637280624</v>
      </c>
      <c r="I1204" s="2">
        <f>E1204*G1203</f>
        <v>2093.9690231028831</v>
      </c>
      <c r="J1204" s="2">
        <f>I1204-H1204</f>
        <v>-97.864940625179315</v>
      </c>
      <c r="K1204" s="2">
        <f t="shared" si="153"/>
        <v>97.864940625179315</v>
      </c>
      <c r="L1204" s="14">
        <f>C1204/B1204</f>
        <v>1.1197684350384358</v>
      </c>
      <c r="M1204" s="14">
        <f t="shared" si="156"/>
        <v>1.1188589502268305</v>
      </c>
      <c r="N1204" s="14">
        <f t="shared" si="160"/>
        <v>1.1169908635511336</v>
      </c>
      <c r="O1204" s="14">
        <f t="shared" si="152"/>
        <v>1.114841597924062</v>
      </c>
      <c r="P1204" s="14">
        <f t="shared" si="154"/>
        <v>1.1062818012526572</v>
      </c>
      <c r="Q1204" s="4" t="str">
        <f t="shared" si="159"/>
        <v>OVER</v>
      </c>
      <c r="R1204" s="4" t="str">
        <f t="shared" si="159"/>
        <v>OVER</v>
      </c>
      <c r="S1204" s="4" t="str">
        <f t="shared" si="157"/>
        <v>OVER</v>
      </c>
      <c r="T1204" s="4" t="str">
        <f t="shared" si="157"/>
        <v>OVER</v>
      </c>
      <c r="U1204" s="2">
        <f>IF(Q1204="OVER",$J1204,$K1204)</f>
        <v>-97.864940625179315</v>
      </c>
      <c r="V1204" s="2">
        <f>IF(R1204="OVER",$J1204,$K1204)</f>
        <v>-97.864940625179315</v>
      </c>
      <c r="W1204" s="2">
        <f>IF(S1204="OVER",$J1204,$K1204)</f>
        <v>-97.864940625179315</v>
      </c>
      <c r="X1204" s="2">
        <f>IF(T1204="OVER",$J1204,$K1204)</f>
        <v>-97.864940625179315</v>
      </c>
      <c r="Y1204" s="9">
        <f t="shared" si="158"/>
        <v>-49082.845493905894</v>
      </c>
      <c r="Z1204" s="9">
        <f t="shared" si="158"/>
        <v>-45605.480164493005</v>
      </c>
      <c r="AA1204" s="9">
        <f t="shared" si="158"/>
        <v>64489.014980395405</v>
      </c>
      <c r="AB1204" s="9">
        <f t="shared" si="155"/>
        <v>29167.727915455092</v>
      </c>
    </row>
    <row r="1205" spans="1:28" x14ac:dyDescent="0.3">
      <c r="A1205" s="1">
        <v>46164</v>
      </c>
      <c r="B1205" s="2">
        <v>105.65</v>
      </c>
      <c r="C1205" s="2">
        <v>118.38</v>
      </c>
      <c r="D1205" s="9">
        <f>B1205-B1204</f>
        <v>0.28000000000000114</v>
      </c>
      <c r="E1205" s="9">
        <f>C1205-C1204</f>
        <v>0.39000000000000057</v>
      </c>
      <c r="F1205" s="3">
        <f>F$1/B1205</f>
        <v>946.52153336488402</v>
      </c>
      <c r="G1205" s="3">
        <f>F$1/C1205</f>
        <v>844.73728670383514</v>
      </c>
      <c r="H1205" s="2">
        <f>D1205*F1204</f>
        <v>265.73028376198266</v>
      </c>
      <c r="I1205" s="2">
        <f>E1205*G1204</f>
        <v>330.53648614289398</v>
      </c>
      <c r="J1205" s="2">
        <f>I1205-H1205</f>
        <v>64.806202380911316</v>
      </c>
      <c r="K1205" s="2">
        <f t="shared" si="153"/>
        <v>-64.806202380911316</v>
      </c>
      <c r="L1205" s="14">
        <f>C1205/B1205</f>
        <v>1.1204921911973496</v>
      </c>
      <c r="M1205" s="14">
        <f t="shared" si="156"/>
        <v>1.1193682381276124</v>
      </c>
      <c r="N1205" s="14">
        <f t="shared" si="160"/>
        <v>1.1173546277051665</v>
      </c>
      <c r="O1205" s="14">
        <f t="shared" ref="O1205:O1257" si="161">AVERAGE(L1156:L1205)</f>
        <v>1.1150782373581365</v>
      </c>
      <c r="P1205" s="14">
        <f t="shared" si="154"/>
        <v>1.1064351106719168</v>
      </c>
      <c r="Q1205" s="4" t="str">
        <f t="shared" si="159"/>
        <v>OVER</v>
      </c>
      <c r="R1205" s="4" t="str">
        <f t="shared" si="159"/>
        <v>OVER</v>
      </c>
      <c r="S1205" s="4" t="str">
        <f t="shared" si="157"/>
        <v>OVER</v>
      </c>
      <c r="T1205" s="4" t="str">
        <f t="shared" si="157"/>
        <v>OVER</v>
      </c>
      <c r="U1205" s="2">
        <f>IF(Q1205="OVER",$J1205,$K1205)</f>
        <v>64.806202380911316</v>
      </c>
      <c r="V1205" s="2">
        <f>IF(R1205="OVER",$J1205,$K1205)</f>
        <v>64.806202380911316</v>
      </c>
      <c r="W1205" s="2">
        <f>IF(S1205="OVER",$J1205,$K1205)</f>
        <v>64.806202380911316</v>
      </c>
      <c r="X1205" s="2">
        <f>IF(T1205="OVER",$J1205,$K1205)</f>
        <v>64.806202380911316</v>
      </c>
      <c r="Y1205" s="9">
        <f t="shared" si="158"/>
        <v>-49018.039291524983</v>
      </c>
      <c r="Z1205" s="9">
        <f t="shared" si="158"/>
        <v>-45540.673962112094</v>
      </c>
      <c r="AA1205" s="9">
        <f t="shared" si="158"/>
        <v>64553.821182776315</v>
      </c>
      <c r="AB1205" s="9">
        <f t="shared" si="155"/>
        <v>29232.534117836003</v>
      </c>
    </row>
    <row r="1206" spans="1:28" x14ac:dyDescent="0.3">
      <c r="A1206" s="1">
        <v>46168</v>
      </c>
      <c r="B1206" s="2">
        <v>106.75</v>
      </c>
      <c r="C1206" s="2">
        <v>119.9</v>
      </c>
      <c r="D1206" s="9">
        <f>B1206-B1205</f>
        <v>1.0999999999999943</v>
      </c>
      <c r="E1206" s="9">
        <f>C1206-C1205</f>
        <v>1.5200000000000102</v>
      </c>
      <c r="F1206" s="3">
        <f>F$1/B1206</f>
        <v>936.76814988290403</v>
      </c>
      <c r="G1206" s="3">
        <f>F$1/C1206</f>
        <v>834.02835696413672</v>
      </c>
      <c r="H1206" s="2">
        <f>D1206*F1205</f>
        <v>1041.1736867013669</v>
      </c>
      <c r="I1206" s="2">
        <f>E1206*G1205</f>
        <v>1284.0006757898379</v>
      </c>
      <c r="J1206" s="2">
        <f>I1206-H1206</f>
        <v>242.82698908847101</v>
      </c>
      <c r="K1206" s="2">
        <f t="shared" si="153"/>
        <v>-242.82698908847101</v>
      </c>
      <c r="L1206" s="14">
        <f>C1206/B1206</f>
        <v>1.1231850117096018</v>
      </c>
      <c r="M1206" s="14">
        <f t="shared" si="156"/>
        <v>1.1199225883551764</v>
      </c>
      <c r="N1206" s="14">
        <f t="shared" si="160"/>
        <v>1.1179334989837257</v>
      </c>
      <c r="O1206" s="14">
        <f t="shared" si="161"/>
        <v>1.1152931597541966</v>
      </c>
      <c r="P1206" s="14">
        <f t="shared" si="154"/>
        <v>1.1066140966657507</v>
      </c>
      <c r="Q1206" s="4" t="str">
        <f t="shared" si="159"/>
        <v>OVER</v>
      </c>
      <c r="R1206" s="4" t="str">
        <f t="shared" si="159"/>
        <v>OVER</v>
      </c>
      <c r="S1206" s="4" t="str">
        <f t="shared" si="157"/>
        <v>OVER</v>
      </c>
      <c r="T1206" s="4" t="str">
        <f t="shared" si="157"/>
        <v>OVER</v>
      </c>
      <c r="U1206" s="2">
        <f>IF(Q1206="OVER",$J1206,$K1206)</f>
        <v>242.82698908847101</v>
      </c>
      <c r="V1206" s="2">
        <f>IF(R1206="OVER",$J1206,$K1206)</f>
        <v>242.82698908847101</v>
      </c>
      <c r="W1206" s="2">
        <f>IF(S1206="OVER",$J1206,$K1206)</f>
        <v>242.82698908847101</v>
      </c>
      <c r="X1206" s="2">
        <f>IF(T1206="OVER",$J1206,$K1206)</f>
        <v>242.82698908847101</v>
      </c>
      <c r="Y1206" s="9">
        <f t="shared" si="158"/>
        <v>-48775.212302436514</v>
      </c>
      <c r="Z1206" s="9">
        <f t="shared" si="158"/>
        <v>-45297.846973023625</v>
      </c>
      <c r="AA1206" s="9">
        <f t="shared" si="158"/>
        <v>64796.648171864785</v>
      </c>
      <c r="AB1206" s="9">
        <f t="shared" si="155"/>
        <v>29475.361106924473</v>
      </c>
    </row>
    <row r="1207" spans="1:28" x14ac:dyDescent="0.3">
      <c r="A1207" s="1">
        <v>46169</v>
      </c>
      <c r="B1207" s="2">
        <v>106.91</v>
      </c>
      <c r="C1207" s="2">
        <v>119.94</v>
      </c>
      <c r="D1207" s="9">
        <f>B1207-B1206</f>
        <v>0.15999999999999659</v>
      </c>
      <c r="E1207" s="9">
        <f>C1207-C1206</f>
        <v>3.9999999999992042E-2</v>
      </c>
      <c r="F1207" s="3">
        <f>F$1/B1207</f>
        <v>935.36619586568145</v>
      </c>
      <c r="G1207" s="3">
        <f>F$1/C1207</f>
        <v>833.75020843755215</v>
      </c>
      <c r="H1207" s="2">
        <f>D1207*F1206</f>
        <v>149.88290398126145</v>
      </c>
      <c r="I1207" s="2">
        <f>E1207*G1206</f>
        <v>33.361134278558829</v>
      </c>
      <c r="J1207" s="2">
        <f>I1207-H1207</f>
        <v>-116.52176970270261</v>
      </c>
      <c r="K1207" s="2">
        <f t="shared" si="153"/>
        <v>116.52176970270261</v>
      </c>
      <c r="L1207" s="14">
        <f>C1207/B1207</f>
        <v>1.1218782153212983</v>
      </c>
      <c r="M1207" s="14">
        <f t="shared" si="156"/>
        <v>1.120518004582469</v>
      </c>
      <c r="N1207" s="14">
        <f t="shared" si="160"/>
        <v>1.1185166706149716</v>
      </c>
      <c r="O1207" s="14">
        <f t="shared" si="161"/>
        <v>1.1154694067467414</v>
      </c>
      <c r="P1207" s="14">
        <f t="shared" si="154"/>
        <v>1.1067867496668453</v>
      </c>
      <c r="Q1207" s="4" t="str">
        <f t="shared" si="159"/>
        <v>OVER</v>
      </c>
      <c r="R1207" s="4" t="str">
        <f t="shared" si="159"/>
        <v>OVER</v>
      </c>
      <c r="S1207" s="4" t="str">
        <f t="shared" si="157"/>
        <v>OVER</v>
      </c>
      <c r="T1207" s="4" t="str">
        <f t="shared" si="157"/>
        <v>OVER</v>
      </c>
      <c r="U1207" s="2">
        <f>IF(Q1207="OVER",$J1207,$K1207)</f>
        <v>-116.52176970270261</v>
      </c>
      <c r="V1207" s="2">
        <f>IF(R1207="OVER",$J1207,$K1207)</f>
        <v>-116.52176970270261</v>
      </c>
      <c r="W1207" s="2">
        <f>IF(S1207="OVER",$J1207,$K1207)</f>
        <v>-116.52176970270261</v>
      </c>
      <c r="X1207" s="2">
        <f>IF(T1207="OVER",$J1207,$K1207)</f>
        <v>-116.52176970270261</v>
      </c>
      <c r="Y1207" s="9">
        <f t="shared" si="158"/>
        <v>-48891.734072139217</v>
      </c>
      <c r="Z1207" s="9">
        <f t="shared" si="158"/>
        <v>-45414.368742726328</v>
      </c>
      <c r="AA1207" s="9">
        <f t="shared" si="158"/>
        <v>64680.126402162081</v>
      </c>
      <c r="AB1207" s="9">
        <f t="shared" si="155"/>
        <v>29358.839337221769</v>
      </c>
    </row>
    <row r="1208" spans="1:28" x14ac:dyDescent="0.3">
      <c r="A1208" s="1">
        <v>46170</v>
      </c>
      <c r="B1208" s="2">
        <v>107.72</v>
      </c>
      <c r="C1208" s="2">
        <v>120.41</v>
      </c>
      <c r="D1208" s="9">
        <f>B1208-B1207</f>
        <v>0.81000000000000227</v>
      </c>
      <c r="E1208" s="9">
        <f>C1208-C1207</f>
        <v>0.46999999999999886</v>
      </c>
      <c r="F1208" s="3">
        <f>F$1/B1208</f>
        <v>928.33271444485706</v>
      </c>
      <c r="G1208" s="3">
        <f>F$1/C1208</f>
        <v>830.4958059961798</v>
      </c>
      <c r="H1208" s="2">
        <f>D1208*F1207</f>
        <v>757.64661865120411</v>
      </c>
      <c r="I1208" s="2">
        <f>E1208*G1207</f>
        <v>391.86259796564855</v>
      </c>
      <c r="J1208" s="2">
        <f>I1208-H1208</f>
        <v>-365.78402068555556</v>
      </c>
      <c r="K1208" s="2">
        <f t="shared" si="153"/>
        <v>365.78402068555556</v>
      </c>
      <c r="L1208" s="14">
        <f>C1208/B1208</f>
        <v>1.1178054214630524</v>
      </c>
      <c r="M1208" s="14">
        <f t="shared" si="156"/>
        <v>1.1204350989732101</v>
      </c>
      <c r="N1208" s="14">
        <f t="shared" si="160"/>
        <v>1.1186776183798537</v>
      </c>
      <c r="O1208" s="14">
        <f t="shared" si="161"/>
        <v>1.1155872018973316</v>
      </c>
      <c r="P1208" s="14">
        <f t="shared" si="154"/>
        <v>1.10693059562332</v>
      </c>
      <c r="Q1208" s="4" t="str">
        <f t="shared" si="159"/>
        <v>OVER</v>
      </c>
      <c r="R1208" s="4" t="str">
        <f t="shared" si="159"/>
        <v>OVER</v>
      </c>
      <c r="S1208" s="4" t="str">
        <f t="shared" si="157"/>
        <v>OVER</v>
      </c>
      <c r="T1208" s="4" t="str">
        <f t="shared" si="157"/>
        <v>OVER</v>
      </c>
      <c r="U1208" s="2">
        <f>IF(Q1208="OVER",$J1208,$K1208)</f>
        <v>-365.78402068555556</v>
      </c>
      <c r="V1208" s="2">
        <f>IF(R1208="OVER",$J1208,$K1208)</f>
        <v>-365.78402068555556</v>
      </c>
      <c r="W1208" s="2">
        <f>IF(S1208="OVER",$J1208,$K1208)</f>
        <v>-365.78402068555556</v>
      </c>
      <c r="X1208" s="2">
        <f>IF(T1208="OVER",$J1208,$K1208)</f>
        <v>-365.78402068555556</v>
      </c>
      <c r="Y1208" s="9">
        <f t="shared" si="158"/>
        <v>-49257.518092824772</v>
      </c>
      <c r="Z1208" s="9">
        <f t="shared" si="158"/>
        <v>-45780.152763411883</v>
      </c>
      <c r="AA1208" s="9">
        <f t="shared" si="158"/>
        <v>64314.342381476526</v>
      </c>
      <c r="AB1208" s="9">
        <f t="shared" si="155"/>
        <v>28993.055316536214</v>
      </c>
    </row>
    <row r="1209" spans="1:28" x14ac:dyDescent="0.3">
      <c r="A1209" s="1">
        <v>46171</v>
      </c>
      <c r="B1209" s="2">
        <v>108.1</v>
      </c>
      <c r="C1209" s="2">
        <v>120.68</v>
      </c>
      <c r="D1209" s="9">
        <f>B1209-B1208</f>
        <v>0.37999999999999545</v>
      </c>
      <c r="E1209" s="9">
        <f>C1209-C1208</f>
        <v>0.27000000000001023</v>
      </c>
      <c r="F1209" s="3">
        <f>F$1/B1209</f>
        <v>925.06938020351527</v>
      </c>
      <c r="G1209" s="3">
        <f>F$1/C1209</f>
        <v>828.63771958899565</v>
      </c>
      <c r="H1209" s="2">
        <f>D1209*F1208</f>
        <v>352.76643148904145</v>
      </c>
      <c r="I1209" s="2">
        <f>E1209*G1208</f>
        <v>224.23386761897703</v>
      </c>
      <c r="J1209" s="2">
        <f>I1209-H1209</f>
        <v>-128.53256387006442</v>
      </c>
      <c r="K1209" s="2">
        <f t="shared" si="153"/>
        <v>128.53256387006442</v>
      </c>
      <c r="L1209" s="14">
        <f>C1209/B1209</f>
        <v>1.1163737280296024</v>
      </c>
      <c r="M1209" s="14">
        <f t="shared" si="156"/>
        <v>1.120239873483968</v>
      </c>
      <c r="N1209" s="14">
        <f t="shared" si="160"/>
        <v>1.1187213641637568</v>
      </c>
      <c r="O1209" s="14">
        <f t="shared" si="161"/>
        <v>1.1156504449082068</v>
      </c>
      <c r="P1209" s="14">
        <f t="shared" si="154"/>
        <v>1.1070750815242558</v>
      </c>
      <c r="Q1209" s="4" t="str">
        <f t="shared" si="159"/>
        <v>UNDER</v>
      </c>
      <c r="R1209" s="4" t="str">
        <f t="shared" si="159"/>
        <v>UNDER</v>
      </c>
      <c r="S1209" s="4" t="str">
        <f t="shared" si="157"/>
        <v>OVER</v>
      </c>
      <c r="T1209" s="4" t="str">
        <f t="shared" si="157"/>
        <v>OVER</v>
      </c>
      <c r="U1209" s="2">
        <f>IF(Q1209="OVER",$J1209,$K1209)</f>
        <v>128.53256387006442</v>
      </c>
      <c r="V1209" s="2">
        <f>IF(R1209="OVER",$J1209,$K1209)</f>
        <v>128.53256387006442</v>
      </c>
      <c r="W1209" s="2">
        <f>IF(S1209="OVER",$J1209,$K1209)</f>
        <v>-128.53256387006442</v>
      </c>
      <c r="X1209" s="2">
        <f>IF(T1209="OVER",$J1209,$K1209)</f>
        <v>-128.53256387006442</v>
      </c>
      <c r="Y1209" s="9">
        <f t="shared" si="158"/>
        <v>-49128.985528954705</v>
      </c>
      <c r="Z1209" s="9">
        <f t="shared" si="158"/>
        <v>-45651.620199541816</v>
      </c>
      <c r="AA1209" s="9">
        <f t="shared" si="158"/>
        <v>64185.80981760646</v>
      </c>
      <c r="AB1209" s="9">
        <f t="shared" si="155"/>
        <v>28864.522752666151</v>
      </c>
    </row>
    <row r="1210" spans="1:28" x14ac:dyDescent="0.3">
      <c r="A1210" s="1">
        <v>46174</v>
      </c>
      <c r="B1210" s="2">
        <v>109.43</v>
      </c>
      <c r="C1210" s="2">
        <v>122.63</v>
      </c>
      <c r="D1210" s="9">
        <f>B1210-B1209</f>
        <v>1.3300000000000125</v>
      </c>
      <c r="E1210" s="9">
        <f>C1210-C1209</f>
        <v>1.9499999999999886</v>
      </c>
      <c r="F1210" s="3">
        <f>F$1/B1210</f>
        <v>913.82619025861277</v>
      </c>
      <c r="G1210" s="3">
        <f>F$1/C1210</f>
        <v>815.46114327652288</v>
      </c>
      <c r="H1210" s="2">
        <f>D1210*F1209</f>
        <v>1230.3422756706868</v>
      </c>
      <c r="I1210" s="2">
        <f>E1210*G1209</f>
        <v>1615.8435531985322</v>
      </c>
      <c r="J1210" s="2">
        <f>I1210-H1210</f>
        <v>385.50127752784533</v>
      </c>
      <c r="K1210" s="2">
        <f t="shared" si="153"/>
        <v>-385.50127752784533</v>
      </c>
      <c r="L1210" s="14">
        <f>C1210/B1210</f>
        <v>1.1206250571141367</v>
      </c>
      <c r="M1210" s="14">
        <f t="shared" si="156"/>
        <v>1.1201588385255252</v>
      </c>
      <c r="N1210" s="14">
        <f t="shared" si="160"/>
        <v>1.1190001874523683</v>
      </c>
      <c r="O1210" s="14">
        <f t="shared" si="161"/>
        <v>1.1157932616386308</v>
      </c>
      <c r="P1210" s="14">
        <f t="shared" si="154"/>
        <v>1.107239845847884</v>
      </c>
      <c r="Q1210" s="4" t="str">
        <f t="shared" si="159"/>
        <v>UNDER</v>
      </c>
      <c r="R1210" s="4" t="str">
        <f t="shared" si="159"/>
        <v>UNDER</v>
      </c>
      <c r="S1210" s="4" t="str">
        <f t="shared" si="157"/>
        <v>OVER</v>
      </c>
      <c r="T1210" s="4" t="str">
        <f t="shared" si="157"/>
        <v>OVER</v>
      </c>
      <c r="U1210" s="2">
        <f>IF(Q1210="OVER",$J1210,$K1210)</f>
        <v>-385.50127752784533</v>
      </c>
      <c r="V1210" s="2">
        <f>IF(R1210="OVER",$J1210,$K1210)</f>
        <v>-385.50127752784533</v>
      </c>
      <c r="W1210" s="2">
        <f>IF(S1210="OVER",$J1210,$K1210)</f>
        <v>385.50127752784533</v>
      </c>
      <c r="X1210" s="2">
        <f>IF(T1210="OVER",$J1210,$K1210)</f>
        <v>385.50127752784533</v>
      </c>
      <c r="Y1210" s="9">
        <f t="shared" si="158"/>
        <v>-49514.48680648255</v>
      </c>
      <c r="Z1210" s="9">
        <f t="shared" si="158"/>
        <v>-46037.121477069661</v>
      </c>
      <c r="AA1210" s="9">
        <f t="shared" si="158"/>
        <v>64571.311095134304</v>
      </c>
      <c r="AB1210" s="9">
        <f t="shared" si="155"/>
        <v>29250.024030193996</v>
      </c>
    </row>
    <row r="1211" spans="1:28" x14ac:dyDescent="0.3">
      <c r="A1211" s="1">
        <v>46175</v>
      </c>
      <c r="B1211" s="2">
        <v>110.74</v>
      </c>
      <c r="C1211" s="2">
        <v>123.9</v>
      </c>
      <c r="D1211" s="9">
        <f>B1211-B1210</f>
        <v>1.3099999999999881</v>
      </c>
      <c r="E1211" s="9">
        <f>C1211-C1210</f>
        <v>1.2700000000000102</v>
      </c>
      <c r="F1211" s="3">
        <f>F$1/B1211</f>
        <v>903.01607368611167</v>
      </c>
      <c r="G1211" s="3">
        <f>F$1/C1211</f>
        <v>807.10250201775625</v>
      </c>
      <c r="H1211" s="2">
        <f>D1211*F1210</f>
        <v>1197.1123092387718</v>
      </c>
      <c r="I1211" s="2">
        <f>E1211*G1210</f>
        <v>1035.6356519611925</v>
      </c>
      <c r="J1211" s="2">
        <f>I1211-H1211</f>
        <v>-161.47665727757931</v>
      </c>
      <c r="K1211" s="2">
        <f t="shared" si="153"/>
        <v>161.47665727757931</v>
      </c>
      <c r="L1211" s="14">
        <f>C1211/B1211</f>
        <v>1.1188369152970923</v>
      </c>
      <c r="M1211" s="14">
        <f t="shared" si="156"/>
        <v>1.1198900898452404</v>
      </c>
      <c r="N1211" s="14">
        <f t="shared" si="160"/>
        <v>1.1189861652226907</v>
      </c>
      <c r="O1211" s="14">
        <f t="shared" si="161"/>
        <v>1.1158912436932136</v>
      </c>
      <c r="P1211" s="14">
        <f t="shared" si="154"/>
        <v>1.1073979736901063</v>
      </c>
      <c r="Q1211" s="4" t="str">
        <f t="shared" si="159"/>
        <v>OVER</v>
      </c>
      <c r="R1211" s="4" t="str">
        <f t="shared" si="159"/>
        <v>OVER</v>
      </c>
      <c r="S1211" s="4" t="str">
        <f t="shared" si="157"/>
        <v>OVER</v>
      </c>
      <c r="T1211" s="4" t="str">
        <f t="shared" si="157"/>
        <v>OVER</v>
      </c>
      <c r="U1211" s="2">
        <f>IF(Q1211="OVER",$J1211,$K1211)</f>
        <v>-161.47665727757931</v>
      </c>
      <c r="V1211" s="2">
        <f>IF(R1211="OVER",$J1211,$K1211)</f>
        <v>-161.47665727757931</v>
      </c>
      <c r="W1211" s="2">
        <f>IF(S1211="OVER",$J1211,$K1211)</f>
        <v>-161.47665727757931</v>
      </c>
      <c r="X1211" s="2">
        <f>IF(T1211="OVER",$J1211,$K1211)</f>
        <v>-161.47665727757931</v>
      </c>
      <c r="Y1211" s="9">
        <f t="shared" si="158"/>
        <v>-49675.963463760127</v>
      </c>
      <c r="Z1211" s="9">
        <f t="shared" si="158"/>
        <v>-46198.598134347238</v>
      </c>
      <c r="AA1211" s="9">
        <f t="shared" si="158"/>
        <v>64409.834437856727</v>
      </c>
      <c r="AB1211" s="9">
        <f t="shared" si="155"/>
        <v>29088.547372916415</v>
      </c>
    </row>
    <row r="1212" spans="1:28" x14ac:dyDescent="0.3">
      <c r="A1212" s="1">
        <v>46176</v>
      </c>
      <c r="B1212" s="2">
        <v>109.46</v>
      </c>
      <c r="C1212" s="2">
        <v>122.7</v>
      </c>
      <c r="D1212" s="9">
        <f>B1212-B1211</f>
        <v>-1.2800000000000011</v>
      </c>
      <c r="E1212" s="9">
        <f>C1212-C1211</f>
        <v>-1.2000000000000028</v>
      </c>
      <c r="F1212" s="3">
        <f>F$1/B1212</f>
        <v>913.57573542846706</v>
      </c>
      <c r="G1212" s="3">
        <f>F$1/C1212</f>
        <v>814.9959250203749</v>
      </c>
      <c r="H1212" s="2">
        <f>D1212*F1211</f>
        <v>-1155.8605743182241</v>
      </c>
      <c r="I1212" s="2">
        <f>E1212*G1211</f>
        <v>-968.5230024213098</v>
      </c>
      <c r="J1212" s="2">
        <f>I1212-H1212</f>
        <v>187.33757189691426</v>
      </c>
      <c r="K1212" s="2">
        <f t="shared" si="153"/>
        <v>-187.33757189691426</v>
      </c>
      <c r="L1212" s="14">
        <f>C1212/B1212</f>
        <v>1.1209574273707292</v>
      </c>
      <c r="M1212" s="14">
        <f t="shared" si="156"/>
        <v>1.1200764221957455</v>
      </c>
      <c r="N1212" s="14">
        <f t="shared" si="160"/>
        <v>1.1192544408260683</v>
      </c>
      <c r="O1212" s="14">
        <f t="shared" si="161"/>
        <v>1.1160584509118969</v>
      </c>
      <c r="P1212" s="14">
        <f t="shared" si="154"/>
        <v>1.107558329394708</v>
      </c>
      <c r="Q1212" s="4" t="str">
        <f t="shared" si="159"/>
        <v>UNDER</v>
      </c>
      <c r="R1212" s="4" t="str">
        <f t="shared" si="159"/>
        <v>UNDER</v>
      </c>
      <c r="S1212" s="4" t="str">
        <f t="shared" si="157"/>
        <v>OVER</v>
      </c>
      <c r="T1212" s="4" t="str">
        <f t="shared" si="157"/>
        <v>OVER</v>
      </c>
      <c r="U1212" s="2">
        <f>IF(Q1212="OVER",$J1212,$K1212)</f>
        <v>-187.33757189691426</v>
      </c>
      <c r="V1212" s="2">
        <f>IF(R1212="OVER",$J1212,$K1212)</f>
        <v>-187.33757189691426</v>
      </c>
      <c r="W1212" s="2">
        <f>IF(S1212="OVER",$J1212,$K1212)</f>
        <v>187.33757189691426</v>
      </c>
      <c r="X1212" s="2">
        <f>IF(T1212="OVER",$J1212,$K1212)</f>
        <v>187.33757189691426</v>
      </c>
      <c r="Y1212" s="9">
        <f t="shared" si="158"/>
        <v>-49863.301035657038</v>
      </c>
      <c r="Z1212" s="9">
        <f t="shared" si="158"/>
        <v>-46385.935706244149</v>
      </c>
      <c r="AA1212" s="9">
        <f t="shared" si="158"/>
        <v>64597.172009753638</v>
      </c>
      <c r="AB1212" s="9">
        <f t="shared" si="155"/>
        <v>29275.88494481333</v>
      </c>
    </row>
    <row r="1213" spans="1:28" x14ac:dyDescent="0.3">
      <c r="A1213" s="1">
        <v>46177</v>
      </c>
      <c r="B1213" s="2">
        <v>109.66</v>
      </c>
      <c r="C1213" s="2">
        <v>122.8</v>
      </c>
      <c r="D1213" s="9">
        <f>B1213-B1212</f>
        <v>0.20000000000000284</v>
      </c>
      <c r="E1213" s="9">
        <f>C1213-C1212</f>
        <v>9.9999999999994316E-2</v>
      </c>
      <c r="F1213" s="3">
        <f>F$1/B1213</f>
        <v>911.90953857377349</v>
      </c>
      <c r="G1213" s="3">
        <f>F$1/C1213</f>
        <v>814.33224755700326</v>
      </c>
      <c r="H1213" s="2">
        <f>D1213*F1212</f>
        <v>182.715147085696</v>
      </c>
      <c r="I1213" s="2">
        <f>E1213*G1212</f>
        <v>81.499592502032854</v>
      </c>
      <c r="J1213" s="2">
        <f>I1213-H1213</f>
        <v>-101.21555458366315</v>
      </c>
      <c r="K1213" s="2">
        <f t="shared" si="153"/>
        <v>101.21555458366315</v>
      </c>
      <c r="L1213" s="14">
        <f>C1213/B1213</f>
        <v>1.1198249133685938</v>
      </c>
      <c r="M1213" s="14">
        <f t="shared" si="156"/>
        <v>1.1199747315909894</v>
      </c>
      <c r="N1213" s="14">
        <f t="shared" si="160"/>
        <v>1.1192636704036318</v>
      </c>
      <c r="O1213" s="14">
        <f t="shared" si="161"/>
        <v>1.1161552826201637</v>
      </c>
      <c r="P1213" s="14">
        <f t="shared" si="154"/>
        <v>1.1077140610418175</v>
      </c>
      <c r="Q1213" s="4" t="str">
        <f t="shared" si="159"/>
        <v>OVER</v>
      </c>
      <c r="R1213" s="4" t="str">
        <f t="shared" si="159"/>
        <v>OVER</v>
      </c>
      <c r="S1213" s="4" t="str">
        <f t="shared" si="157"/>
        <v>OVER</v>
      </c>
      <c r="T1213" s="4" t="str">
        <f t="shared" si="157"/>
        <v>OVER</v>
      </c>
      <c r="U1213" s="2">
        <f>IF(Q1213="OVER",$J1213,$K1213)</f>
        <v>-101.21555458366315</v>
      </c>
      <c r="V1213" s="2">
        <f>IF(R1213="OVER",$J1213,$K1213)</f>
        <v>-101.21555458366315</v>
      </c>
      <c r="W1213" s="2">
        <f>IF(S1213="OVER",$J1213,$K1213)</f>
        <v>-101.21555458366315</v>
      </c>
      <c r="X1213" s="2">
        <f>IF(T1213="OVER",$J1213,$K1213)</f>
        <v>-101.21555458366315</v>
      </c>
      <c r="Y1213" s="9">
        <f t="shared" si="158"/>
        <v>-49964.516590240702</v>
      </c>
      <c r="Z1213" s="9">
        <f t="shared" si="158"/>
        <v>-46487.151260827814</v>
      </c>
      <c r="AA1213" s="9">
        <f t="shared" si="158"/>
        <v>64495.956455169973</v>
      </c>
      <c r="AB1213" s="9">
        <f t="shared" si="155"/>
        <v>29174.669390229665</v>
      </c>
    </row>
    <row r="1214" spans="1:28" x14ac:dyDescent="0.3">
      <c r="A1214" s="1">
        <v>46178</v>
      </c>
      <c r="B1214" s="2">
        <v>105.23</v>
      </c>
      <c r="C1214" s="2">
        <v>117.65</v>
      </c>
      <c r="D1214" s="9">
        <f>B1214-B1213</f>
        <v>-4.4299999999999926</v>
      </c>
      <c r="E1214" s="9">
        <f>C1214-C1213</f>
        <v>-5.1499999999999915</v>
      </c>
      <c r="F1214" s="3">
        <f>F$1/B1214</f>
        <v>950.29934429345235</v>
      </c>
      <c r="G1214" s="3">
        <f>F$1/C1214</f>
        <v>849.97875053123664</v>
      </c>
      <c r="H1214" s="2">
        <f>D1214*F1213</f>
        <v>-4039.7592558818096</v>
      </c>
      <c r="I1214" s="2">
        <f>E1214*G1213</f>
        <v>-4193.8110749185598</v>
      </c>
      <c r="J1214" s="2">
        <f>I1214-H1214</f>
        <v>-154.0518190367502</v>
      </c>
      <c r="K1214" s="2">
        <f t="shared" si="153"/>
        <v>154.0518190367502</v>
      </c>
      <c r="L1214" s="14">
        <f>C1214/B1214</f>
        <v>1.1180271785612468</v>
      </c>
      <c r="M1214" s="14">
        <f t="shared" si="156"/>
        <v>1.1198006059432706</v>
      </c>
      <c r="N1214" s="14">
        <f t="shared" si="160"/>
        <v>1.1193297780850502</v>
      </c>
      <c r="O1214" s="14">
        <f t="shared" si="161"/>
        <v>1.1161990008624765</v>
      </c>
      <c r="P1214" s="14">
        <f t="shared" si="154"/>
        <v>1.1078537252365104</v>
      </c>
      <c r="Q1214" s="4" t="str">
        <f t="shared" si="159"/>
        <v>UNDER</v>
      </c>
      <c r="R1214" s="4" t="str">
        <f t="shared" si="159"/>
        <v>OVER</v>
      </c>
      <c r="S1214" s="4" t="str">
        <f t="shared" si="157"/>
        <v>OVER</v>
      </c>
      <c r="T1214" s="4" t="str">
        <f t="shared" si="157"/>
        <v>OVER</v>
      </c>
      <c r="U1214" s="2">
        <f>IF(Q1214="OVER",$J1214,$K1214)</f>
        <v>154.0518190367502</v>
      </c>
      <c r="V1214" s="2">
        <f>IF(R1214="OVER",$J1214,$K1214)</f>
        <v>-154.0518190367502</v>
      </c>
      <c r="W1214" s="2">
        <f>IF(S1214="OVER",$J1214,$K1214)</f>
        <v>-154.0518190367502</v>
      </c>
      <c r="X1214" s="2">
        <f>IF(T1214="OVER",$J1214,$K1214)</f>
        <v>-154.0518190367502</v>
      </c>
      <c r="Y1214" s="9">
        <f t="shared" si="158"/>
        <v>-49810.464771203951</v>
      </c>
      <c r="Z1214" s="9">
        <f t="shared" si="158"/>
        <v>-46641.203079864565</v>
      </c>
      <c r="AA1214" s="9">
        <f t="shared" si="158"/>
        <v>64341.904636133222</v>
      </c>
      <c r="AB1214" s="9">
        <f t="shared" si="155"/>
        <v>29020.617571192914</v>
      </c>
    </row>
    <row r="1215" spans="1:28" x14ac:dyDescent="0.3">
      <c r="A1215" s="1">
        <v>46181</v>
      </c>
      <c r="B1215" s="2">
        <v>105.56</v>
      </c>
      <c r="C1215" s="2">
        <v>118.25</v>
      </c>
      <c r="D1215" s="9">
        <f>B1215-B1214</f>
        <v>0.32999999999999829</v>
      </c>
      <c r="E1215" s="9">
        <f>C1215-C1214</f>
        <v>0.59999999999999432</v>
      </c>
      <c r="F1215" s="3">
        <f>F$1/B1215</f>
        <v>947.3285335354301</v>
      </c>
      <c r="G1215" s="3">
        <f>F$1/C1215</f>
        <v>845.66596194503177</v>
      </c>
      <c r="H1215" s="2">
        <f>D1215*F1214</f>
        <v>313.59878361683764</v>
      </c>
      <c r="I1215" s="2">
        <f>E1215*G1214</f>
        <v>509.98725031873715</v>
      </c>
      <c r="J1215" s="2">
        <f>I1215-H1215</f>
        <v>196.38846670189952</v>
      </c>
      <c r="K1215" s="2">
        <f t="shared" si="153"/>
        <v>-196.38846670189952</v>
      </c>
      <c r="L1215" s="14">
        <f>C1215/B1215</f>
        <v>1.1202159909056462</v>
      </c>
      <c r="M1215" s="14">
        <f t="shared" si="156"/>
        <v>1.1197729859141001</v>
      </c>
      <c r="N1215" s="14">
        <f t="shared" si="160"/>
        <v>1.1195706120208559</v>
      </c>
      <c r="O1215" s="14">
        <f t="shared" si="161"/>
        <v>1.1162911693079545</v>
      </c>
      <c r="P1215" s="14">
        <f t="shared" si="154"/>
        <v>1.108002887786909</v>
      </c>
      <c r="Q1215" s="4" t="str">
        <f t="shared" si="159"/>
        <v>UNDER</v>
      </c>
      <c r="R1215" s="4" t="str">
        <f t="shared" si="159"/>
        <v>UNDER</v>
      </c>
      <c r="S1215" s="4" t="str">
        <f t="shared" si="157"/>
        <v>OVER</v>
      </c>
      <c r="T1215" s="4" t="str">
        <f t="shared" si="157"/>
        <v>OVER</v>
      </c>
      <c r="U1215" s="2">
        <f>IF(Q1215="OVER",$J1215,$K1215)</f>
        <v>-196.38846670189952</v>
      </c>
      <c r="V1215" s="2">
        <f>IF(R1215="OVER",$J1215,$K1215)</f>
        <v>-196.38846670189952</v>
      </c>
      <c r="W1215" s="2">
        <f>IF(S1215="OVER",$J1215,$K1215)</f>
        <v>196.38846670189952</v>
      </c>
      <c r="X1215" s="2">
        <f>IF(T1215="OVER",$J1215,$K1215)</f>
        <v>196.38846670189952</v>
      </c>
      <c r="Y1215" s="9">
        <f t="shared" si="158"/>
        <v>-50006.853237905852</v>
      </c>
      <c r="Z1215" s="9">
        <f t="shared" si="158"/>
        <v>-46837.591546566466</v>
      </c>
      <c r="AA1215" s="9">
        <f t="shared" si="158"/>
        <v>64538.293102835123</v>
      </c>
      <c r="AB1215" s="9">
        <f t="shared" si="155"/>
        <v>29217.006037894815</v>
      </c>
    </row>
    <row r="1216" spans="1:28" x14ac:dyDescent="0.3">
      <c r="A1216" s="1">
        <v>46182</v>
      </c>
      <c r="B1216" s="2">
        <v>104.68</v>
      </c>
      <c r="C1216" s="2">
        <v>117.37</v>
      </c>
      <c r="D1216" s="9">
        <f>B1216-B1215</f>
        <v>-0.87999999999999545</v>
      </c>
      <c r="E1216" s="9">
        <f>C1216-C1215</f>
        <v>-0.87999999999999545</v>
      </c>
      <c r="F1216" s="3">
        <f>F$1/B1216</f>
        <v>955.29231944975152</v>
      </c>
      <c r="G1216" s="3">
        <f>F$1/C1216</f>
        <v>852.00647524921192</v>
      </c>
      <c r="H1216" s="2">
        <f>D1216*F1215</f>
        <v>-833.64910951117417</v>
      </c>
      <c r="I1216" s="2">
        <f>E1216*G1215</f>
        <v>-744.18604651162411</v>
      </c>
      <c r="J1216" s="2">
        <f>I1216-H1216</f>
        <v>89.463062999550061</v>
      </c>
      <c r="K1216" s="2">
        <f t="shared" si="153"/>
        <v>-89.463062999550061</v>
      </c>
      <c r="L1216" s="14">
        <f>C1216/B1216</f>
        <v>1.1212265953381735</v>
      </c>
      <c r="M1216" s="14">
        <f t="shared" si="156"/>
        <v>1.1195771442769571</v>
      </c>
      <c r="N1216" s="14">
        <f t="shared" si="160"/>
        <v>1.1197498663160665</v>
      </c>
      <c r="O1216" s="14">
        <f t="shared" si="161"/>
        <v>1.116259404588507</v>
      </c>
      <c r="P1216" s="14">
        <f t="shared" si="154"/>
        <v>1.1081581236908897</v>
      </c>
      <c r="Q1216" s="4" t="str">
        <f t="shared" si="159"/>
        <v>OVER</v>
      </c>
      <c r="R1216" s="4" t="str">
        <f t="shared" si="159"/>
        <v>OVER</v>
      </c>
      <c r="S1216" s="4" t="str">
        <f t="shared" si="157"/>
        <v>OVER</v>
      </c>
      <c r="T1216" s="4" t="str">
        <f t="shared" si="157"/>
        <v>OVER</v>
      </c>
      <c r="U1216" s="2">
        <f>IF(Q1216="OVER",$J1216,$K1216)</f>
        <v>89.463062999550061</v>
      </c>
      <c r="V1216" s="2">
        <f>IF(R1216="OVER",$J1216,$K1216)</f>
        <v>89.463062999550061</v>
      </c>
      <c r="W1216" s="2">
        <f>IF(S1216="OVER",$J1216,$K1216)</f>
        <v>89.463062999550061</v>
      </c>
      <c r="X1216" s="2">
        <f>IF(T1216="OVER",$J1216,$K1216)</f>
        <v>89.463062999550061</v>
      </c>
      <c r="Y1216" s="9">
        <f t="shared" si="158"/>
        <v>-49917.390174906301</v>
      </c>
      <c r="Z1216" s="9">
        <f t="shared" si="158"/>
        <v>-46748.128483566914</v>
      </c>
      <c r="AA1216" s="9">
        <f t="shared" si="158"/>
        <v>64627.756165834675</v>
      </c>
      <c r="AB1216" s="9">
        <f t="shared" si="155"/>
        <v>29306.469100894366</v>
      </c>
    </row>
    <row r="1217" spans="1:28" x14ac:dyDescent="0.3">
      <c r="A1217" s="1">
        <v>46183</v>
      </c>
      <c r="B1217" s="2">
        <v>103.36</v>
      </c>
      <c r="C1217" s="2">
        <v>115.55</v>
      </c>
      <c r="D1217" s="9">
        <f>B1217-B1216</f>
        <v>-1.3200000000000074</v>
      </c>
      <c r="E1217" s="9">
        <f>C1217-C1216</f>
        <v>-1.8200000000000074</v>
      </c>
      <c r="F1217" s="3">
        <f>F$1/B1217</f>
        <v>967.49226006191952</v>
      </c>
      <c r="G1217" s="3">
        <f>F$1/C1217</f>
        <v>865.42622241453921</v>
      </c>
      <c r="H1217" s="2">
        <f>D1217*F1216</f>
        <v>-1260.985861673679</v>
      </c>
      <c r="I1217" s="2">
        <f>E1217*G1216</f>
        <v>-1550.6517849535719</v>
      </c>
      <c r="J1217" s="2">
        <f>I1217-H1217</f>
        <v>-289.66592327989292</v>
      </c>
      <c r="K1217" s="2">
        <f t="shared" si="153"/>
        <v>289.66592327989292</v>
      </c>
      <c r="L1217" s="14">
        <f>C1217/B1217</f>
        <v>1.1179373065015479</v>
      </c>
      <c r="M1217" s="14">
        <f t="shared" si="156"/>
        <v>1.1191830533949818</v>
      </c>
      <c r="N1217" s="14">
        <f t="shared" si="160"/>
        <v>1.1198505289887253</v>
      </c>
      <c r="O1217" s="14">
        <f t="shared" si="161"/>
        <v>1.1163472612306675</v>
      </c>
      <c r="P1217" s="14">
        <f t="shared" si="154"/>
        <v>1.108289457501201</v>
      </c>
      <c r="Q1217" s="4" t="str">
        <f t="shared" si="159"/>
        <v>OVER</v>
      </c>
      <c r="R1217" s="4" t="str">
        <f t="shared" si="159"/>
        <v>OVER</v>
      </c>
      <c r="S1217" s="4" t="str">
        <f t="shared" si="157"/>
        <v>OVER</v>
      </c>
      <c r="T1217" s="4" t="str">
        <f t="shared" si="157"/>
        <v>OVER</v>
      </c>
      <c r="U1217" s="2">
        <f>IF(Q1217="OVER",$J1217,$K1217)</f>
        <v>-289.66592327989292</v>
      </c>
      <c r="V1217" s="2">
        <f>IF(R1217="OVER",$J1217,$K1217)</f>
        <v>-289.66592327989292</v>
      </c>
      <c r="W1217" s="2">
        <f>IF(S1217="OVER",$J1217,$K1217)</f>
        <v>-289.66592327989292</v>
      </c>
      <c r="X1217" s="2">
        <f>IF(T1217="OVER",$J1217,$K1217)</f>
        <v>-289.66592327989292</v>
      </c>
      <c r="Y1217" s="9">
        <f t="shared" si="158"/>
        <v>-50207.056098186193</v>
      </c>
      <c r="Z1217" s="9">
        <f t="shared" si="158"/>
        <v>-47037.794406846806</v>
      </c>
      <c r="AA1217" s="9">
        <f t="shared" si="158"/>
        <v>64338.090242554783</v>
      </c>
      <c r="AB1217" s="9">
        <f t="shared" si="155"/>
        <v>29016.803177614474</v>
      </c>
    </row>
    <row r="1218" spans="1:28" x14ac:dyDescent="0.3">
      <c r="A1218" s="1">
        <v>46184</v>
      </c>
      <c r="B1218" s="2">
        <v>105.62</v>
      </c>
      <c r="C1218" s="2">
        <v>118.15</v>
      </c>
      <c r="D1218" s="9">
        <f>B1218-B1217</f>
        <v>2.2600000000000051</v>
      </c>
      <c r="E1218" s="9">
        <f>C1218-C1217</f>
        <v>2.6000000000000085</v>
      </c>
      <c r="F1218" s="3">
        <f>F$1/B1218</f>
        <v>946.79038060973301</v>
      </c>
      <c r="G1218" s="3">
        <f>F$1/C1218</f>
        <v>846.38171815488784</v>
      </c>
      <c r="H1218" s="2">
        <f>D1218*F1217</f>
        <v>2186.532507739943</v>
      </c>
      <c r="I1218" s="2">
        <f>E1218*G1217</f>
        <v>2250.1081782778092</v>
      </c>
      <c r="J1218" s="2">
        <f>I1218-H1218</f>
        <v>63.575670537866245</v>
      </c>
      <c r="K1218" s="2">
        <f t="shared" si="153"/>
        <v>-63.575670537866245</v>
      </c>
      <c r="L1218" s="14">
        <f>C1218/B1218</f>
        <v>1.1186328346903995</v>
      </c>
      <c r="M1218" s="14">
        <f t="shared" si="156"/>
        <v>1.1192657947177167</v>
      </c>
      <c r="N1218" s="14">
        <f t="shared" si="160"/>
        <v>1.1198504468454633</v>
      </c>
      <c r="O1218" s="14">
        <f t="shared" si="161"/>
        <v>1.1164755997426574</v>
      </c>
      <c r="P1218" s="14">
        <f t="shared" si="154"/>
        <v>1.1084278642119663</v>
      </c>
      <c r="Q1218" s="4" t="str">
        <f t="shared" si="159"/>
        <v>UNDER</v>
      </c>
      <c r="R1218" s="4" t="str">
        <f t="shared" si="159"/>
        <v>UNDER</v>
      </c>
      <c r="S1218" s="4" t="str">
        <f t="shared" si="157"/>
        <v>OVER</v>
      </c>
      <c r="T1218" s="4" t="str">
        <f t="shared" si="157"/>
        <v>OVER</v>
      </c>
      <c r="U1218" s="2">
        <f>IF(Q1218="OVER",$J1218,$K1218)</f>
        <v>-63.575670537866245</v>
      </c>
      <c r="V1218" s="2">
        <f>IF(R1218="OVER",$J1218,$K1218)</f>
        <v>-63.575670537866245</v>
      </c>
      <c r="W1218" s="2">
        <f>IF(S1218="OVER",$J1218,$K1218)</f>
        <v>63.575670537866245</v>
      </c>
      <c r="X1218" s="2">
        <f>IF(T1218="OVER",$J1218,$K1218)</f>
        <v>63.575670537866245</v>
      </c>
      <c r="Y1218" s="9">
        <f t="shared" si="158"/>
        <v>-50270.631768724059</v>
      </c>
      <c r="Z1218" s="9">
        <f t="shared" si="158"/>
        <v>-47101.370077384672</v>
      </c>
      <c r="AA1218" s="9">
        <f t="shared" si="158"/>
        <v>64401.665913092649</v>
      </c>
      <c r="AB1218" s="9">
        <f t="shared" si="155"/>
        <v>29080.378848152341</v>
      </c>
    </row>
    <row r="1219" spans="1:28" x14ac:dyDescent="0.3">
      <c r="A1219" s="1">
        <v>46185</v>
      </c>
      <c r="B1219" s="2">
        <v>106.88</v>
      </c>
      <c r="C1219" s="2">
        <v>119.75</v>
      </c>
      <c r="D1219" s="9">
        <f>B1219-B1218</f>
        <v>1.2599999999999909</v>
      </c>
      <c r="E1219" s="9">
        <f>C1219-C1218</f>
        <v>1.5999999999999943</v>
      </c>
      <c r="F1219" s="3">
        <f>F$1/B1219</f>
        <v>935.6287425149701</v>
      </c>
      <c r="G1219" s="3">
        <f>F$1/C1219</f>
        <v>835.07306889352822</v>
      </c>
      <c r="H1219" s="2">
        <f>D1219*F1218</f>
        <v>1192.9558795682549</v>
      </c>
      <c r="I1219" s="2">
        <f>E1219*G1218</f>
        <v>1354.2107490478156</v>
      </c>
      <c r="J1219" s="2">
        <f>I1219-H1219</f>
        <v>161.25486947956074</v>
      </c>
      <c r="K1219" s="2">
        <f t="shared" si="153"/>
        <v>-161.25486947956074</v>
      </c>
      <c r="L1219" s="14">
        <f>C1219/B1219</f>
        <v>1.1204154191616766</v>
      </c>
      <c r="M1219" s="14">
        <f t="shared" si="156"/>
        <v>1.1196699638309244</v>
      </c>
      <c r="N1219" s="14">
        <f t="shared" si="160"/>
        <v>1.119954918657446</v>
      </c>
      <c r="O1219" s="14">
        <f t="shared" si="161"/>
        <v>1.1166453442673421</v>
      </c>
      <c r="P1219" s="14">
        <f t="shared" si="154"/>
        <v>1.10857259588704</v>
      </c>
      <c r="Q1219" s="4" t="str">
        <f t="shared" si="159"/>
        <v>UNDER</v>
      </c>
      <c r="R1219" s="4" t="str">
        <f t="shared" si="159"/>
        <v>UNDER</v>
      </c>
      <c r="S1219" s="4" t="str">
        <f t="shared" si="157"/>
        <v>OVER</v>
      </c>
      <c r="T1219" s="4" t="str">
        <f t="shared" si="157"/>
        <v>OVER</v>
      </c>
      <c r="U1219" s="2">
        <f>IF(Q1219="OVER",$J1219,$K1219)</f>
        <v>-161.25486947956074</v>
      </c>
      <c r="V1219" s="2">
        <f>IF(R1219="OVER",$J1219,$K1219)</f>
        <v>-161.25486947956074</v>
      </c>
      <c r="W1219" s="2">
        <f>IF(S1219="OVER",$J1219,$K1219)</f>
        <v>161.25486947956074</v>
      </c>
      <c r="X1219" s="2">
        <f>IF(T1219="OVER",$J1219,$K1219)</f>
        <v>161.25486947956074</v>
      </c>
      <c r="Y1219" s="9">
        <f t="shared" si="158"/>
        <v>-50431.886638203621</v>
      </c>
      <c r="Z1219" s="9">
        <f t="shared" si="158"/>
        <v>-47262.624946864235</v>
      </c>
      <c r="AA1219" s="9">
        <f t="shared" si="158"/>
        <v>64562.920782572211</v>
      </c>
      <c r="AB1219" s="9">
        <f t="shared" si="155"/>
        <v>29241.633717631903</v>
      </c>
    </row>
    <row r="1220" spans="1:28" x14ac:dyDescent="0.3">
      <c r="A1220" s="1">
        <v>46188</v>
      </c>
      <c r="B1220" s="2">
        <v>109.77</v>
      </c>
      <c r="C1220" s="2">
        <v>123.18</v>
      </c>
      <c r="D1220" s="9">
        <f>B1220-B1219</f>
        <v>2.8900000000000006</v>
      </c>
      <c r="E1220" s="9">
        <f>C1220-C1219</f>
        <v>3.4300000000000068</v>
      </c>
      <c r="F1220" s="3">
        <f>F$1/B1220</f>
        <v>910.99571832012396</v>
      </c>
      <c r="G1220" s="3">
        <f>F$1/C1220</f>
        <v>811.82010066569239</v>
      </c>
      <c r="H1220" s="2">
        <f>D1220*F1219</f>
        <v>2703.9670658682639</v>
      </c>
      <c r="I1220" s="2">
        <f>E1220*G1219</f>
        <v>2864.3006263048073</v>
      </c>
      <c r="J1220" s="2">
        <f>I1220-H1220</f>
        <v>160.33356043654339</v>
      </c>
      <c r="K1220" s="2">
        <f t="shared" si="153"/>
        <v>-160.33356043654339</v>
      </c>
      <c r="L1220" s="14">
        <f>C1220/B1220</f>
        <v>1.1221645258267288</v>
      </c>
      <c r="M1220" s="14">
        <f t="shared" si="156"/>
        <v>1.1198239107021837</v>
      </c>
      <c r="N1220" s="14">
        <f t="shared" si="160"/>
        <v>1.1199913746138546</v>
      </c>
      <c r="O1220" s="14">
        <f t="shared" si="161"/>
        <v>1.116818538320854</v>
      </c>
      <c r="P1220" s="14">
        <f t="shared" si="154"/>
        <v>1.1087355792968427</v>
      </c>
      <c r="Q1220" s="4" t="str">
        <f t="shared" si="159"/>
        <v>OVER</v>
      </c>
      <c r="R1220" s="4" t="str">
        <f t="shared" si="159"/>
        <v>OVER</v>
      </c>
      <c r="S1220" s="4" t="str">
        <f t="shared" si="157"/>
        <v>OVER</v>
      </c>
      <c r="T1220" s="4" t="str">
        <f t="shared" si="157"/>
        <v>OVER</v>
      </c>
      <c r="U1220" s="2">
        <f>IF(Q1220="OVER",$J1220,$K1220)</f>
        <v>160.33356043654339</v>
      </c>
      <c r="V1220" s="2">
        <f>IF(R1220="OVER",$J1220,$K1220)</f>
        <v>160.33356043654339</v>
      </c>
      <c r="W1220" s="2">
        <f>IF(S1220="OVER",$J1220,$K1220)</f>
        <v>160.33356043654339</v>
      </c>
      <c r="X1220" s="2">
        <f>IF(T1220="OVER",$J1220,$K1220)</f>
        <v>160.33356043654339</v>
      </c>
      <c r="Y1220" s="9">
        <f t="shared" si="158"/>
        <v>-50271.553077767079</v>
      </c>
      <c r="Z1220" s="9">
        <f t="shared" si="158"/>
        <v>-47102.291386427692</v>
      </c>
      <c r="AA1220" s="9">
        <f t="shared" si="158"/>
        <v>64723.254343008753</v>
      </c>
      <c r="AB1220" s="9">
        <f t="shared" si="155"/>
        <v>29401.967278068445</v>
      </c>
    </row>
    <row r="1221" spans="1:28" x14ac:dyDescent="0.3">
      <c r="A1221" s="1">
        <v>46189</v>
      </c>
      <c r="B1221" s="2">
        <v>109.48</v>
      </c>
      <c r="C1221" s="2">
        <v>122.76</v>
      </c>
      <c r="D1221" s="9">
        <f>B1221-B1220</f>
        <v>-0.28999999999999204</v>
      </c>
      <c r="E1221" s="9">
        <f>C1221-C1220</f>
        <v>-0.42000000000000171</v>
      </c>
      <c r="F1221" s="3">
        <f>F$1/B1221</f>
        <v>913.40884179758859</v>
      </c>
      <c r="G1221" s="3">
        <f>F$1/C1221</f>
        <v>814.59758879113713</v>
      </c>
      <c r="H1221" s="2">
        <f>D1221*F1220</f>
        <v>-264.18875831282872</v>
      </c>
      <c r="I1221" s="2">
        <f>E1221*G1220</f>
        <v>-340.96444227959216</v>
      </c>
      <c r="J1221" s="2">
        <f>I1221-H1221</f>
        <v>-76.775683966763438</v>
      </c>
      <c r="K1221" s="2">
        <f t="shared" ref="K1221:K1257" si="162">H1221-I1221</f>
        <v>76.775683966763438</v>
      </c>
      <c r="L1221" s="14">
        <f>C1221/B1221</f>
        <v>1.1213006941907198</v>
      </c>
      <c r="M1221" s="14">
        <f t="shared" si="156"/>
        <v>1.1200702885915461</v>
      </c>
      <c r="N1221" s="14">
        <f t="shared" si="160"/>
        <v>1.1199801892183934</v>
      </c>
      <c r="O1221" s="14">
        <f t="shared" si="161"/>
        <v>1.1169446165685391</v>
      </c>
      <c r="P1221" s="14">
        <f t="shared" si="154"/>
        <v>1.1088715421959709</v>
      </c>
      <c r="Q1221" s="4" t="str">
        <f t="shared" si="159"/>
        <v>OVER</v>
      </c>
      <c r="R1221" s="4" t="str">
        <f t="shared" si="159"/>
        <v>OVER</v>
      </c>
      <c r="S1221" s="4" t="str">
        <f t="shared" si="157"/>
        <v>OVER</v>
      </c>
      <c r="T1221" s="4" t="str">
        <f t="shared" si="157"/>
        <v>OVER</v>
      </c>
      <c r="U1221" s="2">
        <f>IF(Q1221="OVER",$J1221,$K1221)</f>
        <v>-76.775683966763438</v>
      </c>
      <c r="V1221" s="2">
        <f>IF(R1221="OVER",$J1221,$K1221)</f>
        <v>-76.775683966763438</v>
      </c>
      <c r="W1221" s="2">
        <f>IF(S1221="OVER",$J1221,$K1221)</f>
        <v>-76.775683966763438</v>
      </c>
      <c r="X1221" s="2">
        <f>IF(T1221="OVER",$J1221,$K1221)</f>
        <v>-76.775683966763438</v>
      </c>
      <c r="Y1221" s="9">
        <f t="shared" si="158"/>
        <v>-50348.328761733843</v>
      </c>
      <c r="Z1221" s="9">
        <f t="shared" si="158"/>
        <v>-47179.067070394456</v>
      </c>
      <c r="AA1221" s="9">
        <f t="shared" si="158"/>
        <v>64646.47865904199</v>
      </c>
      <c r="AB1221" s="9">
        <f t="shared" si="155"/>
        <v>29325.191594101681</v>
      </c>
    </row>
    <row r="1222" spans="1:28" x14ac:dyDescent="0.3">
      <c r="A1222" s="1">
        <v>46190</v>
      </c>
      <c r="B1222" s="2">
        <v>109.54</v>
      </c>
      <c r="C1222" s="2">
        <v>122.97</v>
      </c>
      <c r="D1222" s="9">
        <f>B1222-B1221</f>
        <v>6.0000000000002274E-2</v>
      </c>
      <c r="E1222" s="9">
        <f>C1222-C1221</f>
        <v>0.20999999999999375</v>
      </c>
      <c r="F1222" s="3">
        <f>F$1/B1222</f>
        <v>912.90852656563811</v>
      </c>
      <c r="G1222" s="3">
        <f>F$1/C1222</f>
        <v>813.20647312352605</v>
      </c>
      <c r="H1222" s="2">
        <f>D1222*F1221</f>
        <v>54.804530507857393</v>
      </c>
      <c r="I1222" s="2">
        <f>E1222*G1221</f>
        <v>171.06549364613372</v>
      </c>
      <c r="J1222" s="2">
        <f>I1222-H1222</f>
        <v>116.26096313827632</v>
      </c>
      <c r="K1222" s="2">
        <f t="shared" si="162"/>
        <v>-116.26096313827632</v>
      </c>
      <c r="L1222" s="14">
        <f>C1222/B1222</f>
        <v>1.1226036151177652</v>
      </c>
      <c r="M1222" s="14">
        <f t="shared" si="156"/>
        <v>1.1202349073662496</v>
      </c>
      <c r="N1222" s="14">
        <f t="shared" si="160"/>
        <v>1.1201556647809976</v>
      </c>
      <c r="O1222" s="14">
        <f t="shared" si="161"/>
        <v>1.1171183427498372</v>
      </c>
      <c r="P1222" s="14">
        <f t="shared" si="154"/>
        <v>1.1090111017643738</v>
      </c>
      <c r="Q1222" s="4" t="str">
        <f t="shared" si="159"/>
        <v>OVER</v>
      </c>
      <c r="R1222" s="4" t="str">
        <f t="shared" si="159"/>
        <v>OVER</v>
      </c>
      <c r="S1222" s="4" t="str">
        <f t="shared" si="157"/>
        <v>OVER</v>
      </c>
      <c r="T1222" s="4" t="str">
        <f t="shared" si="157"/>
        <v>OVER</v>
      </c>
      <c r="U1222" s="2">
        <f>IF(Q1222="OVER",$J1222,$K1222)</f>
        <v>116.26096313827632</v>
      </c>
      <c r="V1222" s="2">
        <f>IF(R1222="OVER",$J1222,$K1222)</f>
        <v>116.26096313827632</v>
      </c>
      <c r="W1222" s="2">
        <f>IF(S1222="OVER",$J1222,$K1222)</f>
        <v>116.26096313827632</v>
      </c>
      <c r="X1222" s="2">
        <f>IF(T1222="OVER",$J1222,$K1222)</f>
        <v>116.26096313827632</v>
      </c>
      <c r="Y1222" s="9">
        <f t="shared" si="158"/>
        <v>-50232.06779859557</v>
      </c>
      <c r="Z1222" s="9">
        <f t="shared" si="158"/>
        <v>-47062.806107256183</v>
      </c>
      <c r="AA1222" s="9">
        <f t="shared" si="158"/>
        <v>64762.739622180263</v>
      </c>
      <c r="AB1222" s="9">
        <f t="shared" si="155"/>
        <v>29441.452557239958</v>
      </c>
    </row>
    <row r="1223" spans="1:28" x14ac:dyDescent="0.3">
      <c r="A1223" s="1">
        <v>46191</v>
      </c>
      <c r="B1223" s="2">
        <v>110.58</v>
      </c>
      <c r="C1223" s="2">
        <v>124.25</v>
      </c>
      <c r="D1223" s="9">
        <f>B1223-B1222</f>
        <v>1.039999999999992</v>
      </c>
      <c r="E1223" s="9">
        <f>C1223-C1222</f>
        <v>1.2800000000000011</v>
      </c>
      <c r="F1223" s="3">
        <f>F$1/B1223</f>
        <v>904.32266232591792</v>
      </c>
      <c r="G1223" s="3">
        <f>F$1/C1223</f>
        <v>804.82897384305841</v>
      </c>
      <c r="H1223" s="2">
        <f>D1223*F1222</f>
        <v>949.42486762825638</v>
      </c>
      <c r="I1223" s="2">
        <f>E1223*G1222</f>
        <v>1040.9042855981143</v>
      </c>
      <c r="J1223" s="2">
        <f>I1223-H1223</f>
        <v>91.479417969857877</v>
      </c>
      <c r="K1223" s="2">
        <f t="shared" si="162"/>
        <v>-91.479417969857877</v>
      </c>
      <c r="L1223" s="14">
        <f>C1223/B1223</f>
        <v>1.1236209079399531</v>
      </c>
      <c r="M1223" s="14">
        <f t="shared" si="156"/>
        <v>1.1206145068233857</v>
      </c>
      <c r="N1223" s="14">
        <f t="shared" si="160"/>
        <v>1.1202946192071874</v>
      </c>
      <c r="O1223" s="14">
        <f t="shared" si="161"/>
        <v>1.117308366469379</v>
      </c>
      <c r="P1223" s="14">
        <f t="shared" si="154"/>
        <v>1.10915099596125</v>
      </c>
      <c r="Q1223" s="4" t="str">
        <f t="shared" si="159"/>
        <v>OVER</v>
      </c>
      <c r="R1223" s="4" t="str">
        <f t="shared" si="159"/>
        <v>OVER</v>
      </c>
      <c r="S1223" s="4" t="str">
        <f t="shared" si="157"/>
        <v>OVER</v>
      </c>
      <c r="T1223" s="4" t="str">
        <f t="shared" si="157"/>
        <v>OVER</v>
      </c>
      <c r="U1223" s="2">
        <f>IF(Q1223="OVER",$J1223,$K1223)</f>
        <v>91.479417969857877</v>
      </c>
      <c r="V1223" s="2">
        <f>IF(R1223="OVER",$J1223,$K1223)</f>
        <v>91.479417969857877</v>
      </c>
      <c r="W1223" s="2">
        <f>IF(S1223="OVER",$J1223,$K1223)</f>
        <v>91.479417969857877</v>
      </c>
      <c r="X1223" s="2">
        <f>IF(T1223="OVER",$J1223,$K1223)</f>
        <v>91.479417969857877</v>
      </c>
      <c r="Y1223" s="9">
        <f t="shared" si="158"/>
        <v>-50140.588380625712</v>
      </c>
      <c r="Z1223" s="9">
        <f t="shared" si="158"/>
        <v>-46971.326689286325</v>
      </c>
      <c r="AA1223" s="9">
        <f t="shared" si="158"/>
        <v>64854.219040150121</v>
      </c>
      <c r="AB1223" s="9">
        <f t="shared" si="155"/>
        <v>29532.931975209816</v>
      </c>
    </row>
    <row r="1224" spans="1:28" x14ac:dyDescent="0.3">
      <c r="A1224" s="1">
        <v>46195</v>
      </c>
      <c r="B1224" s="2">
        <v>110.42</v>
      </c>
      <c r="C1224" s="2">
        <v>124.27</v>
      </c>
      <c r="D1224" s="9">
        <f>B1224-B1223</f>
        <v>-0.15999999999999659</v>
      </c>
      <c r="E1224" s="9">
        <f>C1224-C1223</f>
        <v>1.9999999999996021E-2</v>
      </c>
      <c r="F1224" s="3">
        <f>F$1/B1224</f>
        <v>905.63303749320778</v>
      </c>
      <c r="G1224" s="3">
        <f>F$1/C1224</f>
        <v>804.69944475738316</v>
      </c>
      <c r="H1224" s="2">
        <f>D1224*F1223</f>
        <v>-144.69162597214378</v>
      </c>
      <c r="I1224" s="2">
        <f>E1224*G1223</f>
        <v>16.096579476857965</v>
      </c>
      <c r="J1224" s="2">
        <f>I1224-H1224</f>
        <v>160.78820544900174</v>
      </c>
      <c r="K1224" s="2">
        <f t="shared" si="162"/>
        <v>-160.78820544900174</v>
      </c>
      <c r="L1224" s="14">
        <f>C1224/B1224</f>
        <v>1.1254301756928091</v>
      </c>
      <c r="M1224" s="14">
        <f t="shared" si="156"/>
        <v>1.121354806536542</v>
      </c>
      <c r="N1224" s="14">
        <f t="shared" si="160"/>
        <v>1.120577706239906</v>
      </c>
      <c r="O1224" s="14">
        <f t="shared" si="161"/>
        <v>1.1175270518400375</v>
      </c>
      <c r="P1224" s="14">
        <f t="shared" si="154"/>
        <v>1.1092939939615969</v>
      </c>
      <c r="Q1224" s="4" t="str">
        <f t="shared" si="159"/>
        <v>OVER</v>
      </c>
      <c r="R1224" s="4" t="str">
        <f t="shared" si="159"/>
        <v>OVER</v>
      </c>
      <c r="S1224" s="4" t="str">
        <f t="shared" si="157"/>
        <v>OVER</v>
      </c>
      <c r="T1224" s="4" t="str">
        <f t="shared" si="157"/>
        <v>OVER</v>
      </c>
      <c r="U1224" s="2">
        <f>IF(Q1224="OVER",$J1224,$K1224)</f>
        <v>160.78820544900174</v>
      </c>
      <c r="V1224" s="2">
        <f>IF(R1224="OVER",$J1224,$K1224)</f>
        <v>160.78820544900174</v>
      </c>
      <c r="W1224" s="2">
        <f>IF(S1224="OVER",$J1224,$K1224)</f>
        <v>160.78820544900174</v>
      </c>
      <c r="X1224" s="2">
        <f>IF(T1224="OVER",$J1224,$K1224)</f>
        <v>160.78820544900174</v>
      </c>
      <c r="Y1224" s="9">
        <f t="shared" si="158"/>
        <v>-49979.800175176708</v>
      </c>
      <c r="Z1224" s="9">
        <f t="shared" si="158"/>
        <v>-46810.538483837321</v>
      </c>
      <c r="AA1224" s="9">
        <f t="shared" si="158"/>
        <v>65015.007245599125</v>
      </c>
      <c r="AB1224" s="9">
        <f t="shared" si="155"/>
        <v>29693.720180658816</v>
      </c>
    </row>
    <row r="1225" spans="1:28" x14ac:dyDescent="0.3">
      <c r="A1225" s="1">
        <v>46196</v>
      </c>
      <c r="B1225" s="2">
        <v>108.24</v>
      </c>
      <c r="C1225" s="2">
        <v>121.85</v>
      </c>
      <c r="D1225" s="9">
        <f>B1225-B1224</f>
        <v>-2.1800000000000068</v>
      </c>
      <c r="E1225" s="9">
        <f>C1225-C1224</f>
        <v>-2.4200000000000017</v>
      </c>
      <c r="F1225" s="3">
        <f>F$1/B1225</f>
        <v>923.87287509238729</v>
      </c>
      <c r="G1225" s="3">
        <f>F$1/C1225</f>
        <v>820.68116536725483</v>
      </c>
      <c r="H1225" s="2">
        <f>D1225*F1224</f>
        <v>-1974.2800217351992</v>
      </c>
      <c r="I1225" s="2">
        <f>E1225*G1224</f>
        <v>-1947.3726563128687</v>
      </c>
      <c r="J1225" s="2">
        <f>I1225-H1225</f>
        <v>26.907365422330486</v>
      </c>
      <c r="K1225" s="2">
        <f t="shared" si="162"/>
        <v>-26.907365422330486</v>
      </c>
      <c r="L1225" s="14">
        <f>C1225/B1225</f>
        <v>1.1257390983000739</v>
      </c>
      <c r="M1225" s="14">
        <f t="shared" si="156"/>
        <v>1.1219071172759847</v>
      </c>
      <c r="N1225" s="14">
        <f t="shared" si="160"/>
        <v>1.1208400515950423</v>
      </c>
      <c r="O1225" s="14">
        <f t="shared" si="161"/>
        <v>1.1177330255158835</v>
      </c>
      <c r="P1225" s="14">
        <f t="shared" si="154"/>
        <v>1.1094427917073384</v>
      </c>
      <c r="Q1225" s="4" t="str">
        <f t="shared" si="159"/>
        <v>OVER</v>
      </c>
      <c r="R1225" s="4" t="str">
        <f t="shared" si="159"/>
        <v>OVER</v>
      </c>
      <c r="S1225" s="4" t="str">
        <f t="shared" si="157"/>
        <v>OVER</v>
      </c>
      <c r="T1225" s="4" t="str">
        <f t="shared" si="157"/>
        <v>OVER</v>
      </c>
      <c r="U1225" s="2">
        <f>IF(Q1225="OVER",$J1225,$K1225)</f>
        <v>26.907365422330486</v>
      </c>
      <c r="V1225" s="2">
        <f>IF(R1225="OVER",$J1225,$K1225)</f>
        <v>26.907365422330486</v>
      </c>
      <c r="W1225" s="2">
        <f>IF(S1225="OVER",$J1225,$K1225)</f>
        <v>26.907365422330486</v>
      </c>
      <c r="X1225" s="2">
        <f>IF(T1225="OVER",$J1225,$K1225)</f>
        <v>26.907365422330486</v>
      </c>
      <c r="Y1225" s="9">
        <f t="shared" si="158"/>
        <v>-49952.892809754376</v>
      </c>
      <c r="Z1225" s="9">
        <f t="shared" si="158"/>
        <v>-46783.631118414989</v>
      </c>
      <c r="AA1225" s="9">
        <f t="shared" si="158"/>
        <v>65041.914611021457</v>
      </c>
      <c r="AB1225" s="9">
        <f t="shared" si="155"/>
        <v>29720.627546081148</v>
      </c>
    </row>
    <row r="1226" spans="1:28" x14ac:dyDescent="0.3">
      <c r="A1226" s="1">
        <v>46197</v>
      </c>
      <c r="B1226" s="2">
        <v>107.13</v>
      </c>
      <c r="C1226" s="2">
        <v>120.56</v>
      </c>
      <c r="D1226" s="9">
        <f>B1226-B1225</f>
        <v>-1.1099999999999994</v>
      </c>
      <c r="E1226" s="9">
        <f>C1226-C1225</f>
        <v>-1.289999999999992</v>
      </c>
      <c r="F1226" s="3">
        <f>F$1/B1226</f>
        <v>933.44534677494642</v>
      </c>
      <c r="G1226" s="3">
        <f>F$1/C1226</f>
        <v>829.46250829462508</v>
      </c>
      <c r="H1226" s="2">
        <f>D1226*F1225</f>
        <v>-1025.4988913525494</v>
      </c>
      <c r="I1226" s="2">
        <f>E1226*G1225</f>
        <v>-1058.6787033237522</v>
      </c>
      <c r="J1226" s="2">
        <f>I1226-H1226</f>
        <v>-33.179811971202753</v>
      </c>
      <c r="K1226" s="2">
        <f t="shared" si="162"/>
        <v>33.179811971202753</v>
      </c>
      <c r="L1226" s="14">
        <f>C1226/B1226</f>
        <v>1.1253617100718754</v>
      </c>
      <c r="M1226" s="14">
        <f t="shared" si="156"/>
        <v>1.1223206287493548</v>
      </c>
      <c r="N1226" s="14">
        <f t="shared" si="160"/>
        <v>1.1209488865131561</v>
      </c>
      <c r="O1226" s="14">
        <f t="shared" si="161"/>
        <v>1.1180518657655432</v>
      </c>
      <c r="P1226" s="14">
        <f t="shared" si="154"/>
        <v>1.1095803442503038</v>
      </c>
      <c r="Q1226" s="4" t="str">
        <f t="shared" si="159"/>
        <v>OVER</v>
      </c>
      <c r="R1226" s="4" t="str">
        <f t="shared" si="159"/>
        <v>OVER</v>
      </c>
      <c r="S1226" s="4" t="str">
        <f t="shared" si="157"/>
        <v>OVER</v>
      </c>
      <c r="T1226" s="4" t="str">
        <f t="shared" si="157"/>
        <v>OVER</v>
      </c>
      <c r="U1226" s="2">
        <f>IF(Q1226="OVER",$J1226,$K1226)</f>
        <v>-33.179811971202753</v>
      </c>
      <c r="V1226" s="2">
        <f>IF(R1226="OVER",$J1226,$K1226)</f>
        <v>-33.179811971202753</v>
      </c>
      <c r="W1226" s="2">
        <f>IF(S1226="OVER",$J1226,$K1226)</f>
        <v>-33.179811971202753</v>
      </c>
      <c r="X1226" s="2">
        <f>IF(T1226="OVER",$J1226,$K1226)</f>
        <v>-33.179811971202753</v>
      </c>
      <c r="Y1226" s="9">
        <f t="shared" si="158"/>
        <v>-49986.07262172558</v>
      </c>
      <c r="Z1226" s="9">
        <f t="shared" si="158"/>
        <v>-46816.810930386193</v>
      </c>
      <c r="AA1226" s="9">
        <f t="shared" si="158"/>
        <v>65008.734799050253</v>
      </c>
      <c r="AB1226" s="9">
        <f t="shared" si="155"/>
        <v>29687.447734109945</v>
      </c>
    </row>
    <row r="1227" spans="1:28" x14ac:dyDescent="0.3">
      <c r="A1227" s="1">
        <v>46198</v>
      </c>
      <c r="B1227" s="2">
        <v>107.52</v>
      </c>
      <c r="C1227" s="2">
        <v>121.04</v>
      </c>
      <c r="D1227" s="9">
        <f>B1227-B1226</f>
        <v>0.39000000000000057</v>
      </c>
      <c r="E1227" s="9">
        <f>C1227-C1226</f>
        <v>0.48000000000000398</v>
      </c>
      <c r="F1227" s="3">
        <f>F$1/B1227</f>
        <v>930.05952380952385</v>
      </c>
      <c r="G1227" s="3">
        <f>F$1/C1227</f>
        <v>826.17316589557163</v>
      </c>
      <c r="H1227" s="2">
        <f>D1227*F1226</f>
        <v>364.04368524222963</v>
      </c>
      <c r="I1227" s="2">
        <f>E1227*G1226</f>
        <v>398.14200398142333</v>
      </c>
      <c r="J1227" s="2">
        <f>I1227-H1227</f>
        <v>34.098318739193701</v>
      </c>
      <c r="K1227" s="2">
        <f t="shared" si="162"/>
        <v>-34.098318739193701</v>
      </c>
      <c r="L1227" s="14">
        <f>C1227/B1227</f>
        <v>1.1257440476190477</v>
      </c>
      <c r="M1227" s="14">
        <f t="shared" si="156"/>
        <v>1.1231013028611048</v>
      </c>
      <c r="N1227" s="14">
        <f t="shared" si="160"/>
        <v>1.1211421781280433</v>
      </c>
      <c r="O1227" s="14">
        <f t="shared" si="161"/>
        <v>1.1183490211007652</v>
      </c>
      <c r="P1227" s="14">
        <f t="shared" ref="P1227:P1257" si="163">AVERAGE(L1028:L1227)</f>
        <v>1.1097118301025959</v>
      </c>
      <c r="Q1227" s="4" t="str">
        <f t="shared" si="159"/>
        <v>OVER</v>
      </c>
      <c r="R1227" s="4" t="str">
        <f t="shared" si="159"/>
        <v>OVER</v>
      </c>
      <c r="S1227" s="4" t="str">
        <f t="shared" si="157"/>
        <v>OVER</v>
      </c>
      <c r="T1227" s="4" t="str">
        <f t="shared" si="157"/>
        <v>OVER</v>
      </c>
      <c r="U1227" s="2">
        <f>IF(Q1227="OVER",$J1227,$K1227)</f>
        <v>34.098318739193701</v>
      </c>
      <c r="V1227" s="2">
        <f>IF(R1227="OVER",$J1227,$K1227)</f>
        <v>34.098318739193701</v>
      </c>
      <c r="W1227" s="2">
        <f>IF(S1227="OVER",$J1227,$K1227)</f>
        <v>34.098318739193701</v>
      </c>
      <c r="X1227" s="2">
        <f>IF(T1227="OVER",$J1227,$K1227)</f>
        <v>34.098318739193701</v>
      </c>
      <c r="Y1227" s="9">
        <f t="shared" si="158"/>
        <v>-49951.974302986389</v>
      </c>
      <c r="Z1227" s="9">
        <f t="shared" si="158"/>
        <v>-46782.712611647003</v>
      </c>
      <c r="AA1227" s="9">
        <f t="shared" si="158"/>
        <v>65042.833117789443</v>
      </c>
      <c r="AB1227" s="9">
        <f t="shared" si="155"/>
        <v>29721.546052849139</v>
      </c>
    </row>
    <row r="1228" spans="1:28" x14ac:dyDescent="0.3">
      <c r="A1228" s="1">
        <v>46199</v>
      </c>
      <c r="B1228" s="2">
        <v>105.5</v>
      </c>
      <c r="C1228" s="2">
        <v>118.81</v>
      </c>
      <c r="D1228" s="9">
        <f>B1228-B1227</f>
        <v>-2.019999999999996</v>
      </c>
      <c r="E1228" s="9">
        <f>C1228-C1227</f>
        <v>-2.230000000000004</v>
      </c>
      <c r="F1228" s="3">
        <f>F$1/B1228</f>
        <v>947.8672985781991</v>
      </c>
      <c r="G1228" s="3">
        <f>F$1/C1228</f>
        <v>841.67999326656002</v>
      </c>
      <c r="H1228" s="2">
        <f>D1228*F1227</f>
        <v>-1878.7202380952344</v>
      </c>
      <c r="I1228" s="2">
        <f>E1228*G1227</f>
        <v>-1842.3661599471279</v>
      </c>
      <c r="J1228" s="2">
        <f>I1228-H1228</f>
        <v>36.35407814810651</v>
      </c>
      <c r="K1228" s="2">
        <f t="shared" si="162"/>
        <v>-36.35407814810651</v>
      </c>
      <c r="L1228" s="14">
        <f>C1228/B1228</f>
        <v>1.1261611374407583</v>
      </c>
      <c r="M1228" s="14">
        <f t="shared" si="156"/>
        <v>1.1238541331361409</v>
      </c>
      <c r="N1228" s="14">
        <f t="shared" si="160"/>
        <v>1.1215599639269285</v>
      </c>
      <c r="O1228" s="14">
        <f t="shared" si="161"/>
        <v>1.1185941463033826</v>
      </c>
      <c r="P1228" s="14">
        <f t="shared" si="163"/>
        <v>1.1098528655303417</v>
      </c>
      <c r="Q1228" s="4" t="str">
        <f t="shared" si="159"/>
        <v>OVER</v>
      </c>
      <c r="R1228" s="4" t="str">
        <f t="shared" si="159"/>
        <v>OVER</v>
      </c>
      <c r="S1228" s="4" t="str">
        <f t="shared" si="157"/>
        <v>OVER</v>
      </c>
      <c r="T1228" s="4" t="str">
        <f t="shared" si="157"/>
        <v>OVER</v>
      </c>
      <c r="U1228" s="2">
        <f>IF(Q1228="OVER",$J1228,$K1228)</f>
        <v>36.35407814810651</v>
      </c>
      <c r="V1228" s="2">
        <f>IF(R1228="OVER",$J1228,$K1228)</f>
        <v>36.35407814810651</v>
      </c>
      <c r="W1228" s="2">
        <f>IF(S1228="OVER",$J1228,$K1228)</f>
        <v>36.35407814810651</v>
      </c>
      <c r="X1228" s="2">
        <f>IF(T1228="OVER",$J1228,$K1228)</f>
        <v>36.35407814810651</v>
      </c>
      <c r="Y1228" s="9">
        <f t="shared" si="158"/>
        <v>-49915.620224838283</v>
      </c>
      <c r="Z1228" s="9">
        <f t="shared" si="158"/>
        <v>-46746.358533498897</v>
      </c>
      <c r="AA1228" s="9">
        <f t="shared" si="158"/>
        <v>65079.187195937549</v>
      </c>
      <c r="AB1228" s="9">
        <f t="shared" si="158"/>
        <v>29757.900130997245</v>
      </c>
    </row>
    <row r="1229" spans="1:28" x14ac:dyDescent="0.3">
      <c r="A1229" s="1">
        <v>46202</v>
      </c>
      <c r="B1229" s="2">
        <v>107.14</v>
      </c>
      <c r="C1229" s="2">
        <v>120.81</v>
      </c>
      <c r="D1229" s="9">
        <f>B1229-B1228</f>
        <v>1.6400000000000006</v>
      </c>
      <c r="E1229" s="9">
        <f>C1229-C1228</f>
        <v>2</v>
      </c>
      <c r="F1229" s="3">
        <f>F$1/B1229</f>
        <v>933.35822288594363</v>
      </c>
      <c r="G1229" s="3">
        <f>F$1/C1229</f>
        <v>827.74604751262314</v>
      </c>
      <c r="H1229" s="2">
        <f>D1229*F1228</f>
        <v>1554.502369668247</v>
      </c>
      <c r="I1229" s="2">
        <f>E1229*G1228</f>
        <v>1683.35998653312</v>
      </c>
      <c r="J1229" s="2">
        <f>I1229-H1229</f>
        <v>128.85761686487308</v>
      </c>
      <c r="K1229" s="2">
        <f t="shared" si="162"/>
        <v>-128.85761686487308</v>
      </c>
      <c r="L1229" s="14">
        <f>C1229/B1229</f>
        <v>1.1275900690685086</v>
      </c>
      <c r="M1229" s="14">
        <f t="shared" ref="M1229:M1257" si="164">AVERAGE(L1220:L1229)</f>
        <v>1.1245715981268241</v>
      </c>
      <c r="N1229" s="14">
        <f t="shared" si="160"/>
        <v>1.1221207809788738</v>
      </c>
      <c r="O1229" s="14">
        <f t="shared" si="161"/>
        <v>1.118937040155294</v>
      </c>
      <c r="P1229" s="14">
        <f t="shared" si="163"/>
        <v>1.1099954951726483</v>
      </c>
      <c r="Q1229" s="4" t="str">
        <f t="shared" si="159"/>
        <v>OVER</v>
      </c>
      <c r="R1229" s="4" t="str">
        <f t="shared" si="159"/>
        <v>OVER</v>
      </c>
      <c r="S1229" s="4" t="str">
        <f t="shared" ref="S1229:T1257" si="165">IF($L1229&gt;O1229,"OVER","UNDER")</f>
        <v>OVER</v>
      </c>
      <c r="T1229" s="4" t="str">
        <f t="shared" si="165"/>
        <v>OVER</v>
      </c>
      <c r="U1229" s="2">
        <f>IF(Q1229="OVER",$J1229,$K1229)</f>
        <v>128.85761686487308</v>
      </c>
      <c r="V1229" s="2">
        <f>IF(R1229="OVER",$J1229,$K1229)</f>
        <v>128.85761686487308</v>
      </c>
      <c r="W1229" s="2">
        <f>IF(S1229="OVER",$J1229,$K1229)</f>
        <v>128.85761686487308</v>
      </c>
      <c r="X1229" s="2">
        <f>IF(T1229="OVER",$J1229,$K1229)</f>
        <v>128.85761686487308</v>
      </c>
      <c r="Y1229" s="9">
        <f t="shared" ref="Y1229:AB1257" si="166">Y1228+U1229</f>
        <v>-49786.762607973411</v>
      </c>
      <c r="Z1229" s="9">
        <f t="shared" si="166"/>
        <v>-46617.500916634024</v>
      </c>
      <c r="AA1229" s="9">
        <f t="shared" si="166"/>
        <v>65208.044812802422</v>
      </c>
      <c r="AB1229" s="9">
        <f t="shared" si="166"/>
        <v>29886.757747862117</v>
      </c>
    </row>
    <row r="1230" spans="1:28" x14ac:dyDescent="0.3">
      <c r="A1230" s="1">
        <v>46203</v>
      </c>
      <c r="B1230" s="2">
        <v>107.82</v>
      </c>
      <c r="C1230" s="2">
        <v>121.74</v>
      </c>
      <c r="D1230" s="9">
        <f>B1230-B1229</f>
        <v>0.67999999999999261</v>
      </c>
      <c r="E1230" s="9">
        <f>C1230-C1229</f>
        <v>0.92999999999999261</v>
      </c>
      <c r="F1230" s="3">
        <f>F$1/B1230</f>
        <v>927.47171211278066</v>
      </c>
      <c r="G1230" s="3">
        <f>F$1/C1230</f>
        <v>821.42270412354196</v>
      </c>
      <c r="H1230" s="2">
        <f>D1230*F1229</f>
        <v>634.6835915624348</v>
      </c>
      <c r="I1230" s="2">
        <f>E1230*G1229</f>
        <v>769.80382418673344</v>
      </c>
      <c r="J1230" s="2">
        <f>I1230-H1230</f>
        <v>135.12023262429864</v>
      </c>
      <c r="K1230" s="2">
        <f t="shared" si="162"/>
        <v>-135.12023262429864</v>
      </c>
      <c r="L1230" s="14">
        <f>C1230/B1230</f>
        <v>1.1291040623260991</v>
      </c>
      <c r="M1230" s="14">
        <f t="shared" si="164"/>
        <v>1.1252655517767614</v>
      </c>
      <c r="N1230" s="14">
        <f t="shared" si="160"/>
        <v>1.1225447312394723</v>
      </c>
      <c r="O1230" s="14">
        <f t="shared" si="161"/>
        <v>1.1192208426235848</v>
      </c>
      <c r="P1230" s="14">
        <f t="shared" si="163"/>
        <v>1.1101330394688924</v>
      </c>
      <c r="Q1230" s="4" t="str">
        <f t="shared" ref="Q1230:R1257" si="167">IF($L1229&gt;M1229,"OVER","UNDER")</f>
        <v>OVER</v>
      </c>
      <c r="R1230" s="4" t="str">
        <f t="shared" si="167"/>
        <v>OVER</v>
      </c>
      <c r="S1230" s="4" t="str">
        <f t="shared" si="165"/>
        <v>OVER</v>
      </c>
      <c r="T1230" s="4" t="str">
        <f t="shared" si="165"/>
        <v>OVER</v>
      </c>
      <c r="U1230" s="2">
        <f>IF(Q1230="OVER",$J1230,$K1230)</f>
        <v>135.12023262429864</v>
      </c>
      <c r="V1230" s="2">
        <f>IF(R1230="OVER",$J1230,$K1230)</f>
        <v>135.12023262429864</v>
      </c>
      <c r="W1230" s="2">
        <f>IF(S1230="OVER",$J1230,$K1230)</f>
        <v>135.12023262429864</v>
      </c>
      <c r="X1230" s="2">
        <f>IF(T1230="OVER",$J1230,$K1230)</f>
        <v>135.12023262429864</v>
      </c>
      <c r="Y1230" s="9">
        <f t="shared" si="166"/>
        <v>-49651.642375349111</v>
      </c>
      <c r="Z1230" s="9">
        <f t="shared" si="166"/>
        <v>-46482.380684009724</v>
      </c>
      <c r="AA1230" s="9">
        <f t="shared" si="166"/>
        <v>65343.165045426722</v>
      </c>
      <c r="AB1230" s="9">
        <f t="shared" si="166"/>
        <v>30021.877980486417</v>
      </c>
    </row>
    <row r="1231" spans="1:28" x14ac:dyDescent="0.3">
      <c r="A1231" s="1">
        <v>46204</v>
      </c>
      <c r="B1231" s="2">
        <v>105.85</v>
      </c>
      <c r="C1231" s="2">
        <v>119.43</v>
      </c>
      <c r="D1231" s="9">
        <f>B1231-B1230</f>
        <v>-1.9699999999999989</v>
      </c>
      <c r="E1231" s="9">
        <f>C1231-C1230</f>
        <v>-2.3099999999999881</v>
      </c>
      <c r="F1231" s="3">
        <f>F$1/B1231</f>
        <v>944.73311289560706</v>
      </c>
      <c r="G1231" s="3">
        <f>F$1/C1231</f>
        <v>837.31055848614244</v>
      </c>
      <c r="H1231" s="2">
        <f>D1231*F1230</f>
        <v>-1827.1192728621768</v>
      </c>
      <c r="I1231" s="2">
        <f>E1231*G1230</f>
        <v>-1897.4864465253722</v>
      </c>
      <c r="J1231" s="2">
        <f>I1231-H1231</f>
        <v>-70.367173663195445</v>
      </c>
      <c r="K1231" s="2">
        <f t="shared" si="162"/>
        <v>70.367173663195445</v>
      </c>
      <c r="L1231" s="14">
        <f>C1231/B1231</f>
        <v>1.1282947567312236</v>
      </c>
      <c r="M1231" s="14">
        <f t="shared" si="164"/>
        <v>1.1259649580308113</v>
      </c>
      <c r="N1231" s="14">
        <f t="shared" si="160"/>
        <v>1.1230176233111786</v>
      </c>
      <c r="O1231" s="14">
        <f t="shared" si="161"/>
        <v>1.1195149566104245</v>
      </c>
      <c r="P1231" s="14">
        <f t="shared" si="163"/>
        <v>1.1102741174592656</v>
      </c>
      <c r="Q1231" s="4" t="str">
        <f t="shared" si="167"/>
        <v>OVER</v>
      </c>
      <c r="R1231" s="4" t="str">
        <f t="shared" si="167"/>
        <v>OVER</v>
      </c>
      <c r="S1231" s="4" t="str">
        <f t="shared" si="165"/>
        <v>OVER</v>
      </c>
      <c r="T1231" s="4" t="str">
        <f t="shared" si="165"/>
        <v>OVER</v>
      </c>
      <c r="U1231" s="2">
        <f>IF(Q1231="OVER",$J1231,$K1231)</f>
        <v>-70.367173663195445</v>
      </c>
      <c r="V1231" s="2">
        <f>IF(R1231="OVER",$J1231,$K1231)</f>
        <v>-70.367173663195445</v>
      </c>
      <c r="W1231" s="2">
        <f>IF(S1231="OVER",$J1231,$K1231)</f>
        <v>-70.367173663195445</v>
      </c>
      <c r="X1231" s="2">
        <f>IF(T1231="OVER",$J1231,$K1231)</f>
        <v>-70.367173663195445</v>
      </c>
      <c r="Y1231" s="9">
        <f t="shared" si="166"/>
        <v>-49722.009549012306</v>
      </c>
      <c r="Z1231" s="9">
        <f t="shared" si="166"/>
        <v>-46552.747857672919</v>
      </c>
      <c r="AA1231" s="9">
        <f t="shared" si="166"/>
        <v>65272.797871763527</v>
      </c>
      <c r="AB1231" s="9">
        <f t="shared" si="166"/>
        <v>29951.510806823222</v>
      </c>
    </row>
    <row r="1232" spans="1:28" x14ac:dyDescent="0.3">
      <c r="A1232" s="1">
        <v>46205</v>
      </c>
      <c r="B1232" s="2">
        <v>104.38</v>
      </c>
      <c r="C1232" s="2">
        <v>117.43</v>
      </c>
      <c r="D1232" s="9">
        <f>B1232-B1231</f>
        <v>-1.4699999999999989</v>
      </c>
      <c r="E1232" s="9">
        <f>C1232-C1231</f>
        <v>-2</v>
      </c>
      <c r="F1232" s="3">
        <f>F$1/B1232</f>
        <v>958.03793830235679</v>
      </c>
      <c r="G1232" s="3">
        <f>F$1/C1232</f>
        <v>851.57114876947969</v>
      </c>
      <c r="H1232" s="2">
        <f>D1232*F1231</f>
        <v>-1388.7576759565413</v>
      </c>
      <c r="I1232" s="2">
        <f>E1232*G1231</f>
        <v>-1674.6211169722849</v>
      </c>
      <c r="J1232" s="2">
        <f>I1232-H1232</f>
        <v>-285.86344101574355</v>
      </c>
      <c r="K1232" s="2">
        <f t="shared" si="162"/>
        <v>285.86344101574355</v>
      </c>
      <c r="L1232" s="14">
        <f>C1232/B1232</f>
        <v>1.1250239509484576</v>
      </c>
      <c r="M1232" s="14">
        <f t="shared" si="164"/>
        <v>1.1262069916138806</v>
      </c>
      <c r="N1232" s="14">
        <f t="shared" si="160"/>
        <v>1.1232209494900649</v>
      </c>
      <c r="O1232" s="14">
        <f t="shared" si="161"/>
        <v>1.1197291493431074</v>
      </c>
      <c r="P1232" s="14">
        <f t="shared" si="163"/>
        <v>1.110396205549961</v>
      </c>
      <c r="Q1232" s="4" t="str">
        <f t="shared" si="167"/>
        <v>OVER</v>
      </c>
      <c r="R1232" s="4" t="str">
        <f t="shared" si="167"/>
        <v>OVER</v>
      </c>
      <c r="S1232" s="4" t="str">
        <f t="shared" si="165"/>
        <v>OVER</v>
      </c>
      <c r="T1232" s="4" t="str">
        <f t="shared" si="165"/>
        <v>OVER</v>
      </c>
      <c r="U1232" s="2">
        <f>IF(Q1232="OVER",$J1232,$K1232)</f>
        <v>-285.86344101574355</v>
      </c>
      <c r="V1232" s="2">
        <f>IF(R1232="OVER",$J1232,$K1232)</f>
        <v>-285.86344101574355</v>
      </c>
      <c r="W1232" s="2">
        <f>IF(S1232="OVER",$J1232,$K1232)</f>
        <v>-285.86344101574355</v>
      </c>
      <c r="X1232" s="2">
        <f>IF(T1232="OVER",$J1232,$K1232)</f>
        <v>-285.86344101574355</v>
      </c>
      <c r="Y1232" s="9">
        <f t="shared" si="166"/>
        <v>-50007.872990028052</v>
      </c>
      <c r="Z1232" s="9">
        <f t="shared" si="166"/>
        <v>-46838.611298688666</v>
      </c>
      <c r="AA1232" s="9">
        <f t="shared" si="166"/>
        <v>64986.93443074778</v>
      </c>
      <c r="AB1232" s="9">
        <f t="shared" si="166"/>
        <v>29665.647365807479</v>
      </c>
    </row>
    <row r="1233" spans="1:28" x14ac:dyDescent="0.3">
      <c r="A1233" s="1">
        <v>46209</v>
      </c>
      <c r="B1233" s="2">
        <v>105.33</v>
      </c>
      <c r="C1233" s="2">
        <v>118.19</v>
      </c>
      <c r="D1233" s="9">
        <f>B1233-B1232</f>
        <v>0.95000000000000284</v>
      </c>
      <c r="E1233" s="9">
        <f>C1233-C1232</f>
        <v>0.75999999999999091</v>
      </c>
      <c r="F1233" s="3">
        <f>F$1/B1233</f>
        <v>949.39713282065895</v>
      </c>
      <c r="G1233" s="3">
        <f>F$1/C1233</f>
        <v>846.09527032743893</v>
      </c>
      <c r="H1233" s="2">
        <f>D1233*F1232</f>
        <v>910.13604138724168</v>
      </c>
      <c r="I1233" s="2">
        <f>E1233*G1232</f>
        <v>647.19407306479684</v>
      </c>
      <c r="J1233" s="2">
        <f>I1233-H1233</f>
        <v>-262.94196832244484</v>
      </c>
      <c r="K1233" s="2">
        <f t="shared" si="162"/>
        <v>262.94196832244484</v>
      </c>
      <c r="L1233" s="14">
        <f>C1233/B1233</f>
        <v>1.1220924712807367</v>
      </c>
      <c r="M1233" s="14">
        <f t="shared" si="164"/>
        <v>1.1260541479479591</v>
      </c>
      <c r="N1233" s="14">
        <f t="shared" si="160"/>
        <v>1.1233343273856722</v>
      </c>
      <c r="O1233" s="14">
        <f t="shared" si="161"/>
        <v>1.1199274344122865</v>
      </c>
      <c r="P1233" s="14">
        <f t="shared" si="163"/>
        <v>1.1105060505531263</v>
      </c>
      <c r="Q1233" s="4" t="str">
        <f t="shared" si="167"/>
        <v>UNDER</v>
      </c>
      <c r="R1233" s="4" t="str">
        <f t="shared" si="167"/>
        <v>OVER</v>
      </c>
      <c r="S1233" s="4" t="str">
        <f t="shared" si="165"/>
        <v>OVER</v>
      </c>
      <c r="T1233" s="4" t="str">
        <f t="shared" si="165"/>
        <v>OVER</v>
      </c>
      <c r="U1233" s="2">
        <f>IF(Q1233="OVER",$J1233,$K1233)</f>
        <v>262.94196832244484</v>
      </c>
      <c r="V1233" s="2">
        <f>IF(R1233="OVER",$J1233,$K1233)</f>
        <v>-262.94196832244484</v>
      </c>
      <c r="W1233" s="2">
        <f>IF(S1233="OVER",$J1233,$K1233)</f>
        <v>-262.94196832244484</v>
      </c>
      <c r="X1233" s="2">
        <f>IF(T1233="OVER",$J1233,$K1233)</f>
        <v>-262.94196832244484</v>
      </c>
      <c r="Y1233" s="9">
        <f t="shared" si="166"/>
        <v>-49744.931021705605</v>
      </c>
      <c r="Z1233" s="9">
        <f t="shared" si="166"/>
        <v>-47101.553267011113</v>
      </c>
      <c r="AA1233" s="9">
        <f t="shared" si="166"/>
        <v>64723.992462425333</v>
      </c>
      <c r="AB1233" s="9">
        <f t="shared" si="166"/>
        <v>29402.705397485035</v>
      </c>
    </row>
    <row r="1234" spans="1:28" x14ac:dyDescent="0.3">
      <c r="A1234" s="1">
        <v>46210</v>
      </c>
      <c r="B1234" s="2">
        <v>103.85</v>
      </c>
      <c r="C1234" s="2">
        <v>116.3</v>
      </c>
      <c r="D1234" s="9">
        <f>B1234-B1233</f>
        <v>-1.480000000000004</v>
      </c>
      <c r="E1234" s="9">
        <f>C1234-C1233</f>
        <v>-1.8900000000000006</v>
      </c>
      <c r="F1234" s="3">
        <f>F$1/B1234</f>
        <v>962.9272989889264</v>
      </c>
      <c r="G1234" s="3">
        <f>F$1/C1234</f>
        <v>859.84522785898537</v>
      </c>
      <c r="H1234" s="2">
        <f>D1234*F1233</f>
        <v>-1405.1077565745791</v>
      </c>
      <c r="I1234" s="2">
        <f>E1234*G1233</f>
        <v>-1599.12006091886</v>
      </c>
      <c r="J1234" s="2">
        <f>I1234-H1234</f>
        <v>-194.01230434428089</v>
      </c>
      <c r="K1234" s="2">
        <f t="shared" si="162"/>
        <v>194.01230434428089</v>
      </c>
      <c r="L1234" s="14">
        <f>C1234/B1234</f>
        <v>1.1198844487241213</v>
      </c>
      <c r="M1234" s="14">
        <f t="shared" si="164"/>
        <v>1.1254995752510903</v>
      </c>
      <c r="N1234" s="14">
        <f t="shared" si="160"/>
        <v>1.123427190893816</v>
      </c>
      <c r="O1234" s="14">
        <f t="shared" si="161"/>
        <v>1.1201273429666343</v>
      </c>
      <c r="P1234" s="14">
        <f t="shared" si="163"/>
        <v>1.1105916321601899</v>
      </c>
      <c r="Q1234" s="4" t="str">
        <f t="shared" si="167"/>
        <v>UNDER</v>
      </c>
      <c r="R1234" s="4" t="str">
        <f t="shared" si="167"/>
        <v>UNDER</v>
      </c>
      <c r="S1234" s="4" t="str">
        <f t="shared" si="165"/>
        <v>UNDER</v>
      </c>
      <c r="T1234" s="4" t="str">
        <f t="shared" si="165"/>
        <v>OVER</v>
      </c>
      <c r="U1234" s="2">
        <f>IF(Q1234="OVER",$J1234,$K1234)</f>
        <v>194.01230434428089</v>
      </c>
      <c r="V1234" s="2">
        <f>IF(R1234="OVER",$J1234,$K1234)</f>
        <v>194.01230434428089</v>
      </c>
      <c r="W1234" s="2">
        <f>IF(S1234="OVER",$J1234,$K1234)</f>
        <v>194.01230434428089</v>
      </c>
      <c r="X1234" s="2">
        <f>IF(T1234="OVER",$J1234,$K1234)</f>
        <v>-194.01230434428089</v>
      </c>
      <c r="Y1234" s="9">
        <f t="shared" si="166"/>
        <v>-49550.918717361325</v>
      </c>
      <c r="Z1234" s="9">
        <f t="shared" si="166"/>
        <v>-46907.540962666833</v>
      </c>
      <c r="AA1234" s="9">
        <f t="shared" si="166"/>
        <v>64918.004766769613</v>
      </c>
      <c r="AB1234" s="9">
        <f t="shared" si="166"/>
        <v>29208.693093140755</v>
      </c>
    </row>
    <row r="1235" spans="1:28" x14ac:dyDescent="0.3">
      <c r="A1235" s="1">
        <v>46211</v>
      </c>
      <c r="B1235" s="2">
        <v>104.65</v>
      </c>
      <c r="C1235" s="2">
        <v>117.08</v>
      </c>
      <c r="D1235" s="9">
        <f>B1235-B1234</f>
        <v>0.80000000000001137</v>
      </c>
      <c r="E1235" s="9">
        <f>C1235-C1234</f>
        <v>0.78000000000000114</v>
      </c>
      <c r="F1235" s="3">
        <f>F$1/B1235</f>
        <v>955.56617295747731</v>
      </c>
      <c r="G1235" s="3">
        <f>F$1/C1235</f>
        <v>854.11684318414757</v>
      </c>
      <c r="H1235" s="2">
        <f>D1235*F1234</f>
        <v>770.34183919115208</v>
      </c>
      <c r="I1235" s="2">
        <f>E1235*G1234</f>
        <v>670.67927773000952</v>
      </c>
      <c r="J1235" s="2">
        <f>I1235-H1235</f>
        <v>-99.662561461142559</v>
      </c>
      <c r="K1235" s="2">
        <f t="shared" si="162"/>
        <v>99.662561461142559</v>
      </c>
      <c r="L1235" s="14">
        <f>C1235/B1235</f>
        <v>1.1187768752986142</v>
      </c>
      <c r="M1235" s="14">
        <f t="shared" si="164"/>
        <v>1.1248033529509445</v>
      </c>
      <c r="N1235" s="14">
        <f t="shared" si="160"/>
        <v>1.1233552351134644</v>
      </c>
      <c r="O1235" s="14">
        <f t="shared" si="161"/>
        <v>1.1202385423102725</v>
      </c>
      <c r="P1235" s="14">
        <f t="shared" si="163"/>
        <v>1.1106760825744189</v>
      </c>
      <c r="Q1235" s="4" t="str">
        <f t="shared" si="167"/>
        <v>UNDER</v>
      </c>
      <c r="R1235" s="4" t="str">
        <f t="shared" si="167"/>
        <v>UNDER</v>
      </c>
      <c r="S1235" s="4" t="str">
        <f t="shared" si="165"/>
        <v>UNDER</v>
      </c>
      <c r="T1235" s="4" t="str">
        <f t="shared" si="165"/>
        <v>OVER</v>
      </c>
      <c r="U1235" s="2">
        <f>IF(Q1235="OVER",$J1235,$K1235)</f>
        <v>99.662561461142559</v>
      </c>
      <c r="V1235" s="2">
        <f>IF(R1235="OVER",$J1235,$K1235)</f>
        <v>99.662561461142559</v>
      </c>
      <c r="W1235" s="2">
        <f>IF(S1235="OVER",$J1235,$K1235)</f>
        <v>99.662561461142559</v>
      </c>
      <c r="X1235" s="2">
        <f>IF(T1235="OVER",$J1235,$K1235)</f>
        <v>-99.662561461142559</v>
      </c>
      <c r="Y1235" s="9">
        <f t="shared" si="166"/>
        <v>-49451.256155900184</v>
      </c>
      <c r="Z1235" s="9">
        <f t="shared" si="166"/>
        <v>-46807.878401205693</v>
      </c>
      <c r="AA1235" s="9">
        <f t="shared" si="166"/>
        <v>65017.667328230753</v>
      </c>
      <c r="AB1235" s="9">
        <f t="shared" si="166"/>
        <v>29109.030531679611</v>
      </c>
    </row>
    <row r="1236" spans="1:28" x14ac:dyDescent="0.3">
      <c r="A1236" s="1">
        <v>46212</v>
      </c>
      <c r="B1236" s="2">
        <v>105.62</v>
      </c>
      <c r="C1236" s="2">
        <v>118.56</v>
      </c>
      <c r="D1236" s="9">
        <f>B1236-B1235</f>
        <v>0.96999999999999886</v>
      </c>
      <c r="E1236" s="9">
        <f>C1236-C1235</f>
        <v>1.480000000000004</v>
      </c>
      <c r="F1236" s="3">
        <f>F$1/B1236</f>
        <v>946.79038060973301</v>
      </c>
      <c r="G1236" s="3">
        <f>F$1/C1236</f>
        <v>843.45479082321185</v>
      </c>
      <c r="H1236" s="2">
        <f>D1236*F1235</f>
        <v>926.89918776875186</v>
      </c>
      <c r="I1236" s="2">
        <f>E1236*G1235</f>
        <v>1264.0929279125419</v>
      </c>
      <c r="J1236" s="2">
        <f>I1236-H1236</f>
        <v>337.19374014379002</v>
      </c>
      <c r="K1236" s="2">
        <f t="shared" si="162"/>
        <v>-337.19374014379002</v>
      </c>
      <c r="L1236" s="14">
        <f>C1236/B1236</f>
        <v>1.1225146752508994</v>
      </c>
      <c r="M1236" s="14">
        <f t="shared" si="164"/>
        <v>1.1245186494688466</v>
      </c>
      <c r="N1236" s="14">
        <f t="shared" si="160"/>
        <v>1.1234196391091007</v>
      </c>
      <c r="O1236" s="14">
        <f t="shared" si="161"/>
        <v>1.1204566840925221</v>
      </c>
      <c r="P1236" s="14">
        <f t="shared" si="163"/>
        <v>1.1107793096394245</v>
      </c>
      <c r="Q1236" s="4" t="str">
        <f t="shared" si="167"/>
        <v>UNDER</v>
      </c>
      <c r="R1236" s="4" t="str">
        <f t="shared" si="167"/>
        <v>UNDER</v>
      </c>
      <c r="S1236" s="4" t="str">
        <f t="shared" si="165"/>
        <v>OVER</v>
      </c>
      <c r="T1236" s="4" t="str">
        <f t="shared" si="165"/>
        <v>OVER</v>
      </c>
      <c r="U1236" s="2">
        <f>IF(Q1236="OVER",$J1236,$K1236)</f>
        <v>-337.19374014379002</v>
      </c>
      <c r="V1236" s="2">
        <f>IF(R1236="OVER",$J1236,$K1236)</f>
        <v>-337.19374014379002</v>
      </c>
      <c r="W1236" s="2">
        <f>IF(S1236="OVER",$J1236,$K1236)</f>
        <v>337.19374014379002</v>
      </c>
      <c r="X1236" s="2">
        <f>IF(T1236="OVER",$J1236,$K1236)</f>
        <v>337.19374014379002</v>
      </c>
      <c r="Y1236" s="9">
        <f t="shared" si="166"/>
        <v>-49788.449896043974</v>
      </c>
      <c r="Z1236" s="9">
        <f t="shared" si="166"/>
        <v>-47145.072141349483</v>
      </c>
      <c r="AA1236" s="9">
        <f t="shared" si="166"/>
        <v>65354.861068374543</v>
      </c>
      <c r="AB1236" s="9">
        <f t="shared" si="166"/>
        <v>29446.224271823401</v>
      </c>
    </row>
    <row r="1237" spans="1:28" x14ac:dyDescent="0.3">
      <c r="A1237" s="1">
        <v>46213</v>
      </c>
      <c r="B1237" s="2">
        <v>105.24</v>
      </c>
      <c r="C1237" s="2">
        <v>117.92</v>
      </c>
      <c r="D1237" s="9">
        <f>B1237-B1236</f>
        <v>-0.38000000000000966</v>
      </c>
      <c r="E1237" s="9">
        <f>C1237-C1236</f>
        <v>-0.64000000000000057</v>
      </c>
      <c r="F1237" s="3">
        <f>F$1/B1237</f>
        <v>950.20904599011783</v>
      </c>
      <c r="G1237" s="3">
        <f>F$1/C1237</f>
        <v>848.03256445047487</v>
      </c>
      <c r="H1237" s="2">
        <f>D1237*F1236</f>
        <v>-359.78034463170769</v>
      </c>
      <c r="I1237" s="2">
        <f>E1237*G1236</f>
        <v>-539.81106612685608</v>
      </c>
      <c r="J1237" s="2">
        <f>I1237-H1237</f>
        <v>-180.03072149514838</v>
      </c>
      <c r="K1237" s="2">
        <f t="shared" si="162"/>
        <v>180.03072149514838</v>
      </c>
      <c r="L1237" s="14">
        <f>C1237/B1237</f>
        <v>1.1204865070315471</v>
      </c>
      <c r="M1237" s="14">
        <f t="shared" si="164"/>
        <v>1.1239928954100966</v>
      </c>
      <c r="N1237" s="14">
        <f t="shared" si="160"/>
        <v>1.1235470991356009</v>
      </c>
      <c r="O1237" s="14">
        <f t="shared" si="161"/>
        <v>1.1206621185792256</v>
      </c>
      <c r="P1237" s="14">
        <f t="shared" si="163"/>
        <v>1.1108639499524826</v>
      </c>
      <c r="Q1237" s="4" t="str">
        <f t="shared" si="167"/>
        <v>UNDER</v>
      </c>
      <c r="R1237" s="4" t="str">
        <f t="shared" si="167"/>
        <v>UNDER</v>
      </c>
      <c r="S1237" s="4" t="str">
        <f t="shared" si="165"/>
        <v>UNDER</v>
      </c>
      <c r="T1237" s="4" t="str">
        <f t="shared" si="165"/>
        <v>OVER</v>
      </c>
      <c r="U1237" s="2">
        <f>IF(Q1237="OVER",$J1237,$K1237)</f>
        <v>180.03072149514838</v>
      </c>
      <c r="V1237" s="2">
        <f>IF(R1237="OVER",$J1237,$K1237)</f>
        <v>180.03072149514838</v>
      </c>
      <c r="W1237" s="2">
        <f>IF(S1237="OVER",$J1237,$K1237)</f>
        <v>180.03072149514838</v>
      </c>
      <c r="X1237" s="2">
        <f>IF(T1237="OVER",$J1237,$K1237)</f>
        <v>-180.03072149514838</v>
      </c>
      <c r="Y1237" s="9">
        <f t="shared" si="166"/>
        <v>-49608.419174548828</v>
      </c>
      <c r="Z1237" s="9">
        <f t="shared" si="166"/>
        <v>-46965.041419854337</v>
      </c>
      <c r="AA1237" s="9">
        <f t="shared" si="166"/>
        <v>65534.891789869689</v>
      </c>
      <c r="AB1237" s="9">
        <f t="shared" si="166"/>
        <v>29266.193550328251</v>
      </c>
    </row>
    <row r="1238" spans="1:28" x14ac:dyDescent="0.3">
      <c r="A1238" s="1">
        <v>46216</v>
      </c>
      <c r="B1238" s="2">
        <v>103.86</v>
      </c>
      <c r="C1238" s="2">
        <v>116.38</v>
      </c>
      <c r="D1238" s="9">
        <f>B1238-B1237</f>
        <v>-1.3799999999999955</v>
      </c>
      <c r="E1238" s="9">
        <f>C1238-C1237</f>
        <v>-1.5400000000000063</v>
      </c>
      <c r="F1238" s="3">
        <f>F$1/B1238</f>
        <v>962.83458501829386</v>
      </c>
      <c r="G1238" s="3">
        <f>F$1/C1238</f>
        <v>859.25416738271178</v>
      </c>
      <c r="H1238" s="2">
        <f>D1238*F1237</f>
        <v>-1311.2884834663582</v>
      </c>
      <c r="I1238" s="2">
        <f>E1238*G1237</f>
        <v>-1305.9701492537365</v>
      </c>
      <c r="J1238" s="2">
        <f>I1238-H1238</f>
        <v>5.3183342126217212</v>
      </c>
      <c r="K1238" s="2">
        <f t="shared" si="162"/>
        <v>-5.3183342126217212</v>
      </c>
      <c r="L1238" s="14">
        <f>C1238/B1238</f>
        <v>1.1205468900442903</v>
      </c>
      <c r="M1238" s="14">
        <f t="shared" si="164"/>
        <v>1.1234314706704498</v>
      </c>
      <c r="N1238" s="14">
        <f t="shared" si="160"/>
        <v>1.1236428019032956</v>
      </c>
      <c r="O1238" s="14">
        <f t="shared" si="161"/>
        <v>1.120781327056803</v>
      </c>
      <c r="P1238" s="14">
        <f t="shared" si="163"/>
        <v>1.1109569434241784</v>
      </c>
      <c r="Q1238" s="4" t="str">
        <f t="shared" si="167"/>
        <v>UNDER</v>
      </c>
      <c r="R1238" s="4" t="str">
        <f t="shared" si="167"/>
        <v>UNDER</v>
      </c>
      <c r="S1238" s="4" t="str">
        <f t="shared" si="165"/>
        <v>UNDER</v>
      </c>
      <c r="T1238" s="4" t="str">
        <f t="shared" si="165"/>
        <v>OVER</v>
      </c>
      <c r="U1238" s="2">
        <f>IF(Q1238="OVER",$J1238,$K1238)</f>
        <v>-5.3183342126217212</v>
      </c>
      <c r="V1238" s="2">
        <f>IF(R1238="OVER",$J1238,$K1238)</f>
        <v>-5.3183342126217212</v>
      </c>
      <c r="W1238" s="2">
        <f>IF(S1238="OVER",$J1238,$K1238)</f>
        <v>-5.3183342126217212</v>
      </c>
      <c r="X1238" s="2">
        <f>IF(T1238="OVER",$J1238,$K1238)</f>
        <v>5.3183342126217212</v>
      </c>
      <c r="Y1238" s="9">
        <f t="shared" si="166"/>
        <v>-49613.737508761449</v>
      </c>
      <c r="Z1238" s="9">
        <f t="shared" si="166"/>
        <v>-46970.359754066958</v>
      </c>
      <c r="AA1238" s="9">
        <f t="shared" si="166"/>
        <v>65529.573455657068</v>
      </c>
      <c r="AB1238" s="9">
        <f t="shared" si="166"/>
        <v>29271.511884540872</v>
      </c>
    </row>
    <row r="1239" spans="1:28" x14ac:dyDescent="0.3">
      <c r="A1239" s="1">
        <v>46217</v>
      </c>
      <c r="B1239" s="2">
        <v>104.14</v>
      </c>
      <c r="C1239" s="2">
        <v>116.57</v>
      </c>
      <c r="D1239" s="9">
        <f>B1239-B1238</f>
        <v>0.28000000000000114</v>
      </c>
      <c r="E1239" s="9">
        <f>C1239-C1238</f>
        <v>0.18999999999999773</v>
      </c>
      <c r="F1239" s="3">
        <f>F$1/B1239</f>
        <v>960.24582293067022</v>
      </c>
      <c r="G1239" s="3">
        <f>F$1/C1239</f>
        <v>857.85365016728156</v>
      </c>
      <c r="H1239" s="2">
        <f>D1239*F1238</f>
        <v>269.59368380512336</v>
      </c>
      <c r="I1239" s="2">
        <f>E1239*G1238</f>
        <v>163.25829180271327</v>
      </c>
      <c r="J1239" s="2">
        <f>I1239-H1239</f>
        <v>-106.33539200241009</v>
      </c>
      <c r="K1239" s="2">
        <f t="shared" si="162"/>
        <v>106.33539200241009</v>
      </c>
      <c r="L1239" s="14">
        <f>C1239/B1239</f>
        <v>1.1193585557902823</v>
      </c>
      <c r="M1239" s="14">
        <f t="shared" si="164"/>
        <v>1.1226083193426271</v>
      </c>
      <c r="N1239" s="14">
        <f t="shared" ref="N1239:N1257" si="168">AVERAGE(L1220:L1239)</f>
        <v>1.1235899587347258</v>
      </c>
      <c r="O1239" s="14">
        <f t="shared" si="161"/>
        <v>1.120858521925578</v>
      </c>
      <c r="P1239" s="14">
        <f t="shared" si="163"/>
        <v>1.1110332384806545</v>
      </c>
      <c r="Q1239" s="4" t="str">
        <f t="shared" si="167"/>
        <v>UNDER</v>
      </c>
      <c r="R1239" s="4" t="str">
        <f t="shared" si="167"/>
        <v>UNDER</v>
      </c>
      <c r="S1239" s="4" t="str">
        <f t="shared" si="165"/>
        <v>UNDER</v>
      </c>
      <c r="T1239" s="4" t="str">
        <f t="shared" si="165"/>
        <v>OVER</v>
      </c>
      <c r="U1239" s="2">
        <f>IF(Q1239="OVER",$J1239,$K1239)</f>
        <v>106.33539200241009</v>
      </c>
      <c r="V1239" s="2">
        <f>IF(R1239="OVER",$J1239,$K1239)</f>
        <v>106.33539200241009</v>
      </c>
      <c r="W1239" s="2">
        <f>IF(S1239="OVER",$J1239,$K1239)</f>
        <v>106.33539200241009</v>
      </c>
      <c r="X1239" s="2">
        <f>IF(T1239="OVER",$J1239,$K1239)</f>
        <v>-106.33539200241009</v>
      </c>
      <c r="Y1239" s="9">
        <f t="shared" si="166"/>
        <v>-49507.40211675904</v>
      </c>
      <c r="Z1239" s="9">
        <f t="shared" si="166"/>
        <v>-46864.024362064549</v>
      </c>
      <c r="AA1239" s="9">
        <f t="shared" si="166"/>
        <v>65635.908847659477</v>
      </c>
      <c r="AB1239" s="9">
        <f t="shared" si="166"/>
        <v>29165.176492538463</v>
      </c>
    </row>
    <row r="1240" spans="1:28" x14ac:dyDescent="0.3">
      <c r="A1240" s="1">
        <v>46218</v>
      </c>
      <c r="B1240" s="2">
        <v>103.59</v>
      </c>
      <c r="C1240" s="2">
        <v>116</v>
      </c>
      <c r="D1240" s="9">
        <f>B1240-B1239</f>
        <v>-0.54999999999999716</v>
      </c>
      <c r="E1240" s="9">
        <f>C1240-C1239</f>
        <v>-0.56999999999999318</v>
      </c>
      <c r="F1240" s="3">
        <f>F$1/B1240</f>
        <v>965.34414518775941</v>
      </c>
      <c r="G1240" s="3">
        <f>F$1/C1240</f>
        <v>862.06896551724139</v>
      </c>
      <c r="H1240" s="2">
        <f>D1240*F1239</f>
        <v>-528.13520261186591</v>
      </c>
      <c r="I1240" s="2">
        <f>E1240*G1239</f>
        <v>-488.97658059534461</v>
      </c>
      <c r="J1240" s="2">
        <f>I1240-H1240</f>
        <v>39.158622016521292</v>
      </c>
      <c r="K1240" s="2">
        <f t="shared" si="162"/>
        <v>-39.158622016521292</v>
      </c>
      <c r="L1240" s="14">
        <f>C1240/B1240</f>
        <v>1.119799208417801</v>
      </c>
      <c r="M1240" s="14">
        <f t="shared" si="164"/>
        <v>1.1216778339517974</v>
      </c>
      <c r="N1240" s="14">
        <f t="shared" si="168"/>
        <v>1.1234716928642796</v>
      </c>
      <c r="O1240" s="14">
        <f t="shared" si="161"/>
        <v>1.1209535342670955</v>
      </c>
      <c r="P1240" s="14">
        <f t="shared" si="163"/>
        <v>1.1111172250371952</v>
      </c>
      <c r="Q1240" s="4" t="str">
        <f t="shared" si="167"/>
        <v>UNDER</v>
      </c>
      <c r="R1240" s="4" t="str">
        <f t="shared" si="167"/>
        <v>UNDER</v>
      </c>
      <c r="S1240" s="4" t="str">
        <f t="shared" si="165"/>
        <v>UNDER</v>
      </c>
      <c r="T1240" s="4" t="str">
        <f t="shared" si="165"/>
        <v>OVER</v>
      </c>
      <c r="U1240" s="2">
        <f>IF(Q1240="OVER",$J1240,$K1240)</f>
        <v>-39.158622016521292</v>
      </c>
      <c r="V1240" s="2">
        <f>IF(R1240="OVER",$J1240,$K1240)</f>
        <v>-39.158622016521292</v>
      </c>
      <c r="W1240" s="2">
        <f>IF(S1240="OVER",$J1240,$K1240)</f>
        <v>-39.158622016521292</v>
      </c>
      <c r="X1240" s="2">
        <f>IF(T1240="OVER",$J1240,$K1240)</f>
        <v>39.158622016521292</v>
      </c>
      <c r="Y1240" s="9">
        <f t="shared" si="166"/>
        <v>-49546.560738775559</v>
      </c>
      <c r="Z1240" s="9">
        <f t="shared" si="166"/>
        <v>-46903.182984081068</v>
      </c>
      <c r="AA1240" s="9">
        <f t="shared" si="166"/>
        <v>65596.750225642958</v>
      </c>
      <c r="AB1240" s="9">
        <f t="shared" si="166"/>
        <v>29204.335114554986</v>
      </c>
    </row>
    <row r="1241" spans="1:28" x14ac:dyDescent="0.3">
      <c r="A1241" s="1">
        <v>46219</v>
      </c>
      <c r="B1241" s="2">
        <v>101.54</v>
      </c>
      <c r="C1241" s="2">
        <v>113.65</v>
      </c>
      <c r="D1241" s="9">
        <f>B1241-B1240</f>
        <v>-2.0499999999999972</v>
      </c>
      <c r="E1241" s="9">
        <f>C1241-C1240</f>
        <v>-2.3499999999999943</v>
      </c>
      <c r="F1241" s="3">
        <f>F$1/B1241</f>
        <v>984.83356312783133</v>
      </c>
      <c r="G1241" s="3">
        <f>F$1/C1241</f>
        <v>879.89441267047948</v>
      </c>
      <c r="H1241" s="2">
        <f>D1241*F1240</f>
        <v>-1978.9554976349041</v>
      </c>
      <c r="I1241" s="2">
        <f>E1241*G1240</f>
        <v>-2025.8620689655124</v>
      </c>
      <c r="J1241" s="2">
        <f>I1241-H1241</f>
        <v>-46.906571330608358</v>
      </c>
      <c r="K1241" s="2">
        <f t="shared" si="162"/>
        <v>46.906571330608358</v>
      </c>
      <c r="L1241" s="14">
        <f>C1241/B1241</f>
        <v>1.1192633444947804</v>
      </c>
      <c r="M1241" s="14">
        <f t="shared" si="164"/>
        <v>1.120774692728153</v>
      </c>
      <c r="N1241" s="14">
        <f t="shared" si="168"/>
        <v>1.1233698253794824</v>
      </c>
      <c r="O1241" s="14">
        <f t="shared" si="161"/>
        <v>1.1209564539591785</v>
      </c>
      <c r="P1241" s="14">
        <f t="shared" si="163"/>
        <v>1.1111987455564307</v>
      </c>
      <c r="Q1241" s="4" t="str">
        <f t="shared" si="167"/>
        <v>UNDER</v>
      </c>
      <c r="R1241" s="4" t="str">
        <f t="shared" si="167"/>
        <v>UNDER</v>
      </c>
      <c r="S1241" s="4" t="str">
        <f t="shared" si="165"/>
        <v>UNDER</v>
      </c>
      <c r="T1241" s="4" t="str">
        <f t="shared" si="165"/>
        <v>OVER</v>
      </c>
      <c r="U1241" s="2">
        <f>IF(Q1241="OVER",$J1241,$K1241)</f>
        <v>46.906571330608358</v>
      </c>
      <c r="V1241" s="2">
        <f>IF(R1241="OVER",$J1241,$K1241)</f>
        <v>46.906571330608358</v>
      </c>
      <c r="W1241" s="2">
        <f>IF(S1241="OVER",$J1241,$K1241)</f>
        <v>46.906571330608358</v>
      </c>
      <c r="X1241" s="2">
        <f>IF(T1241="OVER",$J1241,$K1241)</f>
        <v>-46.906571330608358</v>
      </c>
      <c r="Y1241" s="9">
        <f t="shared" si="166"/>
        <v>-49499.654167444947</v>
      </c>
      <c r="Z1241" s="9">
        <f t="shared" si="166"/>
        <v>-46856.276412750456</v>
      </c>
      <c r="AA1241" s="9">
        <f t="shared" si="166"/>
        <v>65643.656796973562</v>
      </c>
      <c r="AB1241" s="9">
        <f t="shared" si="166"/>
        <v>29157.428543224378</v>
      </c>
    </row>
    <row r="1242" spans="1:28" x14ac:dyDescent="0.3">
      <c r="A1242" s="1">
        <v>46220</v>
      </c>
      <c r="B1242" s="2">
        <v>101.49</v>
      </c>
      <c r="C1242" s="2">
        <v>113.74</v>
      </c>
      <c r="D1242" s="9">
        <f>B1242-B1241</f>
        <v>-5.0000000000011369E-2</v>
      </c>
      <c r="E1242" s="9">
        <f>C1242-C1241</f>
        <v>8.99999999999892E-2</v>
      </c>
      <c r="F1242" s="3">
        <f>F$1/B1242</f>
        <v>985.31875061582423</v>
      </c>
      <c r="G1242" s="3">
        <f>F$1/C1242</f>
        <v>879.19817126780379</v>
      </c>
      <c r="H1242" s="2">
        <f>D1242*F1241</f>
        <v>-49.241678156402763</v>
      </c>
      <c r="I1242" s="2">
        <f>E1242*G1241</f>
        <v>79.190497140333648</v>
      </c>
      <c r="J1242" s="2">
        <f>I1242-H1242</f>
        <v>128.4321752967364</v>
      </c>
      <c r="K1242" s="2">
        <f t="shared" si="162"/>
        <v>-128.4321752967364</v>
      </c>
      <c r="L1242" s="14">
        <f>C1242/B1242</f>
        <v>1.1207015469504384</v>
      </c>
      <c r="M1242" s="14">
        <f t="shared" si="164"/>
        <v>1.1203424523283512</v>
      </c>
      <c r="N1242" s="14">
        <f t="shared" si="168"/>
        <v>1.1232747219711161</v>
      </c>
      <c r="O1242" s="14">
        <f t="shared" si="161"/>
        <v>1.121058646592124</v>
      </c>
      <c r="P1242" s="14">
        <f t="shared" si="163"/>
        <v>1.1112783227064584</v>
      </c>
      <c r="Q1242" s="4" t="str">
        <f t="shared" si="167"/>
        <v>UNDER</v>
      </c>
      <c r="R1242" s="4" t="str">
        <f t="shared" si="167"/>
        <v>UNDER</v>
      </c>
      <c r="S1242" s="4" t="str">
        <f t="shared" si="165"/>
        <v>UNDER</v>
      </c>
      <c r="T1242" s="4" t="str">
        <f t="shared" si="165"/>
        <v>OVER</v>
      </c>
      <c r="U1242" s="2">
        <f>IF(Q1242="OVER",$J1242,$K1242)</f>
        <v>-128.4321752967364</v>
      </c>
      <c r="V1242" s="2">
        <f>IF(R1242="OVER",$J1242,$K1242)</f>
        <v>-128.4321752967364</v>
      </c>
      <c r="W1242" s="2">
        <f>IF(S1242="OVER",$J1242,$K1242)</f>
        <v>-128.4321752967364</v>
      </c>
      <c r="X1242" s="2">
        <f>IF(T1242="OVER",$J1242,$K1242)</f>
        <v>128.4321752967364</v>
      </c>
      <c r="Y1242" s="9">
        <f t="shared" si="166"/>
        <v>-49628.086342741684</v>
      </c>
      <c r="Z1242" s="9">
        <f t="shared" si="166"/>
        <v>-46984.708588047193</v>
      </c>
      <c r="AA1242" s="9">
        <f t="shared" si="166"/>
        <v>65515.224621676825</v>
      </c>
      <c r="AB1242" s="9">
        <f t="shared" si="166"/>
        <v>29285.860718521115</v>
      </c>
    </row>
    <row r="1243" spans="1:28" x14ac:dyDescent="0.3">
      <c r="A1243" s="1">
        <v>46223</v>
      </c>
      <c r="B1243" s="2">
        <v>101.82</v>
      </c>
      <c r="C1243" s="2">
        <v>114.16</v>
      </c>
      <c r="D1243" s="9">
        <f>B1243-B1242</f>
        <v>0.32999999999999829</v>
      </c>
      <c r="E1243" s="9">
        <f>C1243-C1242</f>
        <v>0.42000000000000171</v>
      </c>
      <c r="F1243" s="3">
        <f>F$1/B1243</f>
        <v>982.12531919072876</v>
      </c>
      <c r="G1243" s="3">
        <f>F$1/C1243</f>
        <v>875.96355991590758</v>
      </c>
      <c r="H1243" s="2">
        <f>D1243*F1242</f>
        <v>325.15518770322029</v>
      </c>
      <c r="I1243" s="2">
        <f>E1243*G1242</f>
        <v>369.26323193247907</v>
      </c>
      <c r="J1243" s="2">
        <f>I1243-H1243</f>
        <v>44.10804422925878</v>
      </c>
      <c r="K1243" s="2">
        <f t="shared" si="162"/>
        <v>-44.10804422925878</v>
      </c>
      <c r="L1243" s="14">
        <f>C1243/B1243</f>
        <v>1.1211942643881361</v>
      </c>
      <c r="M1243" s="14">
        <f t="shared" si="164"/>
        <v>1.1202526316390911</v>
      </c>
      <c r="N1243" s="14">
        <f t="shared" si="168"/>
        <v>1.1231533897935253</v>
      </c>
      <c r="O1243" s="14">
        <f t="shared" si="161"/>
        <v>1.1210897254435401</v>
      </c>
      <c r="P1243" s="14">
        <f t="shared" si="163"/>
        <v>1.1113566697190069</v>
      </c>
      <c r="Q1243" s="4" t="str">
        <f t="shared" si="167"/>
        <v>OVER</v>
      </c>
      <c r="R1243" s="4" t="str">
        <f t="shared" si="167"/>
        <v>UNDER</v>
      </c>
      <c r="S1243" s="4" t="str">
        <f t="shared" si="165"/>
        <v>OVER</v>
      </c>
      <c r="T1243" s="4" t="str">
        <f t="shared" si="165"/>
        <v>OVER</v>
      </c>
      <c r="U1243" s="2">
        <f>IF(Q1243="OVER",$J1243,$K1243)</f>
        <v>44.10804422925878</v>
      </c>
      <c r="V1243" s="2">
        <f>IF(R1243="OVER",$J1243,$K1243)</f>
        <v>-44.10804422925878</v>
      </c>
      <c r="W1243" s="2">
        <f>IF(S1243="OVER",$J1243,$K1243)</f>
        <v>44.10804422925878</v>
      </c>
      <c r="X1243" s="2">
        <f>IF(T1243="OVER",$J1243,$K1243)</f>
        <v>44.10804422925878</v>
      </c>
      <c r="Y1243" s="9">
        <f t="shared" si="166"/>
        <v>-49583.978298512426</v>
      </c>
      <c r="Z1243" s="9">
        <f t="shared" si="166"/>
        <v>-47028.816632276452</v>
      </c>
      <c r="AA1243" s="9">
        <f t="shared" si="166"/>
        <v>65559.332665906084</v>
      </c>
      <c r="AB1243" s="9">
        <f t="shared" si="166"/>
        <v>29329.968762750374</v>
      </c>
    </row>
    <row r="1244" spans="1:28" x14ac:dyDescent="0.3">
      <c r="A1244" s="1">
        <v>46224</v>
      </c>
      <c r="B1244" s="2">
        <v>103.69</v>
      </c>
      <c r="C1244" s="2">
        <v>116.72</v>
      </c>
      <c r="D1244" s="9">
        <f>B1244-B1243</f>
        <v>1.8700000000000045</v>
      </c>
      <c r="E1244" s="9">
        <f>C1244-C1243</f>
        <v>2.5600000000000023</v>
      </c>
      <c r="F1244" s="3">
        <f>F$1/B1244</f>
        <v>964.41315459542875</v>
      </c>
      <c r="G1244" s="3">
        <f>F$1/C1244</f>
        <v>856.75119945167921</v>
      </c>
      <c r="H1244" s="2">
        <f>D1244*F1243</f>
        <v>1836.5743468866672</v>
      </c>
      <c r="I1244" s="2">
        <f>E1244*G1243</f>
        <v>2242.4667133847256</v>
      </c>
      <c r="J1244" s="2">
        <f>I1244-H1244</f>
        <v>405.89236649805844</v>
      </c>
      <c r="K1244" s="2">
        <f t="shared" si="162"/>
        <v>-405.89236649805844</v>
      </c>
      <c r="L1244" s="14">
        <f>C1244/B1244</f>
        <v>1.1256630340437843</v>
      </c>
      <c r="M1244" s="14">
        <f t="shared" si="164"/>
        <v>1.1208304901710573</v>
      </c>
      <c r="N1244" s="14">
        <f t="shared" si="168"/>
        <v>1.123165032711074</v>
      </c>
      <c r="O1244" s="14">
        <f t="shared" si="161"/>
        <v>1.121268885625758</v>
      </c>
      <c r="P1244" s="14">
        <f t="shared" si="163"/>
        <v>1.1114648359623751</v>
      </c>
      <c r="Q1244" s="4" t="str">
        <f t="shared" si="167"/>
        <v>OVER</v>
      </c>
      <c r="R1244" s="4" t="str">
        <f t="shared" si="167"/>
        <v>UNDER</v>
      </c>
      <c r="S1244" s="4" t="str">
        <f t="shared" si="165"/>
        <v>OVER</v>
      </c>
      <c r="T1244" s="4" t="str">
        <f t="shared" si="165"/>
        <v>OVER</v>
      </c>
      <c r="U1244" s="2">
        <f>IF(Q1244="OVER",$J1244,$K1244)</f>
        <v>405.89236649805844</v>
      </c>
      <c r="V1244" s="2">
        <f>IF(R1244="OVER",$J1244,$K1244)</f>
        <v>-405.89236649805844</v>
      </c>
      <c r="W1244" s="2">
        <f>IF(S1244="OVER",$J1244,$K1244)</f>
        <v>405.89236649805844</v>
      </c>
      <c r="X1244" s="2">
        <f>IF(T1244="OVER",$J1244,$K1244)</f>
        <v>405.89236649805844</v>
      </c>
      <c r="Y1244" s="9">
        <f t="shared" si="166"/>
        <v>-49178.085932014365</v>
      </c>
      <c r="Z1244" s="9">
        <f t="shared" si="166"/>
        <v>-47434.708998774513</v>
      </c>
      <c r="AA1244" s="9">
        <f t="shared" si="166"/>
        <v>65965.225032404138</v>
      </c>
      <c r="AB1244" s="9">
        <f t="shared" si="166"/>
        <v>29735.861129248431</v>
      </c>
    </row>
    <row r="1245" spans="1:28" x14ac:dyDescent="0.3">
      <c r="A1245" s="1">
        <v>46225</v>
      </c>
      <c r="B1245" s="2">
        <v>104</v>
      </c>
      <c r="C1245" s="2">
        <v>116.51</v>
      </c>
      <c r="D1245" s="9">
        <f>B1245-B1244</f>
        <v>0.31000000000000227</v>
      </c>
      <c r="E1245" s="9">
        <f>C1245-C1244</f>
        <v>-0.20999999999999375</v>
      </c>
      <c r="F1245" s="3">
        <f>F$1/B1245</f>
        <v>961.53846153846155</v>
      </c>
      <c r="G1245" s="3">
        <f>F$1/C1245</f>
        <v>858.2954252853832</v>
      </c>
      <c r="H1245" s="2">
        <f>D1245*F1244</f>
        <v>298.96807792458509</v>
      </c>
      <c r="I1245" s="2">
        <f>E1245*G1244</f>
        <v>-179.91775188484729</v>
      </c>
      <c r="J1245" s="2">
        <f>I1245-H1245</f>
        <v>-478.88582980943238</v>
      </c>
      <c r="K1245" s="2">
        <f t="shared" si="162"/>
        <v>478.88582980943238</v>
      </c>
      <c r="L1245" s="14">
        <f>C1245/B1245</f>
        <v>1.1202884615384616</v>
      </c>
      <c r="M1245" s="14">
        <f t="shared" si="164"/>
        <v>1.1209816487950419</v>
      </c>
      <c r="N1245" s="14">
        <f t="shared" si="168"/>
        <v>1.1228925008729935</v>
      </c>
      <c r="O1245" s="14">
        <f t="shared" si="161"/>
        <v>1.1213666686127368</v>
      </c>
      <c r="P1245" s="14">
        <f t="shared" si="163"/>
        <v>1.1115412211986466</v>
      </c>
      <c r="Q1245" s="4" t="str">
        <f t="shared" si="167"/>
        <v>OVER</v>
      </c>
      <c r="R1245" s="4" t="str">
        <f t="shared" si="167"/>
        <v>OVER</v>
      </c>
      <c r="S1245" s="4" t="str">
        <f t="shared" si="165"/>
        <v>UNDER</v>
      </c>
      <c r="T1245" s="4" t="str">
        <f t="shared" si="165"/>
        <v>OVER</v>
      </c>
      <c r="U1245" s="2">
        <f>IF(Q1245="OVER",$J1245,$K1245)</f>
        <v>-478.88582980943238</v>
      </c>
      <c r="V1245" s="2">
        <f>IF(R1245="OVER",$J1245,$K1245)</f>
        <v>-478.88582980943238</v>
      </c>
      <c r="W1245" s="2">
        <f>IF(S1245="OVER",$J1245,$K1245)</f>
        <v>478.88582980943238</v>
      </c>
      <c r="X1245" s="2">
        <f>IF(T1245="OVER",$J1245,$K1245)</f>
        <v>-478.88582980943238</v>
      </c>
      <c r="Y1245" s="9">
        <f t="shared" si="166"/>
        <v>-49656.971761823799</v>
      </c>
      <c r="Z1245" s="9">
        <f t="shared" si="166"/>
        <v>-47913.594828583948</v>
      </c>
      <c r="AA1245" s="9">
        <f t="shared" si="166"/>
        <v>66444.110862213565</v>
      </c>
      <c r="AB1245" s="9">
        <f t="shared" si="166"/>
        <v>29256.975299439</v>
      </c>
    </row>
    <row r="1246" spans="1:28" x14ac:dyDescent="0.3">
      <c r="A1246" s="1">
        <v>46226</v>
      </c>
      <c r="B1246" s="2">
        <v>103.17</v>
      </c>
      <c r="C1246" s="2">
        <v>115.9</v>
      </c>
      <c r="D1246" s="9">
        <f>B1246-B1245</f>
        <v>-0.82999999999999829</v>
      </c>
      <c r="E1246" s="9">
        <f>C1246-C1245</f>
        <v>-0.60999999999999943</v>
      </c>
      <c r="F1246" s="3">
        <f>F$1/B1246</f>
        <v>969.27401376369096</v>
      </c>
      <c r="G1246" s="3">
        <f>F$1/C1246</f>
        <v>862.81276962899051</v>
      </c>
      <c r="H1246" s="2">
        <f>D1246*F1245</f>
        <v>-798.07692307692139</v>
      </c>
      <c r="I1246" s="2">
        <f>E1246*G1245</f>
        <v>-523.56020942408327</v>
      </c>
      <c r="J1246" s="2">
        <f>I1246-H1246</f>
        <v>274.51671365283812</v>
      </c>
      <c r="K1246" s="2">
        <f t="shared" si="162"/>
        <v>-274.51671365283812</v>
      </c>
      <c r="L1246" s="14">
        <f>C1246/B1246</f>
        <v>1.1233885819521179</v>
      </c>
      <c r="M1246" s="14">
        <f t="shared" si="164"/>
        <v>1.1210690394651639</v>
      </c>
      <c r="N1246" s="14">
        <f t="shared" si="168"/>
        <v>1.1227938444670054</v>
      </c>
      <c r="O1246" s="14">
        <f t="shared" si="161"/>
        <v>1.1214816100631002</v>
      </c>
      <c r="P1246" s="14">
        <f t="shared" si="163"/>
        <v>1.1116333052286853</v>
      </c>
      <c r="Q1246" s="4" t="str">
        <f t="shared" si="167"/>
        <v>UNDER</v>
      </c>
      <c r="R1246" s="4" t="str">
        <f t="shared" si="167"/>
        <v>UNDER</v>
      </c>
      <c r="S1246" s="4" t="str">
        <f t="shared" si="165"/>
        <v>OVER</v>
      </c>
      <c r="T1246" s="4" t="str">
        <f t="shared" si="165"/>
        <v>OVER</v>
      </c>
      <c r="U1246" s="2">
        <f>IF(Q1246="OVER",$J1246,$K1246)</f>
        <v>-274.51671365283812</v>
      </c>
      <c r="V1246" s="2">
        <f>IF(R1246="OVER",$J1246,$K1246)</f>
        <v>-274.51671365283812</v>
      </c>
      <c r="W1246" s="2">
        <f>IF(S1246="OVER",$J1246,$K1246)</f>
        <v>274.51671365283812</v>
      </c>
      <c r="X1246" s="2">
        <f>IF(T1246="OVER",$J1246,$K1246)</f>
        <v>274.51671365283812</v>
      </c>
      <c r="Y1246" s="9">
        <f t="shared" si="166"/>
        <v>-49931.488475476639</v>
      </c>
      <c r="Z1246" s="9">
        <f t="shared" si="166"/>
        <v>-48188.111542236787</v>
      </c>
      <c r="AA1246" s="9">
        <f t="shared" si="166"/>
        <v>66718.627575866398</v>
      </c>
      <c r="AB1246" s="9">
        <f t="shared" si="166"/>
        <v>29531.49201309184</v>
      </c>
    </row>
    <row r="1247" spans="1:28" x14ac:dyDescent="0.3">
      <c r="A1247" s="1">
        <v>46227</v>
      </c>
      <c r="B1247" s="2">
        <v>101.48</v>
      </c>
      <c r="C1247" s="2">
        <v>113.75</v>
      </c>
      <c r="D1247" s="9">
        <f>B1247-B1246</f>
        <v>-1.6899999999999977</v>
      </c>
      <c r="E1247" s="9">
        <f>C1247-C1246</f>
        <v>-2.1500000000000057</v>
      </c>
      <c r="F1247" s="3">
        <f>F$1/B1247</f>
        <v>985.41584548679543</v>
      </c>
      <c r="G1247" s="3">
        <f>F$1/C1247</f>
        <v>879.12087912087907</v>
      </c>
      <c r="H1247" s="2">
        <f>D1247*F1246</f>
        <v>-1638.0730832606355</v>
      </c>
      <c r="I1247" s="2">
        <f>E1247*G1246</f>
        <v>-1855.0474547023346</v>
      </c>
      <c r="J1247" s="2">
        <f>I1247-H1247</f>
        <v>-216.97437144169908</v>
      </c>
      <c r="K1247" s="2">
        <f t="shared" si="162"/>
        <v>216.97437144169908</v>
      </c>
      <c r="L1247" s="14">
        <f>C1247/B1247</f>
        <v>1.1209105242412298</v>
      </c>
      <c r="M1247" s="14">
        <f t="shared" si="164"/>
        <v>1.1211114411861323</v>
      </c>
      <c r="N1247" s="14">
        <f t="shared" si="168"/>
        <v>1.1225521682981143</v>
      </c>
      <c r="O1247" s="14">
        <f t="shared" si="161"/>
        <v>1.1215813394869572</v>
      </c>
      <c r="P1247" s="14">
        <f t="shared" si="163"/>
        <v>1.1117199102375164</v>
      </c>
      <c r="Q1247" s="4" t="str">
        <f t="shared" si="167"/>
        <v>OVER</v>
      </c>
      <c r="R1247" s="4" t="str">
        <f t="shared" si="167"/>
        <v>OVER</v>
      </c>
      <c r="S1247" s="4" t="str">
        <f t="shared" si="165"/>
        <v>UNDER</v>
      </c>
      <c r="T1247" s="4" t="str">
        <f t="shared" si="165"/>
        <v>OVER</v>
      </c>
      <c r="U1247" s="2">
        <f>IF(Q1247="OVER",$J1247,$K1247)</f>
        <v>-216.97437144169908</v>
      </c>
      <c r="V1247" s="2">
        <f>IF(R1247="OVER",$J1247,$K1247)</f>
        <v>-216.97437144169908</v>
      </c>
      <c r="W1247" s="2">
        <f>IF(S1247="OVER",$J1247,$K1247)</f>
        <v>216.97437144169908</v>
      </c>
      <c r="X1247" s="2">
        <f>IF(T1247="OVER",$J1247,$K1247)</f>
        <v>-216.97437144169908</v>
      </c>
      <c r="Y1247" s="9">
        <f t="shared" si="166"/>
        <v>-50148.462846918337</v>
      </c>
      <c r="Z1247" s="9">
        <f t="shared" si="166"/>
        <v>-48405.085913678486</v>
      </c>
      <c r="AA1247" s="9">
        <f t="shared" si="166"/>
        <v>66935.601947308096</v>
      </c>
      <c r="AB1247" s="9">
        <f t="shared" si="166"/>
        <v>29314.517641650142</v>
      </c>
    </row>
    <row r="1248" spans="1:28" x14ac:dyDescent="0.3">
      <c r="A1248" s="1">
        <v>46230</v>
      </c>
      <c r="B1248" s="2">
        <v>101.34</v>
      </c>
      <c r="C1248" s="2">
        <v>113.44</v>
      </c>
      <c r="D1248" s="9">
        <f>B1248-B1247</f>
        <v>-0.14000000000000057</v>
      </c>
      <c r="E1248" s="9">
        <f>C1248-C1247</f>
        <v>-0.31000000000000227</v>
      </c>
      <c r="F1248" s="3">
        <f>F$1/B1248</f>
        <v>986.77718571146636</v>
      </c>
      <c r="G1248" s="3">
        <f>F$1/C1248</f>
        <v>881.52327221438645</v>
      </c>
      <c r="H1248" s="2">
        <f>D1248*F1247</f>
        <v>-137.95821836815193</v>
      </c>
      <c r="I1248" s="2">
        <f>E1248*G1247</f>
        <v>-272.52747252747452</v>
      </c>
      <c r="J1248" s="2">
        <f>I1248-H1248</f>
        <v>-134.56925415932258</v>
      </c>
      <c r="K1248" s="2">
        <f t="shared" si="162"/>
        <v>134.56925415932258</v>
      </c>
      <c r="L1248" s="14">
        <f>C1248/B1248</f>
        <v>1.1194000394710875</v>
      </c>
      <c r="M1248" s="14">
        <f t="shared" si="164"/>
        <v>1.1209967561288117</v>
      </c>
      <c r="N1248" s="14">
        <f t="shared" si="168"/>
        <v>1.1222141133996311</v>
      </c>
      <c r="O1248" s="14">
        <f t="shared" si="161"/>
        <v>1.1215966507252662</v>
      </c>
      <c r="P1248" s="14">
        <f t="shared" si="163"/>
        <v>1.1117829826401786</v>
      </c>
      <c r="Q1248" s="4" t="str">
        <f t="shared" si="167"/>
        <v>UNDER</v>
      </c>
      <c r="R1248" s="4" t="str">
        <f t="shared" si="167"/>
        <v>UNDER</v>
      </c>
      <c r="S1248" s="4" t="str">
        <f t="shared" si="165"/>
        <v>UNDER</v>
      </c>
      <c r="T1248" s="4" t="str">
        <f t="shared" si="165"/>
        <v>OVER</v>
      </c>
      <c r="U1248" s="2">
        <f>IF(Q1248="OVER",$J1248,$K1248)</f>
        <v>134.56925415932258</v>
      </c>
      <c r="V1248" s="2">
        <f>IF(R1248="OVER",$J1248,$K1248)</f>
        <v>134.56925415932258</v>
      </c>
      <c r="W1248" s="2">
        <f>IF(S1248="OVER",$J1248,$K1248)</f>
        <v>134.56925415932258</v>
      </c>
      <c r="X1248" s="2">
        <f>IF(T1248="OVER",$J1248,$K1248)</f>
        <v>-134.56925415932258</v>
      </c>
      <c r="Y1248" s="9">
        <f t="shared" si="166"/>
        <v>-50013.893592759014</v>
      </c>
      <c r="Z1248" s="9">
        <f t="shared" si="166"/>
        <v>-48270.516659519162</v>
      </c>
      <c r="AA1248" s="9">
        <f t="shared" si="166"/>
        <v>67070.171201467412</v>
      </c>
      <c r="AB1248" s="9">
        <f t="shared" si="166"/>
        <v>29179.948387490818</v>
      </c>
    </row>
    <row r="1249" spans="1:28" x14ac:dyDescent="0.3">
      <c r="A1249" s="1">
        <v>46231</v>
      </c>
      <c r="B1249" s="2">
        <v>100.31</v>
      </c>
      <c r="C1249" s="2">
        <v>111.86</v>
      </c>
      <c r="D1249" s="9">
        <f>B1249-B1248</f>
        <v>-1.0300000000000011</v>
      </c>
      <c r="E1249" s="9">
        <f>C1249-C1248</f>
        <v>-1.5799999999999983</v>
      </c>
      <c r="F1249" s="3">
        <f>F$1/B1249</f>
        <v>996.90958030106663</v>
      </c>
      <c r="G1249" s="3">
        <f>F$1/C1249</f>
        <v>893.97461112104418</v>
      </c>
      <c r="H1249" s="2">
        <f>D1249*F1248</f>
        <v>-1016.3805012828115</v>
      </c>
      <c r="I1249" s="2">
        <f>E1249*G1248</f>
        <v>-1392.8067700987292</v>
      </c>
      <c r="J1249" s="2">
        <f>I1249-H1249</f>
        <v>-376.42626881591775</v>
      </c>
      <c r="K1249" s="2">
        <f t="shared" si="162"/>
        <v>376.42626881591775</v>
      </c>
      <c r="L1249" s="14">
        <f>C1249/B1249</f>
        <v>1.1151430565247731</v>
      </c>
      <c r="M1249" s="14">
        <f t="shared" si="164"/>
        <v>1.1205752062022607</v>
      </c>
      <c r="N1249" s="14">
        <f t="shared" si="168"/>
        <v>1.1215917627724439</v>
      </c>
      <c r="O1249" s="14">
        <f t="shared" si="161"/>
        <v>1.1215329921973209</v>
      </c>
      <c r="P1249" s="14">
        <f t="shared" si="163"/>
        <v>1.1118443012874095</v>
      </c>
      <c r="Q1249" s="4" t="str">
        <f t="shared" si="167"/>
        <v>UNDER</v>
      </c>
      <c r="R1249" s="4" t="str">
        <f t="shared" si="167"/>
        <v>UNDER</v>
      </c>
      <c r="S1249" s="4" t="str">
        <f t="shared" si="165"/>
        <v>UNDER</v>
      </c>
      <c r="T1249" s="4" t="str">
        <f t="shared" si="165"/>
        <v>OVER</v>
      </c>
      <c r="U1249" s="2">
        <f>IF(Q1249="OVER",$J1249,$K1249)</f>
        <v>376.42626881591775</v>
      </c>
      <c r="V1249" s="2">
        <f>IF(R1249="OVER",$J1249,$K1249)</f>
        <v>376.42626881591775</v>
      </c>
      <c r="W1249" s="2">
        <f>IF(S1249="OVER",$J1249,$K1249)</f>
        <v>376.42626881591775</v>
      </c>
      <c r="X1249" s="2">
        <f>IF(T1249="OVER",$J1249,$K1249)</f>
        <v>-376.42626881591775</v>
      </c>
      <c r="Y1249" s="9">
        <f t="shared" si="166"/>
        <v>-49637.467323943099</v>
      </c>
      <c r="Z1249" s="9">
        <f t="shared" si="166"/>
        <v>-47894.090390703248</v>
      </c>
      <c r="AA1249" s="9">
        <f t="shared" si="166"/>
        <v>67446.597470283334</v>
      </c>
      <c r="AB1249" s="9">
        <f t="shared" si="166"/>
        <v>28803.5221186749</v>
      </c>
    </row>
    <row r="1250" spans="1:28" x14ac:dyDescent="0.3">
      <c r="A1250" s="1">
        <v>46232</v>
      </c>
      <c r="B1250" s="2">
        <v>98.39</v>
      </c>
      <c r="C1250" s="2">
        <v>109.68</v>
      </c>
      <c r="D1250" s="9">
        <f>B1250-B1249</f>
        <v>-1.9200000000000017</v>
      </c>
      <c r="E1250" s="9">
        <f>C1250-C1249</f>
        <v>-2.1799999999999926</v>
      </c>
      <c r="F1250" s="3">
        <f>F$1/B1250</f>
        <v>1016.3634515702815</v>
      </c>
      <c r="G1250" s="3">
        <f>F$1/C1250</f>
        <v>911.74325309992696</v>
      </c>
      <c r="H1250" s="2">
        <f>D1250*F1249</f>
        <v>-1914.0663941780497</v>
      </c>
      <c r="I1250" s="2">
        <f>E1250*G1249</f>
        <v>-1948.8646522438696</v>
      </c>
      <c r="J1250" s="2">
        <f>I1250-H1250</f>
        <v>-34.798258065819937</v>
      </c>
      <c r="K1250" s="2">
        <f t="shared" si="162"/>
        <v>34.798258065819937</v>
      </c>
      <c r="L1250" s="14">
        <f>C1250/B1250</f>
        <v>1.1147474336822849</v>
      </c>
      <c r="M1250" s="14">
        <f t="shared" si="164"/>
        <v>1.1200700287287093</v>
      </c>
      <c r="N1250" s="14">
        <f t="shared" si="168"/>
        <v>1.1208739313402534</v>
      </c>
      <c r="O1250" s="14">
        <f t="shared" si="161"/>
        <v>1.1213992327369953</v>
      </c>
      <c r="P1250" s="14">
        <f t="shared" si="163"/>
        <v>1.1118975763027057</v>
      </c>
      <c r="Q1250" s="4" t="str">
        <f t="shared" si="167"/>
        <v>UNDER</v>
      </c>
      <c r="R1250" s="4" t="str">
        <f t="shared" si="167"/>
        <v>UNDER</v>
      </c>
      <c r="S1250" s="4" t="str">
        <f t="shared" si="165"/>
        <v>UNDER</v>
      </c>
      <c r="T1250" s="4" t="str">
        <f t="shared" si="165"/>
        <v>OVER</v>
      </c>
      <c r="U1250" s="2">
        <f>IF(Q1250="OVER",$J1250,$K1250)</f>
        <v>34.798258065819937</v>
      </c>
      <c r="V1250" s="2">
        <f>IF(R1250="OVER",$J1250,$K1250)</f>
        <v>34.798258065819937</v>
      </c>
      <c r="W1250" s="2">
        <f>IF(S1250="OVER",$J1250,$K1250)</f>
        <v>34.798258065819937</v>
      </c>
      <c r="X1250" s="2">
        <f>IF(T1250="OVER",$J1250,$K1250)</f>
        <v>-34.798258065819937</v>
      </c>
      <c r="Y1250" s="9">
        <f t="shared" si="166"/>
        <v>-49602.669065877279</v>
      </c>
      <c r="Z1250" s="9">
        <f t="shared" si="166"/>
        <v>-47859.292132637427</v>
      </c>
      <c r="AA1250" s="9">
        <f t="shared" si="166"/>
        <v>67481.395728349147</v>
      </c>
      <c r="AB1250" s="9">
        <f t="shared" si="166"/>
        <v>28768.72386060908</v>
      </c>
    </row>
    <row r="1251" spans="1:28" x14ac:dyDescent="0.3">
      <c r="A1251" s="1">
        <v>46233</v>
      </c>
      <c r="B1251" s="2">
        <v>101.49</v>
      </c>
      <c r="C1251" s="2">
        <v>113.38</v>
      </c>
      <c r="D1251" s="9">
        <f>B1251-B1250</f>
        <v>3.0999999999999943</v>
      </c>
      <c r="E1251" s="9">
        <f>C1251-C1250</f>
        <v>3.6999999999999886</v>
      </c>
      <c r="F1251" s="3">
        <f>F$1/B1251</f>
        <v>985.31875061582423</v>
      </c>
      <c r="G1251" s="3">
        <f>F$1/C1251</f>
        <v>881.98976891868062</v>
      </c>
      <c r="H1251" s="2">
        <f>D1251*F1250</f>
        <v>3150.726699867867</v>
      </c>
      <c r="I1251" s="2">
        <f>E1251*G1250</f>
        <v>3373.4500364697192</v>
      </c>
      <c r="J1251" s="2">
        <f>I1251-H1251</f>
        <v>222.72333660185222</v>
      </c>
      <c r="K1251" s="2">
        <f t="shared" si="162"/>
        <v>-222.72333660185222</v>
      </c>
      <c r="L1251" s="14">
        <f>C1251/B1251</f>
        <v>1.1171543994482216</v>
      </c>
      <c r="M1251" s="14">
        <f t="shared" si="164"/>
        <v>1.1198591342240534</v>
      </c>
      <c r="N1251" s="14">
        <f t="shared" si="168"/>
        <v>1.1203169134761031</v>
      </c>
      <c r="O1251" s="14">
        <f t="shared" si="161"/>
        <v>1.1213118326839608</v>
      </c>
      <c r="P1251" s="14">
        <f t="shared" si="163"/>
        <v>1.1119618961547324</v>
      </c>
      <c r="Q1251" s="4" t="str">
        <f t="shared" si="167"/>
        <v>UNDER</v>
      </c>
      <c r="R1251" s="4" t="str">
        <f t="shared" si="167"/>
        <v>UNDER</v>
      </c>
      <c r="S1251" s="4" t="str">
        <f t="shared" si="165"/>
        <v>UNDER</v>
      </c>
      <c r="T1251" s="4" t="str">
        <f t="shared" si="165"/>
        <v>OVER</v>
      </c>
      <c r="U1251" s="2">
        <f>IF(Q1251="OVER",$J1251,$K1251)</f>
        <v>-222.72333660185222</v>
      </c>
      <c r="V1251" s="2">
        <f>IF(R1251="OVER",$J1251,$K1251)</f>
        <v>-222.72333660185222</v>
      </c>
      <c r="W1251" s="2">
        <f>IF(S1251="OVER",$J1251,$K1251)</f>
        <v>-222.72333660185222</v>
      </c>
      <c r="X1251" s="2">
        <f>IF(T1251="OVER",$J1251,$K1251)</f>
        <v>222.72333660185222</v>
      </c>
      <c r="Y1251" s="9">
        <f t="shared" si="166"/>
        <v>-49825.392402479134</v>
      </c>
      <c r="Z1251" s="9">
        <f t="shared" si="166"/>
        <v>-48082.015469239283</v>
      </c>
      <c r="AA1251" s="9">
        <f t="shared" si="166"/>
        <v>67258.672391747299</v>
      </c>
      <c r="AB1251" s="9">
        <f t="shared" si="166"/>
        <v>28991.447197210931</v>
      </c>
    </row>
    <row r="1252" spans="1:28" x14ac:dyDescent="0.3">
      <c r="A1252" s="1">
        <v>46234</v>
      </c>
      <c r="B1252" s="2">
        <v>101.85</v>
      </c>
      <c r="C1252" s="2">
        <v>113.23</v>
      </c>
      <c r="D1252" s="9">
        <f>B1252-B1251</f>
        <v>0.35999999999999943</v>
      </c>
      <c r="E1252" s="9">
        <f>C1252-C1251</f>
        <v>-0.14999999999999147</v>
      </c>
      <c r="F1252" s="3">
        <f>F$1/B1252</f>
        <v>981.83603338242517</v>
      </c>
      <c r="G1252" s="3">
        <f>F$1/C1252</f>
        <v>883.15817362889686</v>
      </c>
      <c r="H1252" s="2">
        <f>D1252*F1251</f>
        <v>354.71475022169614</v>
      </c>
      <c r="I1252" s="2">
        <f>E1252*G1251</f>
        <v>-132.29846533779457</v>
      </c>
      <c r="J1252" s="2">
        <f>I1252-H1252</f>
        <v>-487.01321555949073</v>
      </c>
      <c r="K1252" s="2">
        <f t="shared" si="162"/>
        <v>487.01321555949073</v>
      </c>
      <c r="L1252" s="14">
        <f>C1252/B1252</f>
        <v>1.11173294059892</v>
      </c>
      <c r="M1252" s="14">
        <f t="shared" si="164"/>
        <v>1.1189622735889015</v>
      </c>
      <c r="N1252" s="14">
        <f t="shared" si="168"/>
        <v>1.1196523629586264</v>
      </c>
      <c r="O1252" s="14">
        <f t="shared" si="161"/>
        <v>1.1211646094186261</v>
      </c>
      <c r="P1252" s="14">
        <f t="shared" si="163"/>
        <v>1.1120087201688142</v>
      </c>
      <c r="Q1252" s="4" t="str">
        <f t="shared" si="167"/>
        <v>UNDER</v>
      </c>
      <c r="R1252" s="4" t="str">
        <f t="shared" si="167"/>
        <v>UNDER</v>
      </c>
      <c r="S1252" s="4" t="str">
        <f t="shared" si="165"/>
        <v>UNDER</v>
      </c>
      <c r="T1252" s="4" t="str">
        <f t="shared" si="165"/>
        <v>UNDER</v>
      </c>
      <c r="U1252" s="2">
        <f>IF(Q1252="OVER",$J1252,$K1252)</f>
        <v>487.01321555949073</v>
      </c>
      <c r="V1252" s="2">
        <f>IF(R1252="OVER",$J1252,$K1252)</f>
        <v>487.01321555949073</v>
      </c>
      <c r="W1252" s="2">
        <f>IF(S1252="OVER",$J1252,$K1252)</f>
        <v>487.01321555949073</v>
      </c>
      <c r="X1252" s="2">
        <f>IF(T1252="OVER",$J1252,$K1252)</f>
        <v>487.01321555949073</v>
      </c>
      <c r="Y1252" s="9">
        <f t="shared" si="166"/>
        <v>-49338.379186919643</v>
      </c>
      <c r="Z1252" s="9">
        <f t="shared" si="166"/>
        <v>-47595.002253679791</v>
      </c>
      <c r="AA1252" s="9">
        <f t="shared" si="166"/>
        <v>67745.68560730679</v>
      </c>
      <c r="AB1252" s="9">
        <f t="shared" si="166"/>
        <v>29478.460412770422</v>
      </c>
    </row>
    <row r="1253" spans="1:28" x14ac:dyDescent="0.3">
      <c r="A1253" s="1">
        <v>46237</v>
      </c>
      <c r="B1253" s="2">
        <v>103.3</v>
      </c>
      <c r="C1253" s="2">
        <v>115.11</v>
      </c>
      <c r="D1253" s="9">
        <f>B1253-B1252</f>
        <v>1.4500000000000028</v>
      </c>
      <c r="E1253" s="9">
        <f>C1253-C1252</f>
        <v>1.8799999999999955</v>
      </c>
      <c r="F1253" s="3">
        <f>F$1/B1253</f>
        <v>968.05421103581807</v>
      </c>
      <c r="G1253" s="3">
        <f>F$1/C1253</f>
        <v>868.73425419164278</v>
      </c>
      <c r="H1253" s="2">
        <f>D1253*F1252</f>
        <v>1423.6622484045192</v>
      </c>
      <c r="I1253" s="2">
        <f>E1253*G1252</f>
        <v>1660.337366422322</v>
      </c>
      <c r="J1253" s="2">
        <f>I1253-H1253</f>
        <v>236.67511801780279</v>
      </c>
      <c r="K1253" s="2">
        <f t="shared" si="162"/>
        <v>-236.67511801780279</v>
      </c>
      <c r="L1253" s="14">
        <f>C1253/B1253</f>
        <v>1.1143272023233302</v>
      </c>
      <c r="M1253" s="14">
        <f t="shared" si="164"/>
        <v>1.1182755673824212</v>
      </c>
      <c r="N1253" s="14">
        <f t="shared" si="168"/>
        <v>1.1192640995107559</v>
      </c>
      <c r="O1253" s="14">
        <f t="shared" si="161"/>
        <v>1.1210343170767691</v>
      </c>
      <c r="P1253" s="14">
        <f t="shared" si="163"/>
        <v>1.1120491969941217</v>
      </c>
      <c r="Q1253" s="4" t="str">
        <f t="shared" si="167"/>
        <v>UNDER</v>
      </c>
      <c r="R1253" s="4" t="str">
        <f t="shared" si="167"/>
        <v>UNDER</v>
      </c>
      <c r="S1253" s="4" t="str">
        <f t="shared" si="165"/>
        <v>UNDER</v>
      </c>
      <c r="T1253" s="4" t="str">
        <f t="shared" si="165"/>
        <v>OVER</v>
      </c>
      <c r="U1253" s="2">
        <f>IF(Q1253="OVER",$J1253,$K1253)</f>
        <v>-236.67511801780279</v>
      </c>
      <c r="V1253" s="2">
        <f>IF(R1253="OVER",$J1253,$K1253)</f>
        <v>-236.67511801780279</v>
      </c>
      <c r="W1253" s="2">
        <f>IF(S1253="OVER",$J1253,$K1253)</f>
        <v>-236.67511801780279</v>
      </c>
      <c r="X1253" s="2">
        <f>IF(T1253="OVER",$J1253,$K1253)</f>
        <v>236.67511801780279</v>
      </c>
      <c r="Y1253" s="9">
        <f t="shared" si="166"/>
        <v>-49575.054304937446</v>
      </c>
      <c r="Z1253" s="9">
        <f t="shared" si="166"/>
        <v>-47831.677371697595</v>
      </c>
      <c r="AA1253" s="9">
        <f t="shared" si="166"/>
        <v>67509.010489288994</v>
      </c>
      <c r="AB1253" s="9">
        <f t="shared" si="166"/>
        <v>29715.135530788226</v>
      </c>
    </row>
    <row r="1254" spans="1:28" x14ac:dyDescent="0.3">
      <c r="A1254" s="1">
        <v>46238</v>
      </c>
      <c r="B1254" s="2">
        <v>105.35</v>
      </c>
      <c r="C1254" s="2">
        <v>117.12</v>
      </c>
      <c r="D1254" s="9">
        <f>B1254-B1253</f>
        <v>2.0499999999999972</v>
      </c>
      <c r="E1254" s="9">
        <f>C1254-C1253</f>
        <v>2.0100000000000051</v>
      </c>
      <c r="F1254" s="3">
        <f>F$1/B1254</f>
        <v>949.21689606074995</v>
      </c>
      <c r="G1254" s="3">
        <f>F$1/C1254</f>
        <v>853.82513661202188</v>
      </c>
      <c r="H1254" s="2">
        <f>D1254*F1253</f>
        <v>1984.5111326234244</v>
      </c>
      <c r="I1254" s="2">
        <f>E1254*G1253</f>
        <v>1746.1558509252063</v>
      </c>
      <c r="J1254" s="2">
        <f>I1254-H1254</f>
        <v>-238.35528169821805</v>
      </c>
      <c r="K1254" s="2">
        <f t="shared" si="162"/>
        <v>238.35528169821805</v>
      </c>
      <c r="L1254" s="14">
        <f>C1254/B1254</f>
        <v>1.1117228286663503</v>
      </c>
      <c r="M1254" s="14">
        <f t="shared" si="164"/>
        <v>1.1168815468446778</v>
      </c>
      <c r="N1254" s="14">
        <f t="shared" si="168"/>
        <v>1.1188560185078675</v>
      </c>
      <c r="O1254" s="14">
        <f t="shared" si="161"/>
        <v>1.1208734049493274</v>
      </c>
      <c r="P1254" s="14">
        <f t="shared" si="163"/>
        <v>1.1120720586219321</v>
      </c>
      <c r="Q1254" s="4" t="str">
        <f t="shared" si="167"/>
        <v>UNDER</v>
      </c>
      <c r="R1254" s="4" t="str">
        <f t="shared" si="167"/>
        <v>UNDER</v>
      </c>
      <c r="S1254" s="4" t="str">
        <f t="shared" si="165"/>
        <v>UNDER</v>
      </c>
      <c r="T1254" s="4" t="str">
        <f t="shared" si="165"/>
        <v>UNDER</v>
      </c>
      <c r="U1254" s="2">
        <f>IF(Q1254="OVER",$J1254,$K1254)</f>
        <v>238.35528169821805</v>
      </c>
      <c r="V1254" s="2">
        <f>IF(R1254="OVER",$J1254,$K1254)</f>
        <v>238.35528169821805</v>
      </c>
      <c r="W1254" s="2">
        <f>IF(S1254="OVER",$J1254,$K1254)</f>
        <v>238.35528169821805</v>
      </c>
      <c r="X1254" s="2">
        <f>IF(T1254="OVER",$J1254,$K1254)</f>
        <v>238.35528169821805</v>
      </c>
      <c r="Y1254" s="9">
        <f t="shared" si="166"/>
        <v>-49336.699023239227</v>
      </c>
      <c r="Z1254" s="9">
        <f t="shared" si="166"/>
        <v>-47593.322089999376</v>
      </c>
      <c r="AA1254" s="9">
        <f t="shared" si="166"/>
        <v>67747.365770987206</v>
      </c>
      <c r="AB1254" s="9">
        <f t="shared" si="166"/>
        <v>29953.490812486445</v>
      </c>
    </row>
    <row r="1255" spans="1:28" x14ac:dyDescent="0.3">
      <c r="A1255" s="1">
        <v>46239</v>
      </c>
      <c r="B1255" s="2">
        <v>104.34</v>
      </c>
      <c r="C1255" s="2">
        <v>116.09</v>
      </c>
      <c r="D1255" s="9">
        <f>B1255-B1254</f>
        <v>-1.0099999999999909</v>
      </c>
      <c r="E1255" s="9">
        <f>C1255-C1254</f>
        <v>-1.0300000000000011</v>
      </c>
      <c r="F1255" s="3">
        <f>F$1/B1255</f>
        <v>958.40521372436262</v>
      </c>
      <c r="G1255" s="3">
        <f>F$1/C1255</f>
        <v>861.4006374364717</v>
      </c>
      <c r="H1255" s="2">
        <f>D1255*F1254</f>
        <v>-958.70906502134881</v>
      </c>
      <c r="I1255" s="2">
        <f>E1255*G1254</f>
        <v>-879.43989071038345</v>
      </c>
      <c r="J1255" s="2">
        <f>I1255-H1255</f>
        <v>79.269174310965354</v>
      </c>
      <c r="K1255" s="2">
        <f t="shared" si="162"/>
        <v>-79.269174310965354</v>
      </c>
      <c r="L1255" s="14">
        <f>C1255/B1255</f>
        <v>1.1126126126126126</v>
      </c>
      <c r="M1255" s="14">
        <f t="shared" si="164"/>
        <v>1.1161139619520928</v>
      </c>
      <c r="N1255" s="14">
        <f t="shared" si="168"/>
        <v>1.1185478053735673</v>
      </c>
      <c r="O1255" s="14">
        <f t="shared" si="161"/>
        <v>1.1207158133776329</v>
      </c>
      <c r="P1255" s="14">
        <f t="shared" si="163"/>
        <v>1.1121034254495994</v>
      </c>
      <c r="Q1255" s="4" t="str">
        <f t="shared" si="167"/>
        <v>UNDER</v>
      </c>
      <c r="R1255" s="4" t="str">
        <f t="shared" si="167"/>
        <v>UNDER</v>
      </c>
      <c r="S1255" s="4" t="str">
        <f t="shared" si="165"/>
        <v>UNDER</v>
      </c>
      <c r="T1255" s="4" t="str">
        <f t="shared" si="165"/>
        <v>OVER</v>
      </c>
      <c r="U1255" s="2">
        <f>IF(Q1255="OVER",$J1255,$K1255)</f>
        <v>-79.269174310965354</v>
      </c>
      <c r="V1255" s="2">
        <f>IF(R1255="OVER",$J1255,$K1255)</f>
        <v>-79.269174310965354</v>
      </c>
      <c r="W1255" s="2">
        <f>IF(S1255="OVER",$J1255,$K1255)</f>
        <v>-79.269174310965354</v>
      </c>
      <c r="X1255" s="2">
        <f>IF(T1255="OVER",$J1255,$K1255)</f>
        <v>79.269174310965354</v>
      </c>
      <c r="Y1255" s="9">
        <f t="shared" si="166"/>
        <v>-49415.968197550195</v>
      </c>
      <c r="Z1255" s="9">
        <f t="shared" si="166"/>
        <v>-47672.591264310344</v>
      </c>
      <c r="AA1255" s="9">
        <f t="shared" si="166"/>
        <v>67668.096596676245</v>
      </c>
      <c r="AB1255" s="9">
        <f t="shared" si="166"/>
        <v>30032.75998679741</v>
      </c>
    </row>
    <row r="1256" spans="1:28" x14ac:dyDescent="0.3">
      <c r="A1256" s="1">
        <v>46240</v>
      </c>
      <c r="B1256" s="2">
        <v>102.88</v>
      </c>
      <c r="C1256" s="2">
        <v>114.55</v>
      </c>
      <c r="D1256" s="9">
        <f>B1256-B1255</f>
        <v>-1.460000000000008</v>
      </c>
      <c r="E1256" s="9">
        <f>C1256-C1255</f>
        <v>-1.5400000000000063</v>
      </c>
      <c r="F1256" s="3">
        <f>F$1/B1256</f>
        <v>972.00622083981341</v>
      </c>
      <c r="G1256" s="3">
        <f>F$1/C1256</f>
        <v>872.98123090353556</v>
      </c>
      <c r="H1256" s="2">
        <f>D1256*F1255</f>
        <v>-1399.2716120375771</v>
      </c>
      <c r="I1256" s="2">
        <f>E1256*G1255</f>
        <v>-1326.5569816521718</v>
      </c>
      <c r="J1256" s="2">
        <f>I1256-H1256</f>
        <v>72.714630385405371</v>
      </c>
      <c r="K1256" s="2">
        <f t="shared" si="162"/>
        <v>-72.714630385405371</v>
      </c>
      <c r="L1256" s="14">
        <f>C1256/B1256</f>
        <v>1.1134331259720063</v>
      </c>
      <c r="M1256" s="14">
        <f t="shared" si="164"/>
        <v>1.1151184163540817</v>
      </c>
      <c r="N1256" s="14">
        <f t="shared" si="168"/>
        <v>1.1180937279096228</v>
      </c>
      <c r="O1256" s="14">
        <f t="shared" si="161"/>
        <v>1.120520775662881</v>
      </c>
      <c r="P1256" s="14">
        <f t="shared" si="163"/>
        <v>1.1121410451311649</v>
      </c>
      <c r="Q1256" s="4" t="str">
        <f t="shared" si="167"/>
        <v>UNDER</v>
      </c>
      <c r="R1256" s="4" t="str">
        <f t="shared" si="167"/>
        <v>UNDER</v>
      </c>
      <c r="S1256" s="4" t="str">
        <f t="shared" si="165"/>
        <v>UNDER</v>
      </c>
      <c r="T1256" s="4" t="str">
        <f t="shared" si="165"/>
        <v>OVER</v>
      </c>
      <c r="U1256" s="2">
        <f>IF(Q1256="OVER",$J1256,$K1256)</f>
        <v>-72.714630385405371</v>
      </c>
      <c r="V1256" s="2">
        <f>IF(R1256="OVER",$J1256,$K1256)</f>
        <v>-72.714630385405371</v>
      </c>
      <c r="W1256" s="2">
        <f>IF(S1256="OVER",$J1256,$K1256)</f>
        <v>-72.714630385405371</v>
      </c>
      <c r="X1256" s="2">
        <f>IF(T1256="OVER",$J1256,$K1256)</f>
        <v>72.714630385405371</v>
      </c>
      <c r="Y1256" s="9">
        <f t="shared" si="166"/>
        <v>-49488.682827935598</v>
      </c>
      <c r="Z1256" s="9">
        <f t="shared" si="166"/>
        <v>-47745.305894695746</v>
      </c>
      <c r="AA1256" s="9">
        <f t="shared" si="166"/>
        <v>67595.381966290835</v>
      </c>
      <c r="AB1256" s="9">
        <f t="shared" si="166"/>
        <v>30105.474617182816</v>
      </c>
    </row>
    <row r="1257" spans="1:28" x14ac:dyDescent="0.3">
      <c r="A1257" s="1">
        <v>46241</v>
      </c>
      <c r="B1257" s="2">
        <v>103.86</v>
      </c>
      <c r="C1257" s="2">
        <v>115.71</v>
      </c>
      <c r="D1257" s="9">
        <f>B1257-B1256</f>
        <v>0.98000000000000398</v>
      </c>
      <c r="E1257" s="9">
        <f>C1257-C1256</f>
        <v>1.1599999999999966</v>
      </c>
      <c r="F1257" s="3">
        <f>F$1/B1257</f>
        <v>962.83458501829386</v>
      </c>
      <c r="G1257" s="3">
        <f>F$1/C1257</f>
        <v>864.22953936565557</v>
      </c>
      <c r="H1257" s="2">
        <f>D1257*F1256</f>
        <v>952.56609642302101</v>
      </c>
      <c r="I1257" s="2">
        <f>E1257*G1256</f>
        <v>1012.6582278480982</v>
      </c>
      <c r="J1257" s="2">
        <f>I1257-H1257</f>
        <v>60.092131425077241</v>
      </c>
      <c r="K1257" s="2">
        <f t="shared" si="162"/>
        <v>-60.092131425077241</v>
      </c>
      <c r="L1257" s="14">
        <f>C1257/B1257</f>
        <v>1.1140958983246678</v>
      </c>
      <c r="M1257" s="14">
        <f t="shared" si="164"/>
        <v>1.1144369537624255</v>
      </c>
      <c r="N1257" s="14">
        <f t="shared" si="168"/>
        <v>1.1177741974742788</v>
      </c>
      <c r="O1257" s="14">
        <f t="shared" si="161"/>
        <v>1.1203651293229486</v>
      </c>
      <c r="P1257" s="14">
        <f t="shared" si="163"/>
        <v>1.1121840461745125</v>
      </c>
      <c r="Q1257" s="4" t="str">
        <f t="shared" si="167"/>
        <v>UNDER</v>
      </c>
      <c r="R1257" s="4" t="str">
        <f t="shared" si="167"/>
        <v>UNDER</v>
      </c>
      <c r="S1257" s="4" t="str">
        <f t="shared" si="165"/>
        <v>UNDER</v>
      </c>
      <c r="T1257" s="4" t="str">
        <f t="shared" si="165"/>
        <v>OVER</v>
      </c>
      <c r="U1257" s="2">
        <f>IF(Q1257="OVER",$J1257,$K1257)</f>
        <v>-60.092131425077241</v>
      </c>
      <c r="V1257" s="2">
        <f>IF(R1257="OVER",$J1257,$K1257)</f>
        <v>-60.092131425077241</v>
      </c>
      <c r="W1257" s="2">
        <f>IF(S1257="OVER",$J1257,$K1257)</f>
        <v>-60.092131425077241</v>
      </c>
      <c r="X1257" s="2">
        <f>IF(T1257="OVER",$J1257,$K1257)</f>
        <v>60.092131425077241</v>
      </c>
      <c r="Y1257" s="9">
        <f t="shared" si="166"/>
        <v>-49548.774959360671</v>
      </c>
      <c r="Z1257" s="9">
        <f t="shared" si="166"/>
        <v>-47805.39802612082</v>
      </c>
      <c r="AA1257" s="9">
        <f t="shared" si="166"/>
        <v>67535.289834865762</v>
      </c>
      <c r="AB1257" s="9">
        <f t="shared" si="166"/>
        <v>30165.566748607893</v>
      </c>
    </row>
  </sheetData>
  <mergeCells count="6">
    <mergeCell ref="F1:G1"/>
    <mergeCell ref="H1:I1"/>
    <mergeCell ref="M1:P1"/>
    <mergeCell ref="Q1:T1"/>
    <mergeCell ref="J1:K1"/>
    <mergeCell ref="Y1:AB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SPY vs RSP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2026-08-09T21:56:44Z</dcterms:created>
  <dcterms:modified xsi:type="dcterms:W3CDTF">2026-08-10T01:41:52Z</dcterms:modified>
</cp:coreProperties>
</file>